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427" documentId="8_{64ED620B-E9CD-47B3-A172-B982AAA909D5}" xr6:coauthVersionLast="47" xr6:coauthVersionMax="47" xr10:uidLastSave="{C79F17E7-DDE1-4CF9-9CF3-AB0BF0914198}"/>
  <bookViews>
    <workbookView xWindow="19090" yWindow="-110" windowWidth="19420" windowHeight="10300" firstSheet="3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C49" i="10" s="1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C9" i="10" s="1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3" i="10" l="1"/>
  <c r="C78" i="10"/>
  <c r="C18" i="10"/>
  <c r="C8" i="10"/>
  <c r="M47" i="5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D52" i="11"/>
  <c r="G14" i="6"/>
  <c r="G19" i="6"/>
  <c r="E5" i="11"/>
  <c r="J29" i="11"/>
  <c r="K37" i="11"/>
  <c r="C12" i="6"/>
  <c r="K33" i="11"/>
  <c r="K21" i="11"/>
  <c r="B17" i="12"/>
  <c r="J7" i="11"/>
  <c r="D23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26" i="11" l="1"/>
  <c r="C9" i="11"/>
  <c r="C10" i="12" s="1"/>
  <c r="H39" i="11"/>
  <c r="H21" i="11"/>
  <c r="H48" i="11"/>
  <c r="H24" i="11"/>
  <c r="H49" i="11"/>
  <c r="H41" i="11"/>
  <c r="H27" i="11"/>
  <c r="H35" i="11"/>
  <c r="L32" i="11"/>
  <c r="L41" i="11"/>
  <c r="L46" i="11"/>
  <c r="H38" i="1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<sst xmlns="http://schemas.openxmlformats.org/spreadsheetml/2006/main" count="8285" uniqueCount="159">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</sst>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433</c:v>
                </c:pt>
                <c:pt idx="1">
                  <c:v>517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771</c:v>
                </c:pt>
                <c:pt idx="16">
                  <c:v>771</c:v>
                </c:pt>
                <c:pt idx="17">
                  <c:v>771</c:v>
                </c:pt>
                <c:pt idx="18">
                  <c:v>771</c:v>
                </c:pt>
                <c:pt idx="19">
                  <c:v>771</c:v>
                </c:pt>
                <c:pt idx="20">
                  <c:v>771</c:v>
                </c:pt>
                <c:pt idx="21">
                  <c:v>771</c:v>
                </c:pt>
                <c:pt idx="22">
                  <c:v>771</c:v>
                </c:pt>
                <c:pt idx="23">
                  <c:v>771</c:v>
                </c:pt>
                <c:pt idx="24">
                  <c:v>771</c:v>
                </c:pt>
                <c:pt idx="25">
                  <c:v>771</c:v>
                </c:pt>
                <c:pt idx="26">
                  <c:v>771</c:v>
                </c:pt>
                <c:pt idx="27">
                  <c:v>771</c:v>
                </c:pt>
                <c:pt idx="28">
                  <c:v>771</c:v>
                </c:pt>
                <c:pt idx="29">
                  <c:v>771</c:v>
                </c:pt>
                <c:pt idx="30">
                  <c:v>771</c:v>
                </c:pt>
                <c:pt idx="31">
                  <c:v>771</c:v>
                </c:pt>
                <c:pt idx="32">
                  <c:v>771</c:v>
                </c:pt>
                <c:pt idx="33">
                  <c:v>771</c:v>
                </c:pt>
                <c:pt idx="34">
                  <c:v>771</c:v>
                </c:pt>
                <c:pt idx="35">
                  <c:v>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784</c:v>
                </c:pt>
                <c:pt idx="16">
                  <c:v>784</c:v>
                </c:pt>
                <c:pt idx="17">
                  <c:v>784</c:v>
                </c:pt>
                <c:pt idx="18">
                  <c:v>784</c:v>
                </c:pt>
                <c:pt idx="19">
                  <c:v>784</c:v>
                </c:pt>
                <c:pt idx="20">
                  <c:v>784</c:v>
                </c:pt>
                <c:pt idx="21">
                  <c:v>784</c:v>
                </c:pt>
                <c:pt idx="22">
                  <c:v>784</c:v>
                </c:pt>
                <c:pt idx="23">
                  <c:v>784</c:v>
                </c:pt>
                <c:pt idx="24">
                  <c:v>784</c:v>
                </c:pt>
                <c:pt idx="25">
                  <c:v>784</c:v>
                </c:pt>
                <c:pt idx="26">
                  <c:v>784</c:v>
                </c:pt>
                <c:pt idx="27">
                  <c:v>784</c:v>
                </c:pt>
                <c:pt idx="28">
                  <c:v>784</c:v>
                </c:pt>
                <c:pt idx="29">
                  <c:v>784</c:v>
                </c:pt>
                <c:pt idx="30">
                  <c:v>784</c:v>
                </c:pt>
                <c:pt idx="31">
                  <c:v>784</c:v>
                </c:pt>
                <c:pt idx="32">
                  <c:v>784</c:v>
                </c:pt>
                <c:pt idx="33">
                  <c:v>784</c:v>
                </c:pt>
                <c:pt idx="34">
                  <c:v>784</c:v>
                </c:pt>
                <c:pt idx="35">
                  <c:v>784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12.027777777777779</c:v>
                </c:pt>
                <c:pt idx="1">
                  <c:v>14.361111111111111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640</c:v>
                </c:pt>
                <c:pt idx="16">
                  <c:v>640</c:v>
                </c:pt>
                <c:pt idx="17">
                  <c:v>640</c:v>
                </c:pt>
                <c:pt idx="18">
                  <c:v>640</c:v>
                </c:pt>
                <c:pt idx="19">
                  <c:v>640</c:v>
                </c:pt>
                <c:pt idx="20">
                  <c:v>640</c:v>
                </c:pt>
                <c:pt idx="21">
                  <c:v>640</c:v>
                </c:pt>
                <c:pt idx="22">
                  <c:v>640</c:v>
                </c:pt>
                <c:pt idx="23">
                  <c:v>640</c:v>
                </c:pt>
                <c:pt idx="24">
                  <c:v>640</c:v>
                </c:pt>
                <c:pt idx="25">
                  <c:v>640</c:v>
                </c:pt>
                <c:pt idx="26">
                  <c:v>640</c:v>
                </c:pt>
                <c:pt idx="27">
                  <c:v>640</c:v>
                </c:pt>
                <c:pt idx="28">
                  <c:v>640</c:v>
                </c:pt>
                <c:pt idx="29">
                  <c:v>640</c:v>
                </c:pt>
                <c:pt idx="30">
                  <c:v>640</c:v>
                </c:pt>
                <c:pt idx="31">
                  <c:v>640</c:v>
                </c:pt>
                <c:pt idx="32">
                  <c:v>640</c:v>
                </c:pt>
                <c:pt idx="33">
                  <c:v>640</c:v>
                </c:pt>
                <c:pt idx="34">
                  <c:v>640</c:v>
                </c:pt>
                <c:pt idx="35">
                  <c:v>640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779</c:v>
                </c:pt>
                <c:pt idx="16">
                  <c:v>779</c:v>
                </c:pt>
                <c:pt idx="17">
                  <c:v>779</c:v>
                </c:pt>
                <c:pt idx="18">
                  <c:v>779</c:v>
                </c:pt>
                <c:pt idx="19">
                  <c:v>779</c:v>
                </c:pt>
                <c:pt idx="20">
                  <c:v>779</c:v>
                </c:pt>
                <c:pt idx="21">
                  <c:v>779</c:v>
                </c:pt>
                <c:pt idx="22">
                  <c:v>779</c:v>
                </c:pt>
                <c:pt idx="23">
                  <c:v>779</c:v>
                </c:pt>
                <c:pt idx="24">
                  <c:v>779</c:v>
                </c:pt>
                <c:pt idx="25">
                  <c:v>779</c:v>
                </c:pt>
                <c:pt idx="26">
                  <c:v>779</c:v>
                </c:pt>
                <c:pt idx="27">
                  <c:v>779</c:v>
                </c:pt>
                <c:pt idx="28">
                  <c:v>779</c:v>
                </c:pt>
                <c:pt idx="29">
                  <c:v>779</c:v>
                </c:pt>
                <c:pt idx="30">
                  <c:v>779</c:v>
                </c:pt>
                <c:pt idx="31">
                  <c:v>779</c:v>
                </c:pt>
                <c:pt idx="32">
                  <c:v>779</c:v>
                </c:pt>
                <c:pt idx="33">
                  <c:v>779</c:v>
                </c:pt>
                <c:pt idx="34">
                  <c:v>779</c:v>
                </c:pt>
                <c:pt idx="35">
                  <c:v>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107" activePane="bottomLeft" state="frozen"/>
      <selection pane="bottomLeft" activeCell="F119" sqref="F119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34</v>
      </c>
      <c r="H102" s="11">
        <f>IF(E102="","",SUMIFS(RaceResults!$C:$C,RaceResults!$A:$A,$A102,RaceResults!$D:$D,E102))</f>
        <v>7</v>
      </c>
      <c r="I102" s="11">
        <f>IF(F102="","",SUMIFS(RaceResults!$C:$C,RaceResults!$A:$A,$A102,RaceResults!$D:$D,F102))</f>
        <v>2</v>
      </c>
      <c r="J102" s="11">
        <f>IF(D102="","",SUMIFS(RaceResults!$E:$E,RaceResults!$A:$A,$A102,RaceResults!$D:$D,D102))</f>
        <v>3</v>
      </c>
      <c r="K102" s="11">
        <f>IF(E102="","",SUMIFS(RaceResults!$E:$E,RaceResults!$A:$A,$A102,RaceResults!$D:$D,E102))</f>
        <v>30</v>
      </c>
      <c r="L102" s="11">
        <f>IF(F102="","",SUMIFS(RaceResults!$E:$E,RaceResults!$A:$A,$A102,RaceResults!$D:$D,F102))</f>
        <v>35</v>
      </c>
      <c r="M102" s="11">
        <f t="shared" si="1"/>
        <v>68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2</v>
      </c>
      <c r="H103" s="11">
        <f>IF(E103="","",SUMIFS(RaceResults!$C:$C,RaceResults!$A:$A,$A103,RaceResults!$D:$D,E103))</f>
        <v>6</v>
      </c>
      <c r="I103" s="11">
        <f>IF(F103="","",SUMIFS(RaceResults!$C:$C,RaceResults!$A:$A,$A103,RaceResults!$D:$D,F103))</f>
        <v>4</v>
      </c>
      <c r="J103" s="11">
        <f>IF(D103="","",SUMIFS(RaceResults!$E:$E,RaceResults!$A:$A,$A103,RaceResults!$D:$D,D103))</f>
        <v>35</v>
      </c>
      <c r="K103" s="11">
        <f>IF(E103="","",SUMIFS(RaceResults!$E:$E,RaceResults!$A:$A,$A103,RaceResults!$D:$D,E103))</f>
        <v>31</v>
      </c>
      <c r="L103" s="11">
        <f>IF(F103="","",SUMIFS(RaceResults!$E:$E,RaceResults!$A:$A,$A103,RaceResults!$D:$D,F103))</f>
        <v>33</v>
      </c>
      <c r="M103" s="11">
        <f t="shared" si="1"/>
        <v>99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5</v>
      </c>
      <c r="H104" s="11">
        <f>IF(E104="","",SUMIFS(RaceResults!$C:$C,RaceResults!$A:$A,$A104,RaceResults!$D:$D,E104))</f>
        <v>23</v>
      </c>
      <c r="I104" s="11">
        <f>IF(F104="","",SUMIFS(RaceResults!$C:$C,RaceResults!$A:$A,$A104,RaceResults!$D:$D,F104))</f>
        <v>38</v>
      </c>
      <c r="J104" s="11">
        <f>IF(D104="","",SUMIFS(RaceResults!$E:$E,RaceResults!$A:$A,$A104,RaceResults!$D:$D,D104))</f>
        <v>32</v>
      </c>
      <c r="K104" s="11">
        <f>IF(E104="","",SUMIFS(RaceResults!$E:$E,RaceResults!$A:$A,$A104,RaceResults!$D:$D,E104))</f>
        <v>14</v>
      </c>
      <c r="L104" s="11">
        <f>IF(F104="","",SUMIFS(RaceResults!$E:$E,RaceResults!$A:$A,$A104,RaceResults!$D:$D,F104))</f>
        <v>1</v>
      </c>
      <c r="M104" s="11">
        <f t="shared" si="1"/>
        <v>47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2</v>
      </c>
      <c r="H105" s="11">
        <f>IF(E105="","",SUMIFS(RaceResults!$C:$C,RaceResults!$A:$A,$A105,RaceResults!$D:$D,E105))</f>
        <v>7</v>
      </c>
      <c r="I105" s="11">
        <f>IF(F105="","",SUMIFS(RaceResults!$C:$C,RaceResults!$A:$A,$A105,RaceResults!$D:$D,F105))</f>
        <v>10</v>
      </c>
      <c r="J105" s="11">
        <f>IF(D105="","",SUMIFS(RaceResults!$E:$E,RaceResults!$A:$A,$A105,RaceResults!$D:$D,D105))</f>
        <v>35</v>
      </c>
      <c r="K105" s="11">
        <f>IF(E105="","",SUMIFS(RaceResults!$E:$E,RaceResults!$A:$A,$A105,RaceResults!$D:$D,E105))</f>
        <v>30</v>
      </c>
      <c r="L105" s="11">
        <f>IF(F105="","",SUMIFS(RaceResults!$E:$E,RaceResults!$A:$A,$A105,RaceResults!$D:$D,F105))</f>
        <v>27</v>
      </c>
      <c r="M105" s="11">
        <f t="shared" si="1"/>
        <v>92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38</v>
      </c>
      <c r="H106" s="11">
        <f>IF(E106="","",SUMIFS(RaceResults!$C:$C,RaceResults!$A:$A,$A106,RaceResults!$D:$D,E106))</f>
        <v>2</v>
      </c>
      <c r="I106" s="11">
        <f>IF(F106="","",SUMIFS(RaceResults!$C:$C,RaceResults!$A:$A,$A106,RaceResults!$D:$D,F106))</f>
        <v>37</v>
      </c>
      <c r="J106" s="11">
        <f>IF(D106="","",SUMIFS(RaceResults!$E:$E,RaceResults!$A:$A,$A106,RaceResults!$D:$D,D106))</f>
        <v>1</v>
      </c>
      <c r="K106" s="11">
        <f>IF(E106="","",SUMIFS(RaceResults!$E:$E,RaceResults!$A:$A,$A106,RaceResults!$D:$D,E106))</f>
        <v>35</v>
      </c>
      <c r="L106" s="11">
        <f>IF(F106="","",SUMIFS(RaceResults!$E:$E,RaceResults!$A:$A,$A106,RaceResults!$D:$D,F106))</f>
        <v>1</v>
      </c>
      <c r="M106" s="11">
        <f t="shared" si="1"/>
        <v>37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23</v>
      </c>
      <c r="H107" s="11">
        <f>IF(E107="","",SUMIFS(RaceResults!$C:$C,RaceResults!$A:$A,$A107,RaceResults!$D:$D,E107))</f>
        <v>7</v>
      </c>
      <c r="I107" s="11">
        <f>IF(F107="","",SUMIFS(RaceResults!$C:$C,RaceResults!$A:$A,$A107,RaceResults!$D:$D,F107))</f>
        <v>4</v>
      </c>
      <c r="J107" s="11">
        <f>IF(D107="","",SUMIFS(RaceResults!$E:$E,RaceResults!$A:$A,$A107,RaceResults!$D:$D,D107))</f>
        <v>14</v>
      </c>
      <c r="K107" s="11">
        <f>IF(E107="","",SUMIFS(RaceResults!$E:$E,RaceResults!$A:$A,$A107,RaceResults!$D:$D,E107))</f>
        <v>30</v>
      </c>
      <c r="L107" s="11">
        <f>IF(F107="","",SUMIFS(RaceResults!$E:$E,RaceResults!$A:$A,$A107,RaceResults!$D:$D,F107))</f>
        <v>33</v>
      </c>
      <c r="M107" s="11">
        <f t="shared" si="1"/>
        <v>77</v>
      </c>
    </row>
    <row r="108" spans="1:13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11">
        <f>IF(D108="","",SUMIFS(RaceResults!$C:$C,RaceResults!$A:$A,$A108,RaceResults!$D:$D,D108))</f>
        <v>3</v>
      </c>
      <c r="H108" s="11">
        <f>IF(E108="","",SUMIFS(RaceResults!$C:$C,RaceResults!$A:$A,$A108,RaceResults!$D:$D,E108))</f>
        <v>34</v>
      </c>
      <c r="I108" s="11">
        <f>IF(F108="","",SUMIFS(RaceResults!$C:$C,RaceResults!$A:$A,$A108,RaceResults!$D:$D,F108))</f>
        <v>1</v>
      </c>
      <c r="J108" s="11">
        <f>IF(D108="","",SUMIFS(RaceResults!$E:$E,RaceResults!$A:$A,$A108,RaceResults!$D:$D,D108))</f>
        <v>34</v>
      </c>
      <c r="K108" s="11">
        <f>IF(E108="","",SUMIFS(RaceResults!$E:$E,RaceResults!$A:$A,$A108,RaceResults!$D:$D,E108))</f>
        <v>3</v>
      </c>
      <c r="L108" s="11">
        <f>IF(F108="","",SUMIFS(RaceResults!$E:$E,RaceResults!$A:$A,$A108,RaceResults!$D:$D,F108))</f>
        <v>55</v>
      </c>
      <c r="M108" s="11">
        <f t="shared" si="1"/>
        <v>92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34</v>
      </c>
      <c r="H110" s="11">
        <f>IF(E110="","",SUMIFS(RaceResults!$C:$C,RaceResults!$A:$A,$A110,RaceResults!$D:$D,E110))</f>
        <v>2</v>
      </c>
      <c r="I110" s="11">
        <f>IF(F110="","",SUMIFS(RaceResults!$C:$C,RaceResults!$A:$A,$A110,RaceResults!$D:$D,F110))</f>
        <v>7</v>
      </c>
      <c r="J110" s="11">
        <f>IF(D110="","",SUMIFS(RaceResults!$E:$E,RaceResults!$A:$A,$A110,RaceResults!$D:$D,D110))</f>
        <v>3</v>
      </c>
      <c r="K110" s="11">
        <f>IF(E110="","",SUMIFS(RaceResults!$E:$E,RaceResults!$A:$A,$A110,RaceResults!$D:$D,E110))</f>
        <v>35</v>
      </c>
      <c r="L110" s="11">
        <f>IF(F110="","",SUMIFS(RaceResults!$E:$E,RaceResults!$A:$A,$A110,RaceResults!$D:$D,F110))</f>
        <v>30</v>
      </c>
      <c r="M110" s="11">
        <f t="shared" si="1"/>
        <v>68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2</v>
      </c>
      <c r="H111" s="11">
        <f>IF(E111="","",SUMIFS(RaceResults!$C:$C,RaceResults!$A:$A,$A111,RaceResults!$D:$D,E111))</f>
        <v>20</v>
      </c>
      <c r="I111" s="11">
        <f>IF(F111="","",SUMIFS(RaceResults!$C:$C,RaceResults!$A:$A,$A111,RaceResults!$D:$D,F111))</f>
        <v>36</v>
      </c>
      <c r="J111" s="11">
        <f>IF(D111="","",SUMIFS(RaceResults!$E:$E,RaceResults!$A:$A,$A111,RaceResults!$D:$D,D111))</f>
        <v>35</v>
      </c>
      <c r="K111" s="11">
        <f>IF(E111="","",SUMIFS(RaceResults!$E:$E,RaceResults!$A:$A,$A111,RaceResults!$D:$D,E111))</f>
        <v>17</v>
      </c>
      <c r="L111" s="11">
        <f>IF(F111="","",SUMIFS(RaceResults!$E:$E,RaceResults!$A:$A,$A111,RaceResults!$D:$D,F111))</f>
        <v>1</v>
      </c>
      <c r="M111" s="11">
        <f t="shared" si="1"/>
        <v>53</v>
      </c>
    </row>
    <row r="112" spans="1:13" x14ac:dyDescent="0.3">
      <c r="A112" s="9">
        <v>12</v>
      </c>
      <c r="B112" s="9" t="s">
        <v>71</v>
      </c>
      <c r="C112" s="10" t="s">
        <v>21</v>
      </c>
      <c r="D112" s="3">
        <v>97</v>
      </c>
      <c r="E112" s="3">
        <v>12</v>
      </c>
      <c r="F112" s="3">
        <v>2</v>
      </c>
      <c r="G112" s="11">
        <f>IF(D112="","",SUMIFS(RaceResults!$C:$C,RaceResults!$A:$A,$A112,RaceResults!$D:$D,D112))</f>
        <v>0</v>
      </c>
      <c r="H112" s="11">
        <f>IF(E112="","",SUMIFS(RaceResults!$C:$C,RaceResults!$A:$A,$A112,RaceResults!$D:$D,E112))</f>
        <v>0</v>
      </c>
      <c r="I112" s="11">
        <f>IF(F112="","",SUMIFS(RaceResults!$C:$C,RaceResults!$A:$A,$A112,RaceResults!$D:$D,F112))</f>
        <v>0</v>
      </c>
      <c r="J112" s="11">
        <f>IF(D112="","",SUMIFS(RaceResults!$E:$E,RaceResults!$A:$A,$A112,RaceResults!$D:$D,D112))</f>
        <v>0</v>
      </c>
      <c r="K112" s="11">
        <f>IF(E112="","",SUMIFS(RaceResults!$E:$E,RaceResults!$A:$A,$A112,RaceResults!$D:$D,E112))</f>
        <v>0</v>
      </c>
      <c r="L112" s="11">
        <f>IF(F112="","",SUMIFS(RaceResults!$E:$E,RaceResults!$A:$A,$A112,RaceResults!$D:$D,F112))</f>
        <v>0</v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>
        <v>97</v>
      </c>
      <c r="E113" s="3">
        <v>1</v>
      </c>
      <c r="F113" s="3">
        <v>12</v>
      </c>
      <c r="G113" s="11">
        <f>IF(D113="","",SUMIFS(RaceResults!$C:$C,RaceResults!$A:$A,$A113,RaceResults!$D:$D,D113))</f>
        <v>0</v>
      </c>
      <c r="H113" s="11">
        <f>IF(E113="","",SUMIFS(RaceResults!$C:$C,RaceResults!$A:$A,$A113,RaceResults!$D:$D,E113))</f>
        <v>0</v>
      </c>
      <c r="I113" s="11">
        <f>IF(F113="","",SUMIFS(RaceResults!$C:$C,RaceResults!$A:$A,$A113,RaceResults!$D:$D,F113))</f>
        <v>0</v>
      </c>
      <c r="J113" s="11">
        <f>IF(D113="","",SUMIFS(RaceResults!$E:$E,RaceResults!$A:$A,$A113,RaceResults!$D:$D,D113))</f>
        <v>0</v>
      </c>
      <c r="K113" s="11">
        <f>IF(E113="","",SUMIFS(RaceResults!$E:$E,RaceResults!$A:$A,$A113,RaceResults!$D:$D,E113))</f>
        <v>0</v>
      </c>
      <c r="L113" s="11">
        <f>IF(F113="","",SUMIFS(RaceResults!$E:$E,RaceResults!$A:$A,$A113,RaceResults!$D:$D,F113))</f>
        <v>0</v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>
        <v>97</v>
      </c>
      <c r="E114" s="3">
        <v>20</v>
      </c>
      <c r="F114" s="3">
        <v>17</v>
      </c>
      <c r="G114" s="11">
        <f>IF(D114="","",SUMIFS(RaceResults!$C:$C,RaceResults!$A:$A,$A114,RaceResults!$D:$D,D114))</f>
        <v>0</v>
      </c>
      <c r="H114" s="11">
        <f>IF(E114="","",SUMIFS(RaceResults!$C:$C,RaceResults!$A:$A,$A114,RaceResults!$D:$D,E114))</f>
        <v>0</v>
      </c>
      <c r="I114" s="11">
        <f>IF(F114="","",SUMIFS(RaceResults!$C:$C,RaceResults!$A:$A,$A114,RaceResults!$D:$D,F114))</f>
        <v>0</v>
      </c>
      <c r="J114" s="11">
        <f>IF(D114="","",SUMIFS(RaceResults!$E:$E,RaceResults!$A:$A,$A114,RaceResults!$D:$D,D114))</f>
        <v>0</v>
      </c>
      <c r="K114" s="11">
        <f>IF(E114="","",SUMIFS(RaceResults!$E:$E,RaceResults!$A:$A,$A114,RaceResults!$D:$D,E114))</f>
        <v>0</v>
      </c>
      <c r="L114" s="11">
        <f>IF(F114="","",SUMIFS(RaceResults!$E:$E,RaceResults!$A:$A,$A114,RaceResults!$D:$D,F114))</f>
        <v>0</v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>
        <v>97</v>
      </c>
      <c r="E115" s="3">
        <v>12</v>
      </c>
      <c r="F115" s="3">
        <v>20</v>
      </c>
      <c r="G115" s="11">
        <f>IF(D115="","",SUMIFS(RaceResults!$C:$C,RaceResults!$A:$A,$A115,RaceResults!$D:$D,D115))</f>
        <v>0</v>
      </c>
      <c r="H115" s="11">
        <f>IF(E115="","",SUMIFS(RaceResults!$C:$C,RaceResults!$A:$A,$A115,RaceResults!$D:$D,E115))</f>
        <v>0</v>
      </c>
      <c r="I115" s="11">
        <f>IF(F115="","",SUMIFS(RaceResults!$C:$C,RaceResults!$A:$A,$A115,RaceResults!$D:$D,F115))</f>
        <v>0</v>
      </c>
      <c r="J115" s="11">
        <f>IF(D115="","",SUMIFS(RaceResults!$E:$E,RaceResults!$A:$A,$A115,RaceResults!$D:$D,D115))</f>
        <v>0</v>
      </c>
      <c r="K115" s="11">
        <f>IF(E115="","",SUMIFS(RaceResults!$E:$E,RaceResults!$A:$A,$A115,RaceResults!$D:$D,E115))</f>
        <v>0</v>
      </c>
      <c r="L115" s="11">
        <f>IF(F115="","",SUMIFS(RaceResults!$E:$E,RaceResults!$A:$A,$A115,RaceResults!$D:$D,F115))</f>
        <v>0</v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>
        <v>22</v>
      </c>
      <c r="E116" s="3">
        <v>2</v>
      </c>
      <c r="F116" s="3">
        <v>20</v>
      </c>
      <c r="G116" s="11">
        <f>IF(D116="","",SUMIFS(RaceResults!$C:$C,RaceResults!$A:$A,$A116,RaceResults!$D:$D,D116))</f>
        <v>0</v>
      </c>
      <c r="H116" s="11">
        <f>IF(E116="","",SUMIFS(RaceResults!$C:$C,RaceResults!$A:$A,$A116,RaceResults!$D:$D,E116))</f>
        <v>0</v>
      </c>
      <c r="I116" s="11">
        <f>IF(F116="","",SUMIFS(RaceResults!$C:$C,RaceResults!$A:$A,$A116,RaceResults!$D:$D,F116))</f>
        <v>0</v>
      </c>
      <c r="J116" s="11">
        <f>IF(D116="","",SUMIFS(RaceResults!$E:$E,RaceResults!$A:$A,$A116,RaceResults!$D:$D,D116))</f>
        <v>0</v>
      </c>
      <c r="K116" s="11">
        <f>IF(E116="","",SUMIFS(RaceResults!$E:$E,RaceResults!$A:$A,$A116,RaceResults!$D:$D,E116))</f>
        <v>0</v>
      </c>
      <c r="L116" s="11">
        <f>IF(F116="","",SUMIFS(RaceResults!$E:$E,RaceResults!$A:$A,$A116,RaceResults!$D:$D,F116))</f>
        <v>0</v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>
        <v>97</v>
      </c>
      <c r="E117" s="3">
        <v>20</v>
      </c>
      <c r="F117" s="3">
        <v>45</v>
      </c>
      <c r="G117" s="11">
        <f>IF(D117="","",SUMIFS(RaceResults!$C:$C,RaceResults!$A:$A,$A117,RaceResults!$D:$D,D117))</f>
        <v>0</v>
      </c>
      <c r="H117" s="11">
        <f>IF(E117="","",SUMIFS(RaceResults!$C:$C,RaceResults!$A:$A,$A117,RaceResults!$D:$D,E117))</f>
        <v>0</v>
      </c>
      <c r="I117" s="11">
        <f>IF(F117="","",SUMIFS(RaceResults!$C:$C,RaceResults!$A:$A,$A117,RaceResults!$D:$D,F117))</f>
        <v>0</v>
      </c>
      <c r="J117" s="11">
        <f>IF(D117="","",SUMIFS(RaceResults!$E:$E,RaceResults!$A:$A,$A117,RaceResults!$D:$D,D117))</f>
        <v>0</v>
      </c>
      <c r="K117" s="11">
        <f>IF(E117="","",SUMIFS(RaceResults!$E:$E,RaceResults!$A:$A,$A117,RaceResults!$D:$D,E117))</f>
        <v>0</v>
      </c>
      <c r="L117" s="11">
        <f>IF(F117="","",SUMIFS(RaceResults!$E:$E,RaceResults!$A:$A,$A117,RaceResults!$D:$D,F117))</f>
        <v>0</v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>
        <v>24</v>
      </c>
      <c r="E118" s="3">
        <v>5</v>
      </c>
      <c r="F118" s="3">
        <v>9</v>
      </c>
      <c r="G118" s="11">
        <f>IF(D118="","",SUMIFS(RaceResults!$C:$C,RaceResults!$A:$A,$A118,RaceResults!$D:$D,D118))</f>
        <v>0</v>
      </c>
      <c r="H118" s="11">
        <f>IF(E118="","",SUMIFS(RaceResults!$C:$C,RaceResults!$A:$A,$A118,RaceResults!$D:$D,E118))</f>
        <v>0</v>
      </c>
      <c r="I118" s="11">
        <f>IF(F118="","",SUMIFS(RaceResults!$C:$C,RaceResults!$A:$A,$A118,RaceResults!$D:$D,F118))</f>
        <v>0</v>
      </c>
      <c r="J118" s="11">
        <f>IF(D118="","",SUMIFS(RaceResults!$E:$E,RaceResults!$A:$A,$A118,RaceResults!$D:$D,D118))</f>
        <v>0</v>
      </c>
      <c r="K118" s="11">
        <f>IF(E118="","",SUMIFS(RaceResults!$E:$E,RaceResults!$A:$A,$A118,RaceResults!$D:$D,E118))</f>
        <v>0</v>
      </c>
      <c r="L118" s="11">
        <f>IF(F118="","",SUMIFS(RaceResults!$E:$E,RaceResults!$A:$A,$A118,RaceResults!$D:$D,F118))</f>
        <v>0</v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>
        <v>5</v>
      </c>
      <c r="E120" s="3">
        <v>97</v>
      </c>
      <c r="F120" s="3">
        <v>9</v>
      </c>
      <c r="G120" s="11">
        <f>IF(D120="","",SUMIFS(RaceResults!$C:$C,RaceResults!$A:$A,$A120,RaceResults!$D:$D,D120))</f>
        <v>0</v>
      </c>
      <c r="H120" s="11">
        <f>IF(E120="","",SUMIFS(RaceResults!$C:$C,RaceResults!$A:$A,$A120,RaceResults!$D:$D,E120))</f>
        <v>0</v>
      </c>
      <c r="I120" s="11">
        <f>IF(F120="","",SUMIFS(RaceResults!$C:$C,RaceResults!$A:$A,$A120,RaceResults!$D:$D,F120))</f>
        <v>0</v>
      </c>
      <c r="J120" s="11">
        <f>IF(D120="","",SUMIFS(RaceResults!$E:$E,RaceResults!$A:$A,$A120,RaceResults!$D:$D,D120))</f>
        <v>0</v>
      </c>
      <c r="K120" s="11">
        <f>IF(E120="","",SUMIFS(RaceResults!$E:$E,RaceResults!$A:$A,$A120,RaceResults!$D:$D,E120))</f>
        <v>0</v>
      </c>
      <c r="L120" s="11">
        <f>IF(F120="","",SUMIFS(RaceResults!$E:$E,RaceResults!$A:$A,$A120,RaceResults!$D:$D,F120))</f>
        <v>0</v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>
        <v>1</v>
      </c>
      <c r="E121" s="3">
        <v>22</v>
      </c>
      <c r="F121" s="3">
        <v>20</v>
      </c>
      <c r="G121" s="11">
        <f>IF(D121="","",SUMIFS(RaceResults!$C:$C,RaceResults!$A:$A,$A121,RaceResults!$D:$D,D121))</f>
        <v>0</v>
      </c>
      <c r="H121" s="11">
        <f>IF(E121="","",SUMIFS(RaceResults!$C:$C,RaceResults!$A:$A,$A121,RaceResults!$D:$D,E121))</f>
        <v>0</v>
      </c>
      <c r="I121" s="11">
        <f>IF(F121="","",SUMIFS(RaceResults!$C:$C,RaceResults!$A:$A,$A121,RaceResults!$D:$D,F121))</f>
        <v>0</v>
      </c>
      <c r="J121" s="11">
        <f>IF(D121="","",SUMIFS(RaceResults!$E:$E,RaceResults!$A:$A,$A121,RaceResults!$D:$D,D121))</f>
        <v>0</v>
      </c>
      <c r="K121" s="11">
        <f>IF(E121="","",SUMIFS(RaceResults!$E:$E,RaceResults!$A:$A,$A121,RaceResults!$D:$D,E121))</f>
        <v>0</v>
      </c>
      <c r="L121" s="11">
        <f>IF(F121="","",SUMIFS(RaceResults!$E:$E,RaceResults!$A:$A,$A121,RaceResults!$D:$D,F121))</f>
        <v>0</v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>Meg</v>
      </c>
      <c r="D12">
        <f>MAX(WeeklyPicks!$M$102:$M$111)</f>
        <v>99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>
        <f>IF(MAX(Calc!$F$302:$F$331)=0,"",INDEX(Calc!$E$302:$E$331,MATCH(MAX(Calc!$F$302:$F$331),Calc!$F$302:$F$331,0)))</f>
        <v>20</v>
      </c>
      <c r="H12">
        <f>MAX(Calc!$F$302:$F$331)</f>
        <v>38</v>
      </c>
      <c r="I12" t="str">
        <f>IF(H12=0,"",INDEX(Calc!$C$302:$C$331,MATCH(H12,Calc!$F$302:$F$331,0)))</f>
        <v>Darin</v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>
        <f>IF(MAX(CountCalc!$D$1091:$D$1189)=0,"",INDEX(CountCalc!$C$1091:$C$1189,MATCH(MAX(CountCalc!$D$1091:$D$1189),CountCalc!$D$1091:$D$1189,0)))</f>
        <v>97</v>
      </c>
      <c r="F13">
        <f>MAX(CountCalc!$D$1091:$D$1189)</f>
        <v>6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428" activePane="bottomLeft" state="frozen"/>
      <selection pane="bottomLeft" activeCell="G435" sqref="G435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>
        <v>9</v>
      </c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>
        <v>11</v>
      </c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>
        <v>48</v>
      </c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>
        <v>45</v>
      </c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>
        <v>17</v>
      </c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>
        <v>7</v>
      </c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>
        <v>77</v>
      </c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>
        <v>24</v>
      </c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>
        <v>23</v>
      </c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>
        <v>12</v>
      </c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>
        <v>35</v>
      </c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>
        <v>43</v>
      </c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>
        <v>6</v>
      </c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>
        <v>60</v>
      </c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>
        <v>2</v>
      </c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>
        <v>88</v>
      </c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>
        <v>97</v>
      </c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>
        <v>3</v>
      </c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>
        <v>47</v>
      </c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>
        <v>8</v>
      </c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>
        <v>42</v>
      </c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>
        <v>38</v>
      </c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>
        <v>19</v>
      </c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>
        <v>10</v>
      </c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>
        <v>16</v>
      </c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>
        <v>1</v>
      </c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>
        <v>71</v>
      </c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>
        <v>4</v>
      </c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>
        <v>21</v>
      </c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>
        <v>51</v>
      </c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>
        <v>67</v>
      </c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>
        <v>34</v>
      </c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>
        <v>66</v>
      </c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>
        <v>5</v>
      </c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>
        <v>41</v>
      </c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>
        <v>54</v>
      </c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>
        <v>22</v>
      </c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>
        <v>20</v>
      </c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34</v>
      </c>
      <c r="G302">
        <f>IF(E302="","",SUMIFS(RaceResults!$E:$E,RaceResults!$A:$A,A302,RaceResults!$D:$D,E302))</f>
        <v>3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7</v>
      </c>
      <c r="G303">
        <f>IF(E303="","",SUMIFS(RaceResults!$E:$E,RaceResults!$A:$A,A303,RaceResults!$D:$D,E303))</f>
        <v>30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2</v>
      </c>
      <c r="G304">
        <f>IF(E304="","",SUMIFS(RaceResults!$E:$E,RaceResults!$A:$A,A304,RaceResults!$D:$D,E304))</f>
        <v>35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2</v>
      </c>
      <c r="G305">
        <f>IF(E305="","",SUMIFS(RaceResults!$E:$E,RaceResults!$A:$A,A305,RaceResults!$D:$D,E305))</f>
        <v>35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6</v>
      </c>
      <c r="G306">
        <f>IF(E306="","",SUMIFS(RaceResults!$E:$E,RaceResults!$A:$A,A306,RaceResults!$D:$D,E306))</f>
        <v>31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4</v>
      </c>
      <c r="G307">
        <f>IF(E307="","",SUMIFS(RaceResults!$E:$E,RaceResults!$A:$A,A307,RaceResults!$D:$D,E307))</f>
        <v>33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5</v>
      </c>
      <c r="G308">
        <f>IF(E308="","",SUMIFS(RaceResults!$E:$E,RaceResults!$A:$A,A308,RaceResults!$D:$D,E308))</f>
        <v>32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23</v>
      </c>
      <c r="G309">
        <f>IF(E309="","",SUMIFS(RaceResults!$E:$E,RaceResults!$A:$A,A309,RaceResults!$D:$D,E309))</f>
        <v>14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38</v>
      </c>
      <c r="G310">
        <f>IF(E310="","",SUMIFS(RaceResults!$E:$E,RaceResults!$A:$A,A310,RaceResults!$D:$D,E310))</f>
        <v>1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2</v>
      </c>
      <c r="G311">
        <f>IF(E311="","",SUMIFS(RaceResults!$E:$E,RaceResults!$A:$A,A311,RaceResults!$D:$D,E311))</f>
        <v>35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7</v>
      </c>
      <c r="G312">
        <f>IF(E312="","",SUMIFS(RaceResults!$E:$E,RaceResults!$A:$A,A312,RaceResults!$D:$D,E312))</f>
        <v>30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10</v>
      </c>
      <c r="G313">
        <f>IF(E313="","",SUMIFS(RaceResults!$E:$E,RaceResults!$A:$A,A313,RaceResults!$D:$D,E313))</f>
        <v>27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38</v>
      </c>
      <c r="G314">
        <f>IF(E314="","",SUMIFS(RaceResults!$E:$E,RaceResults!$A:$A,A314,RaceResults!$D:$D,E314))</f>
        <v>1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2</v>
      </c>
      <c r="G315">
        <f>IF(E315="","",SUMIFS(RaceResults!$E:$E,RaceResults!$A:$A,A315,RaceResults!$D:$D,E315))</f>
        <v>35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37</v>
      </c>
      <c r="G316">
        <f>IF(E316="","",SUMIFS(RaceResults!$E:$E,RaceResults!$A:$A,A316,RaceResults!$D:$D,E316))</f>
        <v>1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23</v>
      </c>
      <c r="G317">
        <f>IF(E317="","",SUMIFS(RaceResults!$E:$E,RaceResults!$A:$A,A317,RaceResults!$D:$D,E317))</f>
        <v>14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7</v>
      </c>
      <c r="G318">
        <f>IF(E318="","",SUMIFS(RaceResults!$E:$E,RaceResults!$A:$A,A318,RaceResults!$D:$D,E318))</f>
        <v>30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4</v>
      </c>
      <c r="G319">
        <f>IF(E319="","",SUMIFS(RaceResults!$E:$E,RaceResults!$A:$A,A319,RaceResults!$D:$D,E319))</f>
        <v>33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3</v>
      </c>
      <c r="G320">
        <f>IF(E320="","",SUMIFS(RaceResults!$E:$E,RaceResults!$A:$A,A320,RaceResults!$D:$D,E320))</f>
        <v>34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34</v>
      </c>
      <c r="G321">
        <f>IF(E321="","",SUMIFS(RaceResults!$E:$E,RaceResults!$A:$A,A321,RaceResults!$D:$D,E321))</f>
        <v>3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1</v>
      </c>
      <c r="G322">
        <f>IF(E322="","",SUMIFS(RaceResults!$E:$E,RaceResults!$A:$A,A322,RaceResults!$D:$D,E322))</f>
        <v>55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34</v>
      </c>
      <c r="G326">
        <f>IF(E326="","",SUMIFS(RaceResults!$E:$E,RaceResults!$A:$A,A326,RaceResults!$D:$D,E326))</f>
        <v>3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2</v>
      </c>
      <c r="G327">
        <f>IF(E327="","",SUMIFS(RaceResults!$E:$E,RaceResults!$A:$A,A327,RaceResults!$D:$D,E327))</f>
        <v>35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7</v>
      </c>
      <c r="G328">
        <f>IF(E328="","",SUMIFS(RaceResults!$E:$E,RaceResults!$A:$A,A328,RaceResults!$D:$D,E328))</f>
        <v>30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2</v>
      </c>
      <c r="G329">
        <f>IF(E329="","",SUMIFS(RaceResults!$E:$E,RaceResults!$A:$A,A329,RaceResults!$D:$D,E329))</f>
        <v>35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20</v>
      </c>
      <c r="G330">
        <f>IF(E330="","",SUMIFS(RaceResults!$E:$E,RaceResults!$A:$A,A330,RaceResults!$D:$D,E330))</f>
        <v>17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36</v>
      </c>
      <c r="G331">
        <f>IF(E331="","",SUMIFS(RaceResults!$E:$E,RaceResults!$A:$A,A331,RaceResults!$D:$D,E331))</f>
        <v>1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97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12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2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97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1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12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97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20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17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97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12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20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22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2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20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97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20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45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24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5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9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5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97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9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1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22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20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2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2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2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2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3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1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5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2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1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1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6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13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3</v>
      </c>
      <c r="C2">
        <f>SUMIF(Calc!$E$2:$E$1081,A2,Calc!$G$2:$G$1081)</f>
        <v>9</v>
      </c>
      <c r="D2">
        <f>IF(B2=0,"",AVERAGEIF(Calc!$E$2:$E$1081,A2,Calc!$F$2:$F$1081))</f>
        <v>9.3333333333333339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3</v>
      </c>
      <c r="C3">
        <f>SUMIF(Calc!$E$2:$E$1081,A3,Calc!$G$2:$G$1081)</f>
        <v>3</v>
      </c>
      <c r="D3">
        <f>IF(B3=0,"",AVERAGEIF(Calc!$E$2:$E$1081,A3,Calc!$F$2:$F$1081))</f>
        <v>11.333333333333334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35</v>
      </c>
      <c r="C6">
        <f>SUMIF(Calc!$E$2:$E$1081,A6,Calc!$G$2:$G$1081)</f>
        <v>695</v>
      </c>
      <c r="D6">
        <f>IF(B6=0,"",AVERAGEIF(Calc!$E$2:$E$1081,A6,Calc!$F$2:$F$1081))</f>
        <v>15.714285714285714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2</v>
      </c>
      <c r="C8">
        <f>SUMIF(Calc!$E$2:$E$1081,A8,Calc!$G$2:$G$1081)</f>
        <v>38</v>
      </c>
      <c r="D8">
        <f>IF(B8=0,"",AVERAGEIF(Calc!$E$2:$E$1081,A8,Calc!$F$2:$F$1081))</f>
        <v>18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17</v>
      </c>
      <c r="D9">
        <f>IF(B9=0,"",AVERAGEIF(Calc!$E$2:$E$1081,A9,Calc!$F$2:$F$1081))</f>
        <v>20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11</v>
      </c>
      <c r="C10">
        <f>SUMIF(Calc!$E$2:$E$1081,A10,Calc!$G$2:$G$1081)</f>
        <v>369</v>
      </c>
      <c r="D10">
        <f>IF(B10=0,"",AVERAGEIF(Calc!$E$2:$E$1081,A10,Calc!$F$2:$F$1081))</f>
        <v>3.6363636363636362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36</v>
      </c>
      <c r="C12">
        <f>SUMIF(Calc!$E$2:$E$1081,A12,Calc!$G$2:$G$1081)</f>
        <v>1216</v>
      </c>
      <c r="D12">
        <f>IF(B12=0,"",AVERAGEIF(Calc!$E$2:$E$1081,A12,Calc!$F$2:$F$1081))</f>
        <v>5.333333333333333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31</v>
      </c>
      <c r="C13">
        <f>SUMIF(Calc!$E$2:$E$1081,A13,Calc!$G$2:$G$1081)</f>
        <v>737</v>
      </c>
      <c r="D13">
        <f>IF(B13=0,"",AVERAGEIF(Calc!$E$2:$E$1081,A13,Calc!$F$2:$F$1081))</f>
        <v>11.612903225806452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4</v>
      </c>
      <c r="C18">
        <f>SUMIF(Calc!$E$2:$E$1081,A18,Calc!$G$2:$G$1081)</f>
        <v>84</v>
      </c>
      <c r="D18">
        <f>IF(B18=0,"",AVERAGEIF(Calc!$E$2:$E$1081,A18,Calc!$F$2:$F$1081))</f>
        <v>6.75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5</v>
      </c>
      <c r="C20">
        <f>SUMIF(Calc!$E$2:$E$1081,A20,Calc!$G$2:$G$1081)</f>
        <v>31</v>
      </c>
      <c r="D20">
        <f>IF(B20=0,"",AVERAGEIF(Calc!$E$2:$E$1081,A20,Calc!$F$2:$F$1081))</f>
        <v>31.4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16</v>
      </c>
      <c r="C21">
        <f>SUMIF(Calc!$E$2:$E$1081,A21,Calc!$G$2:$G$1081)</f>
        <v>236</v>
      </c>
      <c r="D21">
        <f>IF(B21=0,"",AVERAGEIF(Calc!$E$2:$E$1081,A21,Calc!$F$2:$F$1081))</f>
        <v>10.9375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8</v>
      </c>
      <c r="C23">
        <f>SUMIF(Calc!$E$2:$E$1081,A23,Calc!$G$2:$G$1081)</f>
        <v>43</v>
      </c>
      <c r="D23">
        <f>IF(B23=0,"",AVERAGEIF(Calc!$E$2:$E$1081,A23,Calc!$F$2:$F$1081))</f>
        <v>23.25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7</v>
      </c>
      <c r="C24">
        <f>SUMIF(Calc!$E$2:$E$1081,A24,Calc!$G$2:$G$1081)</f>
        <v>88</v>
      </c>
      <c r="D24">
        <f>IF(B24=0,"",AVERAGEIF(Calc!$E$2:$E$1081,A24,Calc!$F$2:$F$1081))</f>
        <v>24.428571428571427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15</v>
      </c>
      <c r="C25">
        <f>SUMIF(Calc!$E$2:$E$1081,A25,Calc!$G$2:$G$1081)</f>
        <v>315</v>
      </c>
      <c r="D25">
        <f>IF(B25=0,"",AVERAGEIF(Calc!$E$2:$E$1081,A25,Calc!$F$2:$F$1081))</f>
        <v>13.533333333333333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25</v>
      </c>
      <c r="C46">
        <f>SUMIF(Calc!$E$2:$E$1081,A46,Calc!$G$2:$G$1081)</f>
        <v>882</v>
      </c>
      <c r="D46">
        <f>IF(B46=0,"",AVERAGEIF(Calc!$E$2:$E$1081,A46,Calc!$F$2:$F$1081))</f>
        <v>6.32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1</v>
      </c>
      <c r="C49">
        <f>SUMIF(Calc!$E$2:$E$1081,A49,Calc!$G$2:$G$1081)</f>
        <v>34</v>
      </c>
      <c r="D49">
        <f>IF(B49=0,"",AVERAGEIF(Calc!$E$2:$E$1081,A49,Calc!$F$2:$F$1081))</f>
        <v>3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11</v>
      </c>
      <c r="C55">
        <f>SUMIF(Calc!$E$2:$E$1081,A55,Calc!$G$2:$G$1081)</f>
        <v>340</v>
      </c>
      <c r="D55">
        <f>IF(B55=0,"",AVERAGEIF(Calc!$E$2:$E$1081,A55,Calc!$F$2:$F$1081))</f>
        <v>11.272727272727273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5</v>
      </c>
      <c r="C78">
        <f>SUMIF(Calc!$E$2:$E$1081,A78,Calc!$G$2:$G$1081)</f>
        <v>140</v>
      </c>
      <c r="D78">
        <f>IF(B78=0,"",AVERAGEIF(Calc!$E$2:$E$1081,A78,Calc!$F$2:$F$1081))</f>
        <v>9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10</v>
      </c>
      <c r="C98">
        <f>SUMIF(Calc!$E$2:$E$1081,A98,Calc!$G$2:$G$1081)</f>
        <v>122</v>
      </c>
      <c r="D98">
        <f>IF(B98=0,"",AVERAGEIF(Calc!$E$2:$E$1081,A98,Calc!$F$2:$F$1081))</f>
        <v>2.6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7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3</v>
      </c>
      <c r="B4" t="s">
        <v>21</v>
      </c>
      <c r="C4">
        <f>SUMIF(WeeklyPicks!$C:$C,B4,WeeklyPicks!$M:$M)</f>
        <v>771</v>
      </c>
      <c r="D4">
        <f>COUNTIF(RaceSummary!$C:$C,B4)</f>
        <v>2</v>
      </c>
      <c r="E4">
        <f>IF(COUNTIF(WeeklyPicks!$C:$C,B4)=0,"",AVERAGEIF(WeeklyPicks!$C:$C,B4,WeeklyPicks!$M:$M))</f>
        <v>21.416666666666668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1</v>
      </c>
      <c r="B5" t="s">
        <v>22</v>
      </c>
      <c r="C5">
        <f>SUMIF(WeeklyPicks!$C:$C,B5,WeeklyPicks!$M:$M)</f>
        <v>784</v>
      </c>
      <c r="D5">
        <f>COUNTIF(RaceSummary!$C:$C,B5)</f>
        <v>3</v>
      </c>
      <c r="E5">
        <f>IF(COUNTIF(WeeklyPicks!$C:$C,B5)=0,"",AVERAGEIF(WeeklyPicks!$C:$C,B5,WeeklyPicks!$M:$M))</f>
        <v>21.777777777777779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640</v>
      </c>
      <c r="D6">
        <f>COUNTIF(RaceSummary!$C:$C,B6)</f>
        <v>1</v>
      </c>
      <c r="E6">
        <f>IF(COUNTIF(WeeklyPicks!$C:$C,B6)=0,"",AVERAGEIF(WeeklyPicks!$C:$C,B6,WeeklyPicks!$M:$M))</f>
        <v>17.777777777777779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779</v>
      </c>
      <c r="D7">
        <f>COUNTIF(RaceSummary!$C:$C,B7)</f>
        <v>1</v>
      </c>
      <c r="E7">
        <f>IF(COUNTIF(WeeklyPicks!$C:$C,B7)=0,"",AVERAGEIF(WeeklyPicks!$C:$C,B7,WeeklyPicks!$M:$M))</f>
        <v>21.638888888888889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575</v>
      </c>
      <c r="D8">
        <f>COUNTIF(RaceSummary!$C:$C,B8)</f>
        <v>1</v>
      </c>
      <c r="E8">
        <f>IF(COUNTIF(WeeklyPicks!$C:$C,B8)=0,"",AVERAGEIF(WeeklyPicks!$C:$C,B8,WeeklyPicks!$M:$M))</f>
        <v>15.972222222222221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574</v>
      </c>
      <c r="D9">
        <f>COUNTIF(RaceSummary!$C:$C,B9)</f>
        <v>0</v>
      </c>
      <c r="E9">
        <f>IF(COUNTIF(WeeklyPicks!$C:$C,B9)=0,"",AVERAGEIF(WeeklyPicks!$C:$C,B9,WeeklyPicks!$M:$M))</f>
        <v>15.944444444444445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337</v>
      </c>
      <c r="D10" s="21">
        <f>COUNTIF(RaceSummary!$C:$C,B10)</f>
        <v>0</v>
      </c>
      <c r="E10" s="21">
        <f>IF(COUNTIF(WeeklyPicks!$C:$C,B10)=0,"",AVERAGEIF(WeeklyPicks!$C:$C,B10,WeeklyPicks!$M:$M))</f>
        <v>9.3611111111111107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433</v>
      </c>
      <c r="D12">
        <f>COUNTIF(RaceSummary!$C:$C,B12)</f>
        <v>0</v>
      </c>
      <c r="E12">
        <f>IF(COUNTIF(WeeklyPicks!$C:$C,B12)=0,"",AVERAGEIF(WeeklyPicks!$C:$C,B12,WeeklyPicks!$M:$M))</f>
        <v>12.027777777777779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517</v>
      </c>
      <c r="D13">
        <f>COUNTIF(RaceSummary!$C:$C,B13)</f>
        <v>1</v>
      </c>
      <c r="E13">
        <f>IF(COUNTIF(WeeklyPicks!$C:$C,B13)=0,"",AVERAGEIF(WeeklyPicks!$C:$C,B13,WeeklyPicks!$M:$M))</f>
        <v>14.361111111111111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771</v>
      </c>
      <c r="D27">
        <f>SUMIFS(WeeklyPicks!$M:$M,WeeklyPicks!$A:$A,"&lt;="&amp;$A27,WeeklyPicks!$C:$C,D$16)</f>
        <v>784</v>
      </c>
      <c r="E27">
        <f>SUMIFS(WeeklyPicks!$M:$M,WeeklyPicks!$A:$A,"&lt;="&amp;$A27,WeeklyPicks!$C:$C,E$16)</f>
        <v>640</v>
      </c>
      <c r="F27">
        <f>SUMIFS(WeeklyPicks!$M:$M,WeeklyPicks!$A:$A,"&lt;="&amp;$A27,WeeklyPicks!$C:$C,F$16)</f>
        <v>779</v>
      </c>
      <c r="G27">
        <f>SUMIFS(WeeklyPicks!$M:$M,WeeklyPicks!$A:$A,"&lt;="&amp;$A27,WeeklyPicks!$C:$C,G$16)</f>
        <v>575</v>
      </c>
      <c r="H27">
        <f>SUMIFS(WeeklyPicks!$M:$M,WeeklyPicks!$A:$A,"&lt;="&amp;$A27,WeeklyPicks!$C:$C,H$16)</f>
        <v>574</v>
      </c>
      <c r="I27">
        <f>SUMIFS(WeeklyPicks!$M:$M,WeeklyPicks!$A:$A,"&lt;="&amp;$A27,WeeklyPicks!$C:$C,I$16)</f>
        <v>337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433</v>
      </c>
      <c r="L27">
        <f>SUMIFS(WeeklyPicks!$M:$M,WeeklyPicks!$A:$A,"&lt;="&amp;$A27,WeeklyPicks!$C:$C,L$16)</f>
        <v>517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771</v>
      </c>
      <c r="D28">
        <f>SUMIFS(WeeklyPicks!$M:$M,WeeklyPicks!$A:$A,"&lt;="&amp;$A28,WeeklyPicks!$C:$C,D$16)</f>
        <v>784</v>
      </c>
      <c r="E28">
        <f>SUMIFS(WeeklyPicks!$M:$M,WeeklyPicks!$A:$A,"&lt;="&amp;$A28,WeeklyPicks!$C:$C,E$16)</f>
        <v>640</v>
      </c>
      <c r="F28">
        <f>SUMIFS(WeeklyPicks!$M:$M,WeeklyPicks!$A:$A,"&lt;="&amp;$A28,WeeklyPicks!$C:$C,F$16)</f>
        <v>779</v>
      </c>
      <c r="G28">
        <f>SUMIFS(WeeklyPicks!$M:$M,WeeklyPicks!$A:$A,"&lt;="&amp;$A28,WeeklyPicks!$C:$C,G$16)</f>
        <v>575</v>
      </c>
      <c r="H28">
        <f>SUMIFS(WeeklyPicks!$M:$M,WeeklyPicks!$A:$A,"&lt;="&amp;$A28,WeeklyPicks!$C:$C,H$16)</f>
        <v>574</v>
      </c>
      <c r="I28">
        <f>SUMIFS(WeeklyPicks!$M:$M,WeeklyPicks!$A:$A,"&lt;="&amp;$A28,WeeklyPicks!$C:$C,I$16)</f>
        <v>337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433</v>
      </c>
      <c r="L28">
        <f>SUMIFS(WeeklyPicks!$M:$M,WeeklyPicks!$A:$A,"&lt;="&amp;$A28,WeeklyPicks!$C:$C,L$16)</f>
        <v>517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771</v>
      </c>
      <c r="D29">
        <f>SUMIFS(WeeklyPicks!$M:$M,WeeklyPicks!$A:$A,"&lt;="&amp;$A29,WeeklyPicks!$C:$C,D$16)</f>
        <v>784</v>
      </c>
      <c r="E29">
        <f>SUMIFS(WeeklyPicks!$M:$M,WeeklyPicks!$A:$A,"&lt;="&amp;$A29,WeeklyPicks!$C:$C,E$16)</f>
        <v>640</v>
      </c>
      <c r="F29">
        <f>SUMIFS(WeeklyPicks!$M:$M,WeeklyPicks!$A:$A,"&lt;="&amp;$A29,WeeklyPicks!$C:$C,F$16)</f>
        <v>779</v>
      </c>
      <c r="G29">
        <f>SUMIFS(WeeklyPicks!$M:$M,WeeklyPicks!$A:$A,"&lt;="&amp;$A29,WeeklyPicks!$C:$C,G$16)</f>
        <v>575</v>
      </c>
      <c r="H29">
        <f>SUMIFS(WeeklyPicks!$M:$M,WeeklyPicks!$A:$A,"&lt;="&amp;$A29,WeeklyPicks!$C:$C,H$16)</f>
        <v>574</v>
      </c>
      <c r="I29">
        <f>SUMIFS(WeeklyPicks!$M:$M,WeeklyPicks!$A:$A,"&lt;="&amp;$A29,WeeklyPicks!$C:$C,I$16)</f>
        <v>337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433</v>
      </c>
      <c r="L29">
        <f>SUMIFS(WeeklyPicks!$M:$M,WeeklyPicks!$A:$A,"&lt;="&amp;$A29,WeeklyPicks!$C:$C,L$16)</f>
        <v>517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771</v>
      </c>
      <c r="D30">
        <f>SUMIFS(WeeklyPicks!$M:$M,WeeklyPicks!$A:$A,"&lt;="&amp;$A30,WeeklyPicks!$C:$C,D$16)</f>
        <v>784</v>
      </c>
      <c r="E30">
        <f>SUMIFS(WeeklyPicks!$M:$M,WeeklyPicks!$A:$A,"&lt;="&amp;$A30,WeeklyPicks!$C:$C,E$16)</f>
        <v>640</v>
      </c>
      <c r="F30">
        <f>SUMIFS(WeeklyPicks!$M:$M,WeeklyPicks!$A:$A,"&lt;="&amp;$A30,WeeklyPicks!$C:$C,F$16)</f>
        <v>779</v>
      </c>
      <c r="G30">
        <f>SUMIFS(WeeklyPicks!$M:$M,WeeklyPicks!$A:$A,"&lt;="&amp;$A30,WeeklyPicks!$C:$C,G$16)</f>
        <v>575</v>
      </c>
      <c r="H30">
        <f>SUMIFS(WeeklyPicks!$M:$M,WeeklyPicks!$A:$A,"&lt;="&amp;$A30,WeeklyPicks!$C:$C,H$16)</f>
        <v>574</v>
      </c>
      <c r="I30">
        <f>SUMIFS(WeeklyPicks!$M:$M,WeeklyPicks!$A:$A,"&lt;="&amp;$A30,WeeklyPicks!$C:$C,I$16)</f>
        <v>337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433</v>
      </c>
      <c r="L30">
        <f>SUMIFS(WeeklyPicks!$M:$M,WeeklyPicks!$A:$A,"&lt;="&amp;$A30,WeeklyPicks!$C:$C,L$16)</f>
        <v>517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771</v>
      </c>
      <c r="D31">
        <f>SUMIFS(WeeklyPicks!$M:$M,WeeklyPicks!$A:$A,"&lt;="&amp;$A31,WeeklyPicks!$C:$C,D$16)</f>
        <v>784</v>
      </c>
      <c r="E31">
        <f>SUMIFS(WeeklyPicks!$M:$M,WeeklyPicks!$A:$A,"&lt;="&amp;$A31,WeeklyPicks!$C:$C,E$16)</f>
        <v>640</v>
      </c>
      <c r="F31">
        <f>SUMIFS(WeeklyPicks!$M:$M,WeeklyPicks!$A:$A,"&lt;="&amp;$A31,WeeklyPicks!$C:$C,F$16)</f>
        <v>779</v>
      </c>
      <c r="G31">
        <f>SUMIFS(WeeklyPicks!$M:$M,WeeklyPicks!$A:$A,"&lt;="&amp;$A31,WeeklyPicks!$C:$C,G$16)</f>
        <v>575</v>
      </c>
      <c r="H31">
        <f>SUMIFS(WeeklyPicks!$M:$M,WeeklyPicks!$A:$A,"&lt;="&amp;$A31,WeeklyPicks!$C:$C,H$16)</f>
        <v>574</v>
      </c>
      <c r="I31">
        <f>SUMIFS(WeeklyPicks!$M:$M,WeeklyPicks!$A:$A,"&lt;="&amp;$A31,WeeklyPicks!$C:$C,I$16)</f>
        <v>337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433</v>
      </c>
      <c r="L31">
        <f>SUMIFS(WeeklyPicks!$M:$M,WeeklyPicks!$A:$A,"&lt;="&amp;$A31,WeeklyPicks!$C:$C,L$16)</f>
        <v>517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771</v>
      </c>
      <c r="D32">
        <f>SUMIFS(WeeklyPicks!$M:$M,WeeklyPicks!$A:$A,"&lt;="&amp;$A32,WeeklyPicks!$C:$C,D$16)</f>
        <v>784</v>
      </c>
      <c r="E32">
        <f>SUMIFS(WeeklyPicks!$M:$M,WeeklyPicks!$A:$A,"&lt;="&amp;$A32,WeeklyPicks!$C:$C,E$16)</f>
        <v>640</v>
      </c>
      <c r="F32">
        <f>SUMIFS(WeeklyPicks!$M:$M,WeeklyPicks!$A:$A,"&lt;="&amp;$A32,WeeklyPicks!$C:$C,F$16)</f>
        <v>779</v>
      </c>
      <c r="G32">
        <f>SUMIFS(WeeklyPicks!$M:$M,WeeklyPicks!$A:$A,"&lt;="&amp;$A32,WeeklyPicks!$C:$C,G$16)</f>
        <v>575</v>
      </c>
      <c r="H32">
        <f>SUMIFS(WeeklyPicks!$M:$M,WeeklyPicks!$A:$A,"&lt;="&amp;$A32,WeeklyPicks!$C:$C,H$16)</f>
        <v>574</v>
      </c>
      <c r="I32">
        <f>SUMIFS(WeeklyPicks!$M:$M,WeeklyPicks!$A:$A,"&lt;="&amp;$A32,WeeklyPicks!$C:$C,I$16)</f>
        <v>337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433</v>
      </c>
      <c r="L32">
        <f>SUMIFS(WeeklyPicks!$M:$M,WeeklyPicks!$A:$A,"&lt;="&amp;$A32,WeeklyPicks!$C:$C,L$16)</f>
        <v>517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771</v>
      </c>
      <c r="D33">
        <f>SUMIFS(WeeklyPicks!$M:$M,WeeklyPicks!$A:$A,"&lt;="&amp;$A33,WeeklyPicks!$C:$C,D$16)</f>
        <v>784</v>
      </c>
      <c r="E33">
        <f>SUMIFS(WeeklyPicks!$M:$M,WeeklyPicks!$A:$A,"&lt;="&amp;$A33,WeeklyPicks!$C:$C,E$16)</f>
        <v>640</v>
      </c>
      <c r="F33">
        <f>SUMIFS(WeeklyPicks!$M:$M,WeeklyPicks!$A:$A,"&lt;="&amp;$A33,WeeklyPicks!$C:$C,F$16)</f>
        <v>779</v>
      </c>
      <c r="G33">
        <f>SUMIFS(WeeklyPicks!$M:$M,WeeklyPicks!$A:$A,"&lt;="&amp;$A33,WeeklyPicks!$C:$C,G$16)</f>
        <v>575</v>
      </c>
      <c r="H33">
        <f>SUMIFS(WeeklyPicks!$M:$M,WeeklyPicks!$A:$A,"&lt;="&amp;$A33,WeeklyPicks!$C:$C,H$16)</f>
        <v>574</v>
      </c>
      <c r="I33">
        <f>SUMIFS(WeeklyPicks!$M:$M,WeeklyPicks!$A:$A,"&lt;="&amp;$A33,WeeklyPicks!$C:$C,I$16)</f>
        <v>337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433</v>
      </c>
      <c r="L33">
        <f>SUMIFS(WeeklyPicks!$M:$M,WeeklyPicks!$A:$A,"&lt;="&amp;$A33,WeeklyPicks!$C:$C,L$16)</f>
        <v>517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771</v>
      </c>
      <c r="D34">
        <f>SUMIFS(WeeklyPicks!$M:$M,WeeklyPicks!$A:$A,"&lt;="&amp;$A34,WeeklyPicks!$C:$C,D$16)</f>
        <v>784</v>
      </c>
      <c r="E34">
        <f>SUMIFS(WeeklyPicks!$M:$M,WeeklyPicks!$A:$A,"&lt;="&amp;$A34,WeeklyPicks!$C:$C,E$16)</f>
        <v>640</v>
      </c>
      <c r="F34">
        <f>SUMIFS(WeeklyPicks!$M:$M,WeeklyPicks!$A:$A,"&lt;="&amp;$A34,WeeklyPicks!$C:$C,F$16)</f>
        <v>779</v>
      </c>
      <c r="G34">
        <f>SUMIFS(WeeklyPicks!$M:$M,WeeklyPicks!$A:$A,"&lt;="&amp;$A34,WeeklyPicks!$C:$C,G$16)</f>
        <v>575</v>
      </c>
      <c r="H34">
        <f>SUMIFS(WeeklyPicks!$M:$M,WeeklyPicks!$A:$A,"&lt;="&amp;$A34,WeeklyPicks!$C:$C,H$16)</f>
        <v>574</v>
      </c>
      <c r="I34">
        <f>SUMIFS(WeeklyPicks!$M:$M,WeeklyPicks!$A:$A,"&lt;="&amp;$A34,WeeklyPicks!$C:$C,I$16)</f>
        <v>337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433</v>
      </c>
      <c r="L34">
        <f>SUMIFS(WeeklyPicks!$M:$M,WeeklyPicks!$A:$A,"&lt;="&amp;$A34,WeeklyPicks!$C:$C,L$16)</f>
        <v>517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771</v>
      </c>
      <c r="D35">
        <f>SUMIFS(WeeklyPicks!$M:$M,WeeklyPicks!$A:$A,"&lt;="&amp;$A35,WeeklyPicks!$C:$C,D$16)</f>
        <v>784</v>
      </c>
      <c r="E35">
        <f>SUMIFS(WeeklyPicks!$M:$M,WeeklyPicks!$A:$A,"&lt;="&amp;$A35,WeeklyPicks!$C:$C,E$16)</f>
        <v>640</v>
      </c>
      <c r="F35">
        <f>SUMIFS(WeeklyPicks!$M:$M,WeeklyPicks!$A:$A,"&lt;="&amp;$A35,WeeklyPicks!$C:$C,F$16)</f>
        <v>779</v>
      </c>
      <c r="G35">
        <f>SUMIFS(WeeklyPicks!$M:$M,WeeklyPicks!$A:$A,"&lt;="&amp;$A35,WeeklyPicks!$C:$C,G$16)</f>
        <v>575</v>
      </c>
      <c r="H35">
        <f>SUMIFS(WeeklyPicks!$M:$M,WeeklyPicks!$A:$A,"&lt;="&amp;$A35,WeeklyPicks!$C:$C,H$16)</f>
        <v>574</v>
      </c>
      <c r="I35">
        <f>SUMIFS(WeeklyPicks!$M:$M,WeeklyPicks!$A:$A,"&lt;="&amp;$A35,WeeklyPicks!$C:$C,I$16)</f>
        <v>337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433</v>
      </c>
      <c r="L35">
        <f>SUMIFS(WeeklyPicks!$M:$M,WeeklyPicks!$A:$A,"&lt;="&amp;$A35,WeeklyPicks!$C:$C,L$16)</f>
        <v>517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771</v>
      </c>
      <c r="D36">
        <f>SUMIFS(WeeklyPicks!$M:$M,WeeklyPicks!$A:$A,"&lt;="&amp;$A36,WeeklyPicks!$C:$C,D$16)</f>
        <v>784</v>
      </c>
      <c r="E36">
        <f>SUMIFS(WeeklyPicks!$M:$M,WeeklyPicks!$A:$A,"&lt;="&amp;$A36,WeeklyPicks!$C:$C,E$16)</f>
        <v>640</v>
      </c>
      <c r="F36">
        <f>SUMIFS(WeeklyPicks!$M:$M,WeeklyPicks!$A:$A,"&lt;="&amp;$A36,WeeklyPicks!$C:$C,F$16)</f>
        <v>779</v>
      </c>
      <c r="G36">
        <f>SUMIFS(WeeklyPicks!$M:$M,WeeklyPicks!$A:$A,"&lt;="&amp;$A36,WeeklyPicks!$C:$C,G$16)</f>
        <v>575</v>
      </c>
      <c r="H36">
        <f>SUMIFS(WeeklyPicks!$M:$M,WeeklyPicks!$A:$A,"&lt;="&amp;$A36,WeeklyPicks!$C:$C,H$16)</f>
        <v>574</v>
      </c>
      <c r="I36">
        <f>SUMIFS(WeeklyPicks!$M:$M,WeeklyPicks!$A:$A,"&lt;="&amp;$A36,WeeklyPicks!$C:$C,I$16)</f>
        <v>337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433</v>
      </c>
      <c r="L36">
        <f>SUMIFS(WeeklyPicks!$M:$M,WeeklyPicks!$A:$A,"&lt;="&amp;$A36,WeeklyPicks!$C:$C,L$16)</f>
        <v>517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771</v>
      </c>
      <c r="D37">
        <f>SUMIFS(WeeklyPicks!$M:$M,WeeklyPicks!$A:$A,"&lt;="&amp;$A37,WeeklyPicks!$C:$C,D$16)</f>
        <v>784</v>
      </c>
      <c r="E37">
        <f>SUMIFS(WeeklyPicks!$M:$M,WeeklyPicks!$A:$A,"&lt;="&amp;$A37,WeeklyPicks!$C:$C,E$16)</f>
        <v>640</v>
      </c>
      <c r="F37">
        <f>SUMIFS(WeeklyPicks!$M:$M,WeeklyPicks!$A:$A,"&lt;="&amp;$A37,WeeklyPicks!$C:$C,F$16)</f>
        <v>779</v>
      </c>
      <c r="G37">
        <f>SUMIFS(WeeklyPicks!$M:$M,WeeklyPicks!$A:$A,"&lt;="&amp;$A37,WeeklyPicks!$C:$C,G$16)</f>
        <v>575</v>
      </c>
      <c r="H37">
        <f>SUMIFS(WeeklyPicks!$M:$M,WeeklyPicks!$A:$A,"&lt;="&amp;$A37,WeeklyPicks!$C:$C,H$16)</f>
        <v>574</v>
      </c>
      <c r="I37">
        <f>SUMIFS(WeeklyPicks!$M:$M,WeeklyPicks!$A:$A,"&lt;="&amp;$A37,WeeklyPicks!$C:$C,I$16)</f>
        <v>337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433</v>
      </c>
      <c r="L37">
        <f>SUMIFS(WeeklyPicks!$M:$M,WeeklyPicks!$A:$A,"&lt;="&amp;$A37,WeeklyPicks!$C:$C,L$16)</f>
        <v>517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771</v>
      </c>
      <c r="D38">
        <f>SUMIFS(WeeklyPicks!$M:$M,WeeklyPicks!$A:$A,"&lt;="&amp;$A38,WeeklyPicks!$C:$C,D$16)</f>
        <v>784</v>
      </c>
      <c r="E38">
        <f>SUMIFS(WeeklyPicks!$M:$M,WeeklyPicks!$A:$A,"&lt;="&amp;$A38,WeeklyPicks!$C:$C,E$16)</f>
        <v>640</v>
      </c>
      <c r="F38">
        <f>SUMIFS(WeeklyPicks!$M:$M,WeeklyPicks!$A:$A,"&lt;="&amp;$A38,WeeklyPicks!$C:$C,F$16)</f>
        <v>779</v>
      </c>
      <c r="G38">
        <f>SUMIFS(WeeklyPicks!$M:$M,WeeklyPicks!$A:$A,"&lt;="&amp;$A38,WeeklyPicks!$C:$C,G$16)</f>
        <v>575</v>
      </c>
      <c r="H38">
        <f>SUMIFS(WeeklyPicks!$M:$M,WeeklyPicks!$A:$A,"&lt;="&amp;$A38,WeeklyPicks!$C:$C,H$16)</f>
        <v>574</v>
      </c>
      <c r="I38">
        <f>SUMIFS(WeeklyPicks!$M:$M,WeeklyPicks!$A:$A,"&lt;="&amp;$A38,WeeklyPicks!$C:$C,I$16)</f>
        <v>337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433</v>
      </c>
      <c r="L38">
        <f>SUMIFS(WeeklyPicks!$M:$M,WeeklyPicks!$A:$A,"&lt;="&amp;$A38,WeeklyPicks!$C:$C,L$16)</f>
        <v>517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771</v>
      </c>
      <c r="D39">
        <f>SUMIFS(WeeklyPicks!$M:$M,WeeklyPicks!$A:$A,"&lt;="&amp;$A39,WeeklyPicks!$C:$C,D$16)</f>
        <v>784</v>
      </c>
      <c r="E39">
        <f>SUMIFS(WeeklyPicks!$M:$M,WeeklyPicks!$A:$A,"&lt;="&amp;$A39,WeeklyPicks!$C:$C,E$16)</f>
        <v>640</v>
      </c>
      <c r="F39">
        <f>SUMIFS(WeeklyPicks!$M:$M,WeeklyPicks!$A:$A,"&lt;="&amp;$A39,WeeklyPicks!$C:$C,F$16)</f>
        <v>779</v>
      </c>
      <c r="G39">
        <f>SUMIFS(WeeklyPicks!$M:$M,WeeklyPicks!$A:$A,"&lt;="&amp;$A39,WeeklyPicks!$C:$C,G$16)</f>
        <v>575</v>
      </c>
      <c r="H39">
        <f>SUMIFS(WeeklyPicks!$M:$M,WeeklyPicks!$A:$A,"&lt;="&amp;$A39,WeeklyPicks!$C:$C,H$16)</f>
        <v>574</v>
      </c>
      <c r="I39">
        <f>SUMIFS(WeeklyPicks!$M:$M,WeeklyPicks!$A:$A,"&lt;="&amp;$A39,WeeklyPicks!$C:$C,I$16)</f>
        <v>337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433</v>
      </c>
      <c r="L39">
        <f>SUMIFS(WeeklyPicks!$M:$M,WeeklyPicks!$A:$A,"&lt;="&amp;$A39,WeeklyPicks!$C:$C,L$16)</f>
        <v>517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771</v>
      </c>
      <c r="D40">
        <f>SUMIFS(WeeklyPicks!$M:$M,WeeklyPicks!$A:$A,"&lt;="&amp;$A40,WeeklyPicks!$C:$C,D$16)</f>
        <v>784</v>
      </c>
      <c r="E40">
        <f>SUMIFS(WeeklyPicks!$M:$M,WeeklyPicks!$A:$A,"&lt;="&amp;$A40,WeeklyPicks!$C:$C,E$16)</f>
        <v>640</v>
      </c>
      <c r="F40">
        <f>SUMIFS(WeeklyPicks!$M:$M,WeeklyPicks!$A:$A,"&lt;="&amp;$A40,WeeklyPicks!$C:$C,F$16)</f>
        <v>779</v>
      </c>
      <c r="G40">
        <f>SUMIFS(WeeklyPicks!$M:$M,WeeklyPicks!$A:$A,"&lt;="&amp;$A40,WeeklyPicks!$C:$C,G$16)</f>
        <v>575</v>
      </c>
      <c r="H40">
        <f>SUMIFS(WeeklyPicks!$M:$M,WeeklyPicks!$A:$A,"&lt;="&amp;$A40,WeeklyPicks!$C:$C,H$16)</f>
        <v>574</v>
      </c>
      <c r="I40">
        <f>SUMIFS(WeeklyPicks!$M:$M,WeeklyPicks!$A:$A,"&lt;="&amp;$A40,WeeklyPicks!$C:$C,I$16)</f>
        <v>337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433</v>
      </c>
      <c r="L40">
        <f>SUMIFS(WeeklyPicks!$M:$M,WeeklyPicks!$A:$A,"&lt;="&amp;$A40,WeeklyPicks!$C:$C,L$16)</f>
        <v>517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771</v>
      </c>
      <c r="D41">
        <f>SUMIFS(WeeklyPicks!$M:$M,WeeklyPicks!$A:$A,"&lt;="&amp;$A41,WeeklyPicks!$C:$C,D$16)</f>
        <v>784</v>
      </c>
      <c r="E41">
        <f>SUMIFS(WeeklyPicks!$M:$M,WeeklyPicks!$A:$A,"&lt;="&amp;$A41,WeeklyPicks!$C:$C,E$16)</f>
        <v>640</v>
      </c>
      <c r="F41">
        <f>SUMIFS(WeeklyPicks!$M:$M,WeeklyPicks!$A:$A,"&lt;="&amp;$A41,WeeklyPicks!$C:$C,F$16)</f>
        <v>779</v>
      </c>
      <c r="G41">
        <f>SUMIFS(WeeklyPicks!$M:$M,WeeklyPicks!$A:$A,"&lt;="&amp;$A41,WeeklyPicks!$C:$C,G$16)</f>
        <v>575</v>
      </c>
      <c r="H41">
        <f>SUMIFS(WeeklyPicks!$M:$M,WeeklyPicks!$A:$A,"&lt;="&amp;$A41,WeeklyPicks!$C:$C,H$16)</f>
        <v>574</v>
      </c>
      <c r="I41">
        <f>SUMIFS(WeeklyPicks!$M:$M,WeeklyPicks!$A:$A,"&lt;="&amp;$A41,WeeklyPicks!$C:$C,I$16)</f>
        <v>337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433</v>
      </c>
      <c r="L41">
        <f>SUMIFS(WeeklyPicks!$M:$M,WeeklyPicks!$A:$A,"&lt;="&amp;$A41,WeeklyPicks!$C:$C,L$16)</f>
        <v>517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771</v>
      </c>
      <c r="D42">
        <f>SUMIFS(WeeklyPicks!$M:$M,WeeklyPicks!$A:$A,"&lt;="&amp;$A42,WeeklyPicks!$C:$C,D$16)</f>
        <v>784</v>
      </c>
      <c r="E42">
        <f>SUMIFS(WeeklyPicks!$M:$M,WeeklyPicks!$A:$A,"&lt;="&amp;$A42,WeeklyPicks!$C:$C,E$16)</f>
        <v>640</v>
      </c>
      <c r="F42">
        <f>SUMIFS(WeeklyPicks!$M:$M,WeeklyPicks!$A:$A,"&lt;="&amp;$A42,WeeklyPicks!$C:$C,F$16)</f>
        <v>779</v>
      </c>
      <c r="G42">
        <f>SUMIFS(WeeklyPicks!$M:$M,WeeklyPicks!$A:$A,"&lt;="&amp;$A42,WeeklyPicks!$C:$C,G$16)</f>
        <v>575</v>
      </c>
      <c r="H42">
        <f>SUMIFS(WeeklyPicks!$M:$M,WeeklyPicks!$A:$A,"&lt;="&amp;$A42,WeeklyPicks!$C:$C,H$16)</f>
        <v>574</v>
      </c>
      <c r="I42">
        <f>SUMIFS(WeeklyPicks!$M:$M,WeeklyPicks!$A:$A,"&lt;="&amp;$A42,WeeklyPicks!$C:$C,I$16)</f>
        <v>337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433</v>
      </c>
      <c r="L42">
        <f>SUMIFS(WeeklyPicks!$M:$M,WeeklyPicks!$A:$A,"&lt;="&amp;$A42,WeeklyPicks!$C:$C,L$16)</f>
        <v>517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771</v>
      </c>
      <c r="D43">
        <f>SUMIFS(WeeklyPicks!$M:$M,WeeklyPicks!$A:$A,"&lt;="&amp;$A43,WeeklyPicks!$C:$C,D$16)</f>
        <v>784</v>
      </c>
      <c r="E43">
        <f>SUMIFS(WeeklyPicks!$M:$M,WeeklyPicks!$A:$A,"&lt;="&amp;$A43,WeeklyPicks!$C:$C,E$16)</f>
        <v>640</v>
      </c>
      <c r="F43">
        <f>SUMIFS(WeeklyPicks!$M:$M,WeeklyPicks!$A:$A,"&lt;="&amp;$A43,WeeklyPicks!$C:$C,F$16)</f>
        <v>779</v>
      </c>
      <c r="G43">
        <f>SUMIFS(WeeklyPicks!$M:$M,WeeklyPicks!$A:$A,"&lt;="&amp;$A43,WeeklyPicks!$C:$C,G$16)</f>
        <v>575</v>
      </c>
      <c r="H43">
        <f>SUMIFS(WeeklyPicks!$M:$M,WeeklyPicks!$A:$A,"&lt;="&amp;$A43,WeeklyPicks!$C:$C,H$16)</f>
        <v>574</v>
      </c>
      <c r="I43">
        <f>SUMIFS(WeeklyPicks!$M:$M,WeeklyPicks!$A:$A,"&lt;="&amp;$A43,WeeklyPicks!$C:$C,I$16)</f>
        <v>337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433</v>
      </c>
      <c r="L43">
        <f>SUMIFS(WeeklyPicks!$M:$M,WeeklyPicks!$A:$A,"&lt;="&amp;$A43,WeeklyPicks!$C:$C,L$16)</f>
        <v>517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771</v>
      </c>
      <c r="D44">
        <f>SUMIFS(WeeklyPicks!$M:$M,WeeklyPicks!$A:$A,"&lt;="&amp;$A44,WeeklyPicks!$C:$C,D$16)</f>
        <v>784</v>
      </c>
      <c r="E44">
        <f>SUMIFS(WeeklyPicks!$M:$M,WeeklyPicks!$A:$A,"&lt;="&amp;$A44,WeeklyPicks!$C:$C,E$16)</f>
        <v>640</v>
      </c>
      <c r="F44">
        <f>SUMIFS(WeeklyPicks!$M:$M,WeeklyPicks!$A:$A,"&lt;="&amp;$A44,WeeklyPicks!$C:$C,F$16)</f>
        <v>779</v>
      </c>
      <c r="G44">
        <f>SUMIFS(WeeklyPicks!$M:$M,WeeklyPicks!$A:$A,"&lt;="&amp;$A44,WeeklyPicks!$C:$C,G$16)</f>
        <v>575</v>
      </c>
      <c r="H44">
        <f>SUMIFS(WeeklyPicks!$M:$M,WeeklyPicks!$A:$A,"&lt;="&amp;$A44,WeeklyPicks!$C:$C,H$16)</f>
        <v>574</v>
      </c>
      <c r="I44">
        <f>SUMIFS(WeeklyPicks!$M:$M,WeeklyPicks!$A:$A,"&lt;="&amp;$A44,WeeklyPicks!$C:$C,I$16)</f>
        <v>337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433</v>
      </c>
      <c r="L44">
        <f>SUMIFS(WeeklyPicks!$M:$M,WeeklyPicks!$A:$A,"&lt;="&amp;$A44,WeeklyPicks!$C:$C,L$16)</f>
        <v>517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771</v>
      </c>
      <c r="D45">
        <f>SUMIFS(WeeklyPicks!$M:$M,WeeklyPicks!$A:$A,"&lt;="&amp;$A45,WeeklyPicks!$C:$C,D$16)</f>
        <v>784</v>
      </c>
      <c r="E45">
        <f>SUMIFS(WeeklyPicks!$M:$M,WeeklyPicks!$A:$A,"&lt;="&amp;$A45,WeeklyPicks!$C:$C,E$16)</f>
        <v>640</v>
      </c>
      <c r="F45">
        <f>SUMIFS(WeeklyPicks!$M:$M,WeeklyPicks!$A:$A,"&lt;="&amp;$A45,WeeklyPicks!$C:$C,F$16)</f>
        <v>779</v>
      </c>
      <c r="G45">
        <f>SUMIFS(WeeklyPicks!$M:$M,WeeklyPicks!$A:$A,"&lt;="&amp;$A45,WeeklyPicks!$C:$C,G$16)</f>
        <v>575</v>
      </c>
      <c r="H45">
        <f>SUMIFS(WeeklyPicks!$M:$M,WeeklyPicks!$A:$A,"&lt;="&amp;$A45,WeeklyPicks!$C:$C,H$16)</f>
        <v>574</v>
      </c>
      <c r="I45">
        <f>SUMIFS(WeeklyPicks!$M:$M,WeeklyPicks!$A:$A,"&lt;="&amp;$A45,WeeklyPicks!$C:$C,I$16)</f>
        <v>337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433</v>
      </c>
      <c r="L45">
        <f>SUMIFS(WeeklyPicks!$M:$M,WeeklyPicks!$A:$A,"&lt;="&amp;$A45,WeeklyPicks!$C:$C,L$16)</f>
        <v>517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771</v>
      </c>
      <c r="D46">
        <f>SUMIFS(WeeklyPicks!$M:$M,WeeklyPicks!$A:$A,"&lt;="&amp;$A46,WeeklyPicks!$C:$C,D$16)</f>
        <v>784</v>
      </c>
      <c r="E46">
        <f>SUMIFS(WeeklyPicks!$M:$M,WeeklyPicks!$A:$A,"&lt;="&amp;$A46,WeeklyPicks!$C:$C,E$16)</f>
        <v>640</v>
      </c>
      <c r="F46">
        <f>SUMIFS(WeeklyPicks!$M:$M,WeeklyPicks!$A:$A,"&lt;="&amp;$A46,WeeklyPicks!$C:$C,F$16)</f>
        <v>779</v>
      </c>
      <c r="G46">
        <f>SUMIFS(WeeklyPicks!$M:$M,WeeklyPicks!$A:$A,"&lt;="&amp;$A46,WeeklyPicks!$C:$C,G$16)</f>
        <v>575</v>
      </c>
      <c r="H46">
        <f>SUMIFS(WeeklyPicks!$M:$M,WeeklyPicks!$A:$A,"&lt;="&amp;$A46,WeeklyPicks!$C:$C,H$16)</f>
        <v>574</v>
      </c>
      <c r="I46">
        <f>SUMIFS(WeeklyPicks!$M:$M,WeeklyPicks!$A:$A,"&lt;="&amp;$A46,WeeklyPicks!$C:$C,I$16)</f>
        <v>337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433</v>
      </c>
      <c r="L46">
        <f>SUMIFS(WeeklyPicks!$M:$M,WeeklyPicks!$A:$A,"&lt;="&amp;$A46,WeeklyPicks!$C:$C,L$16)</f>
        <v>517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771</v>
      </c>
      <c r="D47">
        <f>SUMIFS(WeeklyPicks!$M:$M,WeeklyPicks!$A:$A,"&lt;="&amp;$A47,WeeklyPicks!$C:$C,D$16)</f>
        <v>784</v>
      </c>
      <c r="E47">
        <f>SUMIFS(WeeklyPicks!$M:$M,WeeklyPicks!$A:$A,"&lt;="&amp;$A47,WeeklyPicks!$C:$C,E$16)</f>
        <v>640</v>
      </c>
      <c r="F47">
        <f>SUMIFS(WeeklyPicks!$M:$M,WeeklyPicks!$A:$A,"&lt;="&amp;$A47,WeeklyPicks!$C:$C,F$16)</f>
        <v>779</v>
      </c>
      <c r="G47">
        <f>SUMIFS(WeeklyPicks!$M:$M,WeeklyPicks!$A:$A,"&lt;="&amp;$A47,WeeklyPicks!$C:$C,G$16)</f>
        <v>575</v>
      </c>
      <c r="H47">
        <f>SUMIFS(WeeklyPicks!$M:$M,WeeklyPicks!$A:$A,"&lt;="&amp;$A47,WeeklyPicks!$C:$C,H$16)</f>
        <v>574</v>
      </c>
      <c r="I47">
        <f>SUMIFS(WeeklyPicks!$M:$M,WeeklyPicks!$A:$A,"&lt;="&amp;$A47,WeeklyPicks!$C:$C,I$16)</f>
        <v>337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433</v>
      </c>
      <c r="L47">
        <f>SUMIFS(WeeklyPicks!$M:$M,WeeklyPicks!$A:$A,"&lt;="&amp;$A47,WeeklyPicks!$C:$C,L$16)</f>
        <v>517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771</v>
      </c>
      <c r="D48">
        <f>SUMIFS(WeeklyPicks!$M:$M,WeeklyPicks!$A:$A,"&lt;="&amp;$A48,WeeklyPicks!$C:$C,D$16)</f>
        <v>784</v>
      </c>
      <c r="E48">
        <f>SUMIFS(WeeklyPicks!$M:$M,WeeklyPicks!$A:$A,"&lt;="&amp;$A48,WeeklyPicks!$C:$C,E$16)</f>
        <v>640</v>
      </c>
      <c r="F48">
        <f>SUMIFS(WeeklyPicks!$M:$M,WeeklyPicks!$A:$A,"&lt;="&amp;$A48,WeeklyPicks!$C:$C,F$16)</f>
        <v>779</v>
      </c>
      <c r="G48">
        <f>SUMIFS(WeeklyPicks!$M:$M,WeeklyPicks!$A:$A,"&lt;="&amp;$A48,WeeklyPicks!$C:$C,G$16)</f>
        <v>575</v>
      </c>
      <c r="H48">
        <f>SUMIFS(WeeklyPicks!$M:$M,WeeklyPicks!$A:$A,"&lt;="&amp;$A48,WeeklyPicks!$C:$C,H$16)</f>
        <v>574</v>
      </c>
      <c r="I48">
        <f>SUMIFS(WeeklyPicks!$M:$M,WeeklyPicks!$A:$A,"&lt;="&amp;$A48,WeeklyPicks!$C:$C,I$16)</f>
        <v>337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433</v>
      </c>
      <c r="L48">
        <f>SUMIFS(WeeklyPicks!$M:$M,WeeklyPicks!$A:$A,"&lt;="&amp;$A48,WeeklyPicks!$C:$C,L$16)</f>
        <v>517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771</v>
      </c>
      <c r="D49">
        <f>SUMIFS(WeeklyPicks!$M:$M,WeeklyPicks!$A:$A,"&lt;="&amp;$A49,WeeklyPicks!$C:$C,D$16)</f>
        <v>784</v>
      </c>
      <c r="E49">
        <f>SUMIFS(WeeklyPicks!$M:$M,WeeklyPicks!$A:$A,"&lt;="&amp;$A49,WeeklyPicks!$C:$C,E$16)</f>
        <v>640</v>
      </c>
      <c r="F49">
        <f>SUMIFS(WeeklyPicks!$M:$M,WeeklyPicks!$A:$A,"&lt;="&amp;$A49,WeeklyPicks!$C:$C,F$16)</f>
        <v>779</v>
      </c>
      <c r="G49">
        <f>SUMIFS(WeeklyPicks!$M:$M,WeeklyPicks!$A:$A,"&lt;="&amp;$A49,WeeklyPicks!$C:$C,G$16)</f>
        <v>575</v>
      </c>
      <c r="H49">
        <f>SUMIFS(WeeklyPicks!$M:$M,WeeklyPicks!$A:$A,"&lt;="&amp;$A49,WeeklyPicks!$C:$C,H$16)</f>
        <v>574</v>
      </c>
      <c r="I49">
        <f>SUMIFS(WeeklyPicks!$M:$M,WeeklyPicks!$A:$A,"&lt;="&amp;$A49,WeeklyPicks!$C:$C,I$16)</f>
        <v>337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433</v>
      </c>
      <c r="L49">
        <f>SUMIFS(WeeklyPicks!$M:$M,WeeklyPicks!$A:$A,"&lt;="&amp;$A49,WeeklyPicks!$C:$C,L$16)</f>
        <v>517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771</v>
      </c>
      <c r="D50">
        <f>SUMIFS(WeeklyPicks!$M:$M,WeeklyPicks!$A:$A,"&lt;="&amp;$A50,WeeklyPicks!$C:$C,D$16)</f>
        <v>784</v>
      </c>
      <c r="E50">
        <f>SUMIFS(WeeklyPicks!$M:$M,WeeklyPicks!$A:$A,"&lt;="&amp;$A50,WeeklyPicks!$C:$C,E$16)</f>
        <v>640</v>
      </c>
      <c r="F50">
        <f>SUMIFS(WeeklyPicks!$M:$M,WeeklyPicks!$A:$A,"&lt;="&amp;$A50,WeeklyPicks!$C:$C,F$16)</f>
        <v>779</v>
      </c>
      <c r="G50">
        <f>SUMIFS(WeeklyPicks!$M:$M,WeeklyPicks!$A:$A,"&lt;="&amp;$A50,WeeklyPicks!$C:$C,G$16)</f>
        <v>575</v>
      </c>
      <c r="H50">
        <f>SUMIFS(WeeklyPicks!$M:$M,WeeklyPicks!$A:$A,"&lt;="&amp;$A50,WeeklyPicks!$C:$C,H$16)</f>
        <v>574</v>
      </c>
      <c r="I50">
        <f>SUMIFS(WeeklyPicks!$M:$M,WeeklyPicks!$A:$A,"&lt;="&amp;$A50,WeeklyPicks!$C:$C,I$16)</f>
        <v>337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433</v>
      </c>
      <c r="L50">
        <f>SUMIFS(WeeklyPicks!$M:$M,WeeklyPicks!$A:$A,"&lt;="&amp;$A50,WeeklyPicks!$C:$C,L$16)</f>
        <v>517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771</v>
      </c>
      <c r="D51">
        <f>SUMIFS(WeeklyPicks!$M:$M,WeeklyPicks!$A:$A,"&lt;="&amp;$A51,WeeklyPicks!$C:$C,D$16)</f>
        <v>784</v>
      </c>
      <c r="E51">
        <f>SUMIFS(WeeklyPicks!$M:$M,WeeklyPicks!$A:$A,"&lt;="&amp;$A51,WeeklyPicks!$C:$C,E$16)</f>
        <v>640</v>
      </c>
      <c r="F51">
        <f>SUMIFS(WeeklyPicks!$M:$M,WeeklyPicks!$A:$A,"&lt;="&amp;$A51,WeeklyPicks!$C:$C,F$16)</f>
        <v>779</v>
      </c>
      <c r="G51">
        <f>SUMIFS(WeeklyPicks!$M:$M,WeeklyPicks!$A:$A,"&lt;="&amp;$A51,WeeklyPicks!$C:$C,G$16)</f>
        <v>575</v>
      </c>
      <c r="H51">
        <f>SUMIFS(WeeklyPicks!$M:$M,WeeklyPicks!$A:$A,"&lt;="&amp;$A51,WeeklyPicks!$C:$C,H$16)</f>
        <v>574</v>
      </c>
      <c r="I51">
        <f>SUMIFS(WeeklyPicks!$M:$M,WeeklyPicks!$A:$A,"&lt;="&amp;$A51,WeeklyPicks!$C:$C,I$16)</f>
        <v>337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433</v>
      </c>
      <c r="L51">
        <f>SUMIFS(WeeklyPicks!$M:$M,WeeklyPicks!$A:$A,"&lt;="&amp;$A51,WeeklyPicks!$C:$C,L$16)</f>
        <v>517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771</v>
      </c>
      <c r="D52">
        <f>SUMIFS(WeeklyPicks!$M:$M,WeeklyPicks!$A:$A,"&lt;="&amp;$A52,WeeklyPicks!$C:$C,D$16)</f>
        <v>784</v>
      </c>
      <c r="E52">
        <f>SUMIFS(WeeklyPicks!$M:$M,WeeklyPicks!$A:$A,"&lt;="&amp;$A52,WeeklyPicks!$C:$C,E$16)</f>
        <v>640</v>
      </c>
      <c r="F52">
        <f>SUMIFS(WeeklyPicks!$M:$M,WeeklyPicks!$A:$A,"&lt;="&amp;$A52,WeeklyPicks!$C:$C,F$16)</f>
        <v>779</v>
      </c>
      <c r="G52">
        <f>SUMIFS(WeeklyPicks!$M:$M,WeeklyPicks!$A:$A,"&lt;="&amp;$A52,WeeklyPicks!$C:$C,G$16)</f>
        <v>575</v>
      </c>
      <c r="H52">
        <f>SUMIFS(WeeklyPicks!$M:$M,WeeklyPicks!$A:$A,"&lt;="&amp;$A52,WeeklyPicks!$C:$C,H$16)</f>
        <v>574</v>
      </c>
      <c r="I52">
        <f>SUMIFS(WeeklyPicks!$M:$M,WeeklyPicks!$A:$A,"&lt;="&amp;$A52,WeeklyPicks!$C:$C,I$16)</f>
        <v>337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433</v>
      </c>
      <c r="L52">
        <f>SUMIFS(WeeklyPicks!$M:$M,WeeklyPicks!$A:$A,"&lt;="&amp;$A52,WeeklyPicks!$C:$C,L$16)</f>
        <v>517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3</v>
      </c>
      <c r="B5" s="16" t="str">
        <f>Dashboard!B4</f>
        <v>Pat</v>
      </c>
      <c r="C5" s="16">
        <f>Dashboard!C4</f>
        <v>771</v>
      </c>
      <c r="D5" s="16">
        <f>Dashboard!D4</f>
        <v>2</v>
      </c>
      <c r="E5" s="16">
        <f>Dashboard!G4</f>
        <v>82</v>
      </c>
    </row>
    <row r="6" spans="1:6" ht="18" customHeight="1" x14ac:dyDescent="0.3">
      <c r="A6" s="16">
        <f>Dashboard!A5</f>
        <v>1</v>
      </c>
      <c r="B6" s="16" t="str">
        <f>Dashboard!B5</f>
        <v>Meg</v>
      </c>
      <c r="C6" s="16">
        <f>Dashboard!C5</f>
        <v>784</v>
      </c>
      <c r="D6" s="16">
        <f>Dashboard!D5</f>
        <v>3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640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779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575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574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337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433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517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2026-05-10T17:15:26Z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