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281" documentId="8_{64ED620B-E9CD-47B3-A172-B982AAA909D5}" xr6:coauthVersionLast="47" xr6:coauthVersionMax="47" xr10:uidLastSave="{70561C28-9F23-4816-8035-5FEE71EFECE0}"/>
  <bookViews>
    <workbookView xWindow="19090" yWindow="-110" windowWidth="19420" windowHeight="10300" firstSheet="4" activeTab="4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C3" i="10" s="1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47" i="5"/>
  <c r="G9" i="11" s="1"/>
  <c r="E10" i="12" s="1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C8" i="10" s="1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C2" i="10" s="1"/>
  <c r="F97" i="8"/>
  <c r="G121" i="8"/>
  <c r="F121" i="8"/>
  <c r="G145" i="8"/>
  <c r="F145" i="8"/>
  <c r="G169" i="8"/>
  <c r="C18" i="10" s="1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2" i="10"/>
  <c r="C49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9" i="10"/>
  <c r="C7" i="10"/>
  <c r="C4" i="10"/>
  <c r="C90" i="10"/>
  <c r="C78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C55" i="10" l="1"/>
  <c r="C23" i="10"/>
  <c r="M51" i="5"/>
  <c r="G13" i="11" s="1"/>
  <c r="E14" i="12" s="1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2" i="11"/>
  <c r="L20" i="11"/>
  <c r="L19" i="11"/>
  <c r="C20" i="10"/>
  <c r="H20" i="11"/>
  <c r="D29" i="6"/>
  <c r="D37" i="6"/>
  <c r="G26" i="11"/>
  <c r="D22" i="11"/>
  <c r="G17" i="11"/>
  <c r="D20" i="11"/>
  <c r="D19" i="11"/>
  <c r="C2" i="6"/>
  <c r="G19" i="11"/>
  <c r="C14" i="6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L31" i="11"/>
  <c r="D10" i="6"/>
  <c r="D14" i="6"/>
  <c r="C98" i="10"/>
  <c r="K20" i="11"/>
  <c r="D32" i="6"/>
  <c r="C11" i="6"/>
  <c r="K18" i="11"/>
  <c r="C9" i="6"/>
  <c r="L21" i="11"/>
  <c r="K19" i="11"/>
  <c r="H33" i="6"/>
  <c r="I33" i="6" s="1"/>
  <c r="D34" i="6"/>
  <c r="H38" i="11"/>
  <c r="D7" i="6"/>
  <c r="C24" i="6"/>
  <c r="H50" i="11"/>
  <c r="D27" i="6"/>
  <c r="C16" i="6"/>
  <c r="D24" i="11"/>
  <c r="D21" i="11"/>
  <c r="C37" i="6"/>
  <c r="C12" i="10"/>
  <c r="H29" i="11"/>
  <c r="C33" i="6"/>
  <c r="D44" i="11"/>
  <c r="D18" i="6"/>
  <c r="D15" i="6"/>
  <c r="C10" i="6"/>
  <c r="D31" i="6"/>
  <c r="J37" i="11"/>
  <c r="D30" i="11"/>
  <c r="D36" i="11"/>
  <c r="D50" i="11"/>
  <c r="L24" i="11"/>
  <c r="K23" i="11"/>
  <c r="L28" i="11"/>
  <c r="H25" i="11"/>
  <c r="H21" i="6"/>
  <c r="I21" i="6" s="1"/>
  <c r="C34" i="6"/>
  <c r="C27" i="6"/>
  <c r="D36" i="6"/>
  <c r="K35" i="11"/>
  <c r="C22" i="6"/>
  <c r="H37" i="11"/>
  <c r="L36" i="11"/>
  <c r="H23" i="11"/>
  <c r="L48" i="11"/>
  <c r="K41" i="11"/>
  <c r="H43" i="11"/>
  <c r="C25" i="6"/>
  <c r="H42" i="11"/>
  <c r="K52" i="11"/>
  <c r="H22" i="11"/>
  <c r="D29" i="11"/>
  <c r="D21" i="6"/>
  <c r="L29" i="11"/>
  <c r="H17" i="6"/>
  <c r="I17" i="6" s="1"/>
  <c r="D20" i="6"/>
  <c r="D30" i="6"/>
  <c r="H36" i="11"/>
  <c r="D13" i="6"/>
  <c r="K25" i="11"/>
  <c r="C12" i="11"/>
  <c r="C13" i="12" s="1"/>
  <c r="H28" i="11"/>
  <c r="C18" i="6"/>
  <c r="L26" i="11"/>
  <c r="L35" i="11"/>
  <c r="C13" i="6"/>
  <c r="D23" i="6"/>
  <c r="H30" i="11"/>
  <c r="G15" i="6"/>
  <c r="J46" i="11"/>
  <c r="H21" i="11"/>
  <c r="D52" i="11"/>
  <c r="L32" i="11"/>
  <c r="H48" i="11"/>
  <c r="G14" i="6"/>
  <c r="L41" i="11"/>
  <c r="H24" i="11"/>
  <c r="G19" i="6"/>
  <c r="H27" i="11"/>
  <c r="E5" i="11"/>
  <c r="J29" i="11"/>
  <c r="H49" i="11"/>
  <c r="H41" i="11"/>
  <c r="K37" i="11"/>
  <c r="C12" i="6"/>
  <c r="H33" i="11"/>
  <c r="K33" i="11"/>
  <c r="H26" i="11"/>
  <c r="L25" i="11"/>
  <c r="K21" i="11"/>
  <c r="B17" i="12"/>
  <c r="J7" i="11"/>
  <c r="D23" i="11"/>
  <c r="H35" i="11"/>
  <c r="H6" i="6"/>
  <c r="I6" i="6" s="1"/>
  <c r="B18" i="12" s="1"/>
  <c r="G2" i="6"/>
  <c r="H16" i="6"/>
  <c r="I16" i="6" s="1"/>
  <c r="H39" i="11"/>
  <c r="M24" i="5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H31" i="11"/>
  <c r="D46" i="11"/>
  <c r="D38" i="11"/>
  <c r="C15" i="6"/>
  <c r="J31" i="11"/>
  <c r="J23" i="11"/>
  <c r="L40" i="11"/>
  <c r="D8" i="6"/>
  <c r="L50" i="11"/>
  <c r="L42" i="11"/>
  <c r="H32" i="11"/>
  <c r="E58" i="10"/>
  <c r="D58" i="10"/>
  <c r="E61" i="10"/>
  <c r="D61" i="10"/>
  <c r="H5" i="6"/>
  <c r="I5" i="6" s="1"/>
  <c r="G5" i="6"/>
  <c r="J35" i="11"/>
  <c r="E13" i="11"/>
  <c r="E86" i="10"/>
  <c r="D86" i="10"/>
  <c r="H8" i="6"/>
  <c r="I8" i="6" s="1"/>
  <c r="K47" i="11"/>
  <c r="D33" i="6"/>
  <c r="D9" i="6"/>
  <c r="J49" i="11"/>
  <c r="J41" i="11"/>
  <c r="G6" i="6"/>
  <c r="L46" i="11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C9" i="11"/>
  <c r="H45" i="11"/>
  <c r="D35" i="11"/>
  <c r="D27" i="11"/>
  <c r="D25" i="11"/>
  <c r="C30" i="6"/>
  <c r="J20" i="11"/>
  <c r="J47" i="11"/>
  <c r="L39" i="11"/>
  <c r="L3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K32" i="11"/>
  <c r="K24" i="11"/>
  <c r="H51" i="11"/>
  <c r="D41" i="11"/>
  <c r="D33" i="11"/>
  <c r="D31" i="11"/>
  <c r="J26" i="11"/>
  <c r="J24" i="11"/>
  <c r="E11" i="11"/>
  <c r="L45" i="11"/>
  <c r="L43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L51" i="11"/>
  <c r="L49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K44" i="11"/>
  <c r="K36" i="11"/>
  <c r="H15" i="6"/>
  <c r="I15" i="6" s="1"/>
  <c r="H34" i="11"/>
  <c r="D42" i="11"/>
  <c r="C5" i="11"/>
  <c r="D45" i="11"/>
  <c r="D43" i="11"/>
  <c r="C26" i="6"/>
  <c r="J38" i="11"/>
  <c r="J36" i="11"/>
  <c r="J28" i="11"/>
  <c r="C31" i="6"/>
  <c r="C13" i="11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L52" i="11"/>
  <c r="K50" i="11"/>
  <c r="K42" i="11"/>
  <c r="D22" i="6"/>
  <c r="C19" i="6"/>
  <c r="H40" i="11"/>
  <c r="D51" i="11"/>
  <c r="D49" i="11"/>
  <c r="D26" i="6"/>
  <c r="J44" i="11"/>
  <c r="J42" i="11"/>
  <c r="J34" i="11"/>
  <c r="L47" i="11"/>
  <c r="H4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H46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K34" i="11"/>
  <c r="H52" i="11"/>
  <c r="D34" i="11"/>
  <c r="D26" i="11"/>
  <c r="H47" i="11"/>
  <c r="C11" i="11"/>
  <c r="L38" i="11"/>
  <c r="K39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K40" i="11"/>
  <c r="E9" i="11"/>
  <c r="D40" i="11"/>
  <c r="D32" i="11"/>
  <c r="J25" i="11"/>
  <c r="J52" i="11"/>
  <c r="C8" i="6"/>
  <c r="L44" i="11"/>
  <c r="D48" i="11"/>
  <c r="L27" i="11" l="1"/>
  <c r="E41" i="11"/>
  <c r="E8" i="11"/>
  <c r="G50" i="11"/>
  <c r="C8" i="11"/>
  <c r="C9" i="12" s="1"/>
  <c r="L30" i="11"/>
  <c r="L23" i="11"/>
  <c r="C6" i="6"/>
  <c r="E2" i="12" s="1"/>
  <c r="G42" i="11"/>
  <c r="G38" i="11"/>
  <c r="G52" i="11"/>
  <c r="G37" i="11"/>
  <c r="G27" i="11"/>
  <c r="C52" i="11"/>
  <c r="C36" i="11"/>
  <c r="C50" i="11"/>
  <c r="C26" i="11"/>
  <c r="D6" i="6"/>
  <c r="J6" i="11" s="1"/>
  <c r="G34" i="1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J5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4" i="12"/>
  <c r="C11" i="12"/>
  <c r="C12" i="12"/>
  <c r="C10" i="12"/>
  <c r="C6" i="12"/>
  <c r="E17" i="12"/>
  <c r="J8" i="11"/>
  <c r="D13" i="11" l="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<sst xmlns="http://schemas.openxmlformats.org/spreadsheetml/2006/main" count="8285" uniqueCount="159">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</sst>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357</c:v>
                </c:pt>
                <c:pt idx="1">
                  <c:v>459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453</c:v>
                </c:pt>
                <c:pt idx="12">
                  <c:v>555</c:v>
                </c:pt>
                <c:pt idx="13">
                  <c:v>678</c:v>
                </c:pt>
                <c:pt idx="14">
                  <c:v>678</c:v>
                </c:pt>
                <c:pt idx="15">
                  <c:v>678</c:v>
                </c:pt>
                <c:pt idx="16">
                  <c:v>678</c:v>
                </c:pt>
                <c:pt idx="17">
                  <c:v>678</c:v>
                </c:pt>
                <c:pt idx="18">
                  <c:v>678</c:v>
                </c:pt>
                <c:pt idx="19">
                  <c:v>678</c:v>
                </c:pt>
                <c:pt idx="20">
                  <c:v>678</c:v>
                </c:pt>
                <c:pt idx="21">
                  <c:v>678</c:v>
                </c:pt>
                <c:pt idx="22">
                  <c:v>678</c:v>
                </c:pt>
                <c:pt idx="23">
                  <c:v>678</c:v>
                </c:pt>
                <c:pt idx="24">
                  <c:v>678</c:v>
                </c:pt>
                <c:pt idx="25">
                  <c:v>678</c:v>
                </c:pt>
                <c:pt idx="26">
                  <c:v>678</c:v>
                </c:pt>
                <c:pt idx="27">
                  <c:v>678</c:v>
                </c:pt>
                <c:pt idx="28">
                  <c:v>678</c:v>
                </c:pt>
                <c:pt idx="29">
                  <c:v>678</c:v>
                </c:pt>
                <c:pt idx="30">
                  <c:v>678</c:v>
                </c:pt>
                <c:pt idx="31">
                  <c:v>678</c:v>
                </c:pt>
                <c:pt idx="32">
                  <c:v>678</c:v>
                </c:pt>
                <c:pt idx="33">
                  <c:v>678</c:v>
                </c:pt>
                <c:pt idx="34">
                  <c:v>678</c:v>
                </c:pt>
                <c:pt idx="35">
                  <c:v>678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421</c:v>
                </c:pt>
                <c:pt idx="12">
                  <c:v>516</c:v>
                </c:pt>
                <c:pt idx="13">
                  <c:v>639</c:v>
                </c:pt>
                <c:pt idx="14">
                  <c:v>639</c:v>
                </c:pt>
                <c:pt idx="15">
                  <c:v>639</c:v>
                </c:pt>
                <c:pt idx="16">
                  <c:v>639</c:v>
                </c:pt>
                <c:pt idx="17">
                  <c:v>639</c:v>
                </c:pt>
                <c:pt idx="18">
                  <c:v>639</c:v>
                </c:pt>
                <c:pt idx="19">
                  <c:v>639</c:v>
                </c:pt>
                <c:pt idx="20">
                  <c:v>639</c:v>
                </c:pt>
                <c:pt idx="21">
                  <c:v>639</c:v>
                </c:pt>
                <c:pt idx="22">
                  <c:v>639</c:v>
                </c:pt>
                <c:pt idx="23">
                  <c:v>639</c:v>
                </c:pt>
                <c:pt idx="24">
                  <c:v>639</c:v>
                </c:pt>
                <c:pt idx="25">
                  <c:v>639</c:v>
                </c:pt>
                <c:pt idx="26">
                  <c:v>639</c:v>
                </c:pt>
                <c:pt idx="27">
                  <c:v>639</c:v>
                </c:pt>
                <c:pt idx="28">
                  <c:v>639</c:v>
                </c:pt>
                <c:pt idx="29">
                  <c:v>639</c:v>
                </c:pt>
                <c:pt idx="30">
                  <c:v>639</c:v>
                </c:pt>
                <c:pt idx="31">
                  <c:v>639</c:v>
                </c:pt>
                <c:pt idx="32">
                  <c:v>639</c:v>
                </c:pt>
                <c:pt idx="33">
                  <c:v>639</c:v>
                </c:pt>
                <c:pt idx="34">
                  <c:v>639</c:v>
                </c:pt>
                <c:pt idx="35">
                  <c:v>639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9.9166666666666661</c:v>
                </c:pt>
                <c:pt idx="1">
                  <c:v>12.75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399</c:v>
                </c:pt>
                <c:pt idx="12">
                  <c:v>513</c:v>
                </c:pt>
                <c:pt idx="13">
                  <c:v>589</c:v>
                </c:pt>
                <c:pt idx="14">
                  <c:v>589</c:v>
                </c:pt>
                <c:pt idx="15">
                  <c:v>589</c:v>
                </c:pt>
                <c:pt idx="16">
                  <c:v>589</c:v>
                </c:pt>
                <c:pt idx="17">
                  <c:v>589</c:v>
                </c:pt>
                <c:pt idx="18">
                  <c:v>589</c:v>
                </c:pt>
                <c:pt idx="19">
                  <c:v>589</c:v>
                </c:pt>
                <c:pt idx="20">
                  <c:v>589</c:v>
                </c:pt>
                <c:pt idx="21">
                  <c:v>589</c:v>
                </c:pt>
                <c:pt idx="22">
                  <c:v>589</c:v>
                </c:pt>
                <c:pt idx="23">
                  <c:v>589</c:v>
                </c:pt>
                <c:pt idx="24">
                  <c:v>589</c:v>
                </c:pt>
                <c:pt idx="25">
                  <c:v>589</c:v>
                </c:pt>
                <c:pt idx="26">
                  <c:v>589</c:v>
                </c:pt>
                <c:pt idx="27">
                  <c:v>589</c:v>
                </c:pt>
                <c:pt idx="28">
                  <c:v>589</c:v>
                </c:pt>
                <c:pt idx="29">
                  <c:v>589</c:v>
                </c:pt>
                <c:pt idx="30">
                  <c:v>589</c:v>
                </c:pt>
                <c:pt idx="31">
                  <c:v>589</c:v>
                </c:pt>
                <c:pt idx="32">
                  <c:v>589</c:v>
                </c:pt>
                <c:pt idx="33">
                  <c:v>589</c:v>
                </c:pt>
                <c:pt idx="34">
                  <c:v>589</c:v>
                </c:pt>
                <c:pt idx="35">
                  <c:v>589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468</c:v>
                </c:pt>
                <c:pt idx="12">
                  <c:v>586</c:v>
                </c:pt>
                <c:pt idx="13">
                  <c:v>662</c:v>
                </c:pt>
                <c:pt idx="14">
                  <c:v>662</c:v>
                </c:pt>
                <c:pt idx="15">
                  <c:v>662</c:v>
                </c:pt>
                <c:pt idx="16">
                  <c:v>662</c:v>
                </c:pt>
                <c:pt idx="17">
                  <c:v>662</c:v>
                </c:pt>
                <c:pt idx="18">
                  <c:v>662</c:v>
                </c:pt>
                <c:pt idx="19">
                  <c:v>662</c:v>
                </c:pt>
                <c:pt idx="20">
                  <c:v>662</c:v>
                </c:pt>
                <c:pt idx="21">
                  <c:v>662</c:v>
                </c:pt>
                <c:pt idx="22">
                  <c:v>662</c:v>
                </c:pt>
                <c:pt idx="23">
                  <c:v>662</c:v>
                </c:pt>
                <c:pt idx="24">
                  <c:v>662</c:v>
                </c:pt>
                <c:pt idx="25">
                  <c:v>662</c:v>
                </c:pt>
                <c:pt idx="26">
                  <c:v>662</c:v>
                </c:pt>
                <c:pt idx="27">
                  <c:v>662</c:v>
                </c:pt>
                <c:pt idx="28">
                  <c:v>662</c:v>
                </c:pt>
                <c:pt idx="29">
                  <c:v>662</c:v>
                </c:pt>
                <c:pt idx="30">
                  <c:v>662</c:v>
                </c:pt>
                <c:pt idx="31">
                  <c:v>662</c:v>
                </c:pt>
                <c:pt idx="32">
                  <c:v>662</c:v>
                </c:pt>
                <c:pt idx="33">
                  <c:v>662</c:v>
                </c:pt>
                <c:pt idx="34">
                  <c:v>662</c:v>
                </c:pt>
                <c:pt idx="35">
                  <c:v>662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8" t="s">
        <v>0</v>
      </c>
      <c r="B1" s="18"/>
      <c r="C1" s="18"/>
      <c r="D1" s="18"/>
      <c r="E1" s="18"/>
      <c r="F1" s="18"/>
      <c r="G1" s="18"/>
      <c r="H1" s="18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19" t="s">
        <v>15</v>
      </c>
      <c r="B1" s="19"/>
      <c r="C1" s="19"/>
      <c r="D1" s="19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topLeftCell="A3"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tabSelected="1" zoomScaleNormal="100" workbookViewId="0">
      <pane ySplit="1" topLeftCell="A86" activePane="bottomLeft" state="frozen"/>
      <selection pane="bottomLeft" activeCell="E102" sqref="E102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32</v>
      </c>
      <c r="H52" s="11">
        <f>IF(E52="","",SUMIFS(RaceResults!$C:$C,RaceResults!$A:$A,$A52,RaceResults!$D:$D,E52))</f>
        <v>1</v>
      </c>
      <c r="I52" s="11">
        <f>IF(F52="","",SUMIFS(RaceResults!$C:$C,RaceResults!$A:$A,$A52,RaceResults!$D:$D,F52))</f>
        <v>3</v>
      </c>
      <c r="J52" s="11">
        <f>IF(D52="","",SUMIFS(RaceResults!$E:$E,RaceResults!$A:$A,$A52,RaceResults!$D:$D,D52))</f>
        <v>5</v>
      </c>
      <c r="K52" s="11">
        <f>IF(E52="","",SUMIFS(RaceResults!$E:$E,RaceResults!$A:$A,$A52,RaceResults!$D:$D,E52))</f>
        <v>55</v>
      </c>
      <c r="L52" s="11">
        <f>IF(F52="","",SUMIFS(RaceResults!$E:$E,RaceResults!$A:$A,$A52,RaceResults!$D:$D,F52))</f>
        <v>34</v>
      </c>
      <c r="M52" s="11">
        <f t="shared" si="0"/>
        <v>94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33</v>
      </c>
      <c r="H53" s="11">
        <f>IF(E53="","",SUMIFS(RaceResults!$C:$C,RaceResults!$A:$A,$A53,RaceResults!$D:$D,E53))</f>
        <v>11</v>
      </c>
      <c r="I53" s="11">
        <f>IF(F53="","",SUMIFS(RaceResults!$C:$C,RaceResults!$A:$A,$A53,RaceResults!$D:$D,F53))</f>
        <v>32</v>
      </c>
      <c r="J53" s="11">
        <f>IF(D53="","",SUMIFS(RaceResults!$E:$E,RaceResults!$A:$A,$A53,RaceResults!$D:$D,D53))</f>
        <v>4</v>
      </c>
      <c r="K53" s="11">
        <f>IF(E53="","",SUMIFS(RaceResults!$E:$E,RaceResults!$A:$A,$A53,RaceResults!$D:$D,E53))</f>
        <v>26</v>
      </c>
      <c r="L53" s="11">
        <f>IF(F53="","",SUMIFS(RaceResults!$E:$E,RaceResults!$A:$A,$A53,RaceResults!$D:$D,F53))</f>
        <v>5</v>
      </c>
      <c r="M53" s="11">
        <f t="shared" si="0"/>
        <v>35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15</v>
      </c>
      <c r="H54" s="11">
        <f>IF(E54="","",SUMIFS(RaceResults!$C:$C,RaceResults!$A:$A,$A54,RaceResults!$D:$D,E54))</f>
        <v>11</v>
      </c>
      <c r="I54" s="11">
        <f>IF(F54="","",SUMIFS(RaceResults!$C:$C,RaceResults!$A:$A,$A54,RaceResults!$D:$D,F54))</f>
        <v>3</v>
      </c>
      <c r="J54" s="11">
        <f>IF(D54="","",SUMIFS(RaceResults!$E:$E,RaceResults!$A:$A,$A54,RaceResults!$D:$D,D54))</f>
        <v>22</v>
      </c>
      <c r="K54" s="11">
        <f>IF(E54="","",SUMIFS(RaceResults!$E:$E,RaceResults!$A:$A,$A54,RaceResults!$D:$D,E54))</f>
        <v>26</v>
      </c>
      <c r="L54" s="11">
        <f>IF(F54="","",SUMIFS(RaceResults!$E:$E,RaceResults!$A:$A,$A54,RaceResults!$D:$D,F54))</f>
        <v>34</v>
      </c>
      <c r="M54" s="11">
        <f t="shared" si="0"/>
        <v>82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11</v>
      </c>
      <c r="H55" s="11">
        <f>IF(E55="","",SUMIFS(RaceResults!$C:$C,RaceResults!$A:$A,$A55,RaceResults!$D:$D,E55))</f>
        <v>3</v>
      </c>
      <c r="I55" s="11">
        <f>IF(F55="","",SUMIFS(RaceResults!$C:$C,RaceResults!$A:$A,$A55,RaceResults!$D:$D,F55))</f>
        <v>1</v>
      </c>
      <c r="J55" s="11">
        <f>IF(D55="","",SUMIFS(RaceResults!$E:$E,RaceResults!$A:$A,$A55,RaceResults!$D:$D,D55))</f>
        <v>26</v>
      </c>
      <c r="K55" s="11">
        <f>IF(E55="","",SUMIFS(RaceResults!$E:$E,RaceResults!$A:$A,$A55,RaceResults!$D:$D,E55))</f>
        <v>34</v>
      </c>
      <c r="L55" s="11">
        <f>IF(F55="","",SUMIFS(RaceResults!$E:$E,RaceResults!$A:$A,$A55,RaceResults!$D:$D,F55))</f>
        <v>55</v>
      </c>
      <c r="M55" s="11">
        <f t="shared" si="0"/>
        <v>115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32</v>
      </c>
      <c r="H56" s="11">
        <f>IF(E56="","",SUMIFS(RaceResults!$C:$C,RaceResults!$A:$A,$A56,RaceResults!$D:$D,E56))</f>
        <v>11</v>
      </c>
      <c r="I56" s="11">
        <f>IF(F56="","",SUMIFS(RaceResults!$C:$C,RaceResults!$A:$A,$A56,RaceResults!$D:$D,F56))</f>
        <v>8</v>
      </c>
      <c r="J56" s="11">
        <f>IF(D56="","",SUMIFS(RaceResults!$E:$E,RaceResults!$A:$A,$A56,RaceResults!$D:$D,D56))</f>
        <v>5</v>
      </c>
      <c r="K56" s="11">
        <f>IF(E56="","",SUMIFS(RaceResults!$E:$E,RaceResults!$A:$A,$A56,RaceResults!$D:$D,E56))</f>
        <v>26</v>
      </c>
      <c r="L56" s="11">
        <f>IF(F56="","",SUMIFS(RaceResults!$E:$E,RaceResults!$A:$A,$A56,RaceResults!$D:$D,F56))</f>
        <v>29</v>
      </c>
      <c r="M56" s="11">
        <f t="shared" si="0"/>
        <v>60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1</v>
      </c>
      <c r="H57" s="11">
        <f>IF(E57="","",SUMIFS(RaceResults!$C:$C,RaceResults!$A:$A,$A57,RaceResults!$D:$D,E57))</f>
        <v>11</v>
      </c>
      <c r="I57" s="11">
        <f>IF(F57="","",SUMIFS(RaceResults!$C:$C,RaceResults!$A:$A,$A57,RaceResults!$D:$D,F57))</f>
        <v>9</v>
      </c>
      <c r="J57" s="11">
        <f>IF(D57="","",SUMIFS(RaceResults!$E:$E,RaceResults!$A:$A,$A57,RaceResults!$D:$D,D57))</f>
        <v>55</v>
      </c>
      <c r="K57" s="11">
        <f>IF(E57="","",SUMIFS(RaceResults!$E:$E,RaceResults!$A:$A,$A57,RaceResults!$D:$D,E57))</f>
        <v>26</v>
      </c>
      <c r="L57" s="11">
        <f>IF(F57="","",SUMIFS(RaceResults!$E:$E,RaceResults!$A:$A,$A57,RaceResults!$D:$D,F57))</f>
        <v>28</v>
      </c>
      <c r="M57" s="11">
        <f t="shared" si="0"/>
        <v>109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1</v>
      </c>
      <c r="H60" s="11">
        <f>IF(E60="","",SUMIFS(RaceResults!$C:$C,RaceResults!$A:$A,$A60,RaceResults!$D:$D,E60))</f>
        <v>11</v>
      </c>
      <c r="I60" s="11">
        <f>IF(F60="","",SUMIFS(RaceResults!$C:$C,RaceResults!$A:$A,$A60,RaceResults!$D:$D,F60))</f>
        <v>32</v>
      </c>
      <c r="J60" s="11">
        <f>IF(D60="","",SUMIFS(RaceResults!$E:$E,RaceResults!$A:$A,$A60,RaceResults!$D:$D,D60))</f>
        <v>55</v>
      </c>
      <c r="K60" s="11">
        <f>IF(E60="","",SUMIFS(RaceResults!$E:$E,RaceResults!$A:$A,$A60,RaceResults!$D:$D,E60))</f>
        <v>26</v>
      </c>
      <c r="L60" s="11">
        <f>IF(F60="","",SUMIFS(RaceResults!$E:$E,RaceResults!$A:$A,$A60,RaceResults!$D:$D,F60))</f>
        <v>5</v>
      </c>
      <c r="M60" s="11">
        <f t="shared" si="0"/>
        <v>86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11</v>
      </c>
      <c r="H61" s="11">
        <f>IF(E61="","",SUMIFS(RaceResults!$C:$C,RaceResults!$A:$A,$A61,RaceResults!$D:$D,E61))</f>
        <v>6</v>
      </c>
      <c r="I61" s="11">
        <f>IF(F61="","",SUMIFS(RaceResults!$C:$C,RaceResults!$A:$A,$A61,RaceResults!$D:$D,F61))</f>
        <v>1</v>
      </c>
      <c r="J61" s="11">
        <f>IF(D61="","",SUMIFS(RaceResults!$E:$E,RaceResults!$A:$A,$A61,RaceResults!$D:$D,D61))</f>
        <v>26</v>
      </c>
      <c r="K61" s="11">
        <f>IF(E61="","",SUMIFS(RaceResults!$E:$E,RaceResults!$A:$A,$A61,RaceResults!$D:$D,E61))</f>
        <v>31</v>
      </c>
      <c r="L61" s="11">
        <f>IF(F61="","",SUMIFS(RaceResults!$E:$E,RaceResults!$A:$A,$A61,RaceResults!$D:$D,F61))</f>
        <v>55</v>
      </c>
      <c r="M61" s="11">
        <f t="shared" si="0"/>
        <v>112</v>
      </c>
    </row>
    <row r="62" spans="1:13" x14ac:dyDescent="0.3">
      <c r="A62" s="9">
        <v>7</v>
      </c>
      <c r="B62" s="9" t="s">
        <v>61</v>
      </c>
      <c r="C62" s="10" t="s">
        <v>21</v>
      </c>
      <c r="D62" s="3">
        <v>5</v>
      </c>
      <c r="E62" s="3">
        <v>11</v>
      </c>
      <c r="F62" s="3">
        <v>77</v>
      </c>
      <c r="G62" s="11">
        <f>IF(D62="","",SUMIFS(RaceResults!$C:$C,RaceResults!$A:$A,$A62,RaceResults!$D:$D,D62))</f>
        <v>9</v>
      </c>
      <c r="H62" s="11">
        <f>IF(E62="","",SUMIFS(RaceResults!$C:$C,RaceResults!$A:$A,$A62,RaceResults!$D:$D,E62))</f>
        <v>2</v>
      </c>
      <c r="I62" s="11">
        <f>IF(F62="","",SUMIFS(RaceResults!$C:$C,RaceResults!$A:$A,$A62,RaceResults!$D:$D,F62))</f>
        <v>17</v>
      </c>
      <c r="J62" s="11">
        <f>IF(D62="","",SUMIFS(RaceResults!$E:$E,RaceResults!$A:$A,$A62,RaceResults!$D:$D,D62))</f>
        <v>28</v>
      </c>
      <c r="K62" s="11">
        <f>IF(E62="","",SUMIFS(RaceResults!$E:$E,RaceResults!$A:$A,$A62,RaceResults!$D:$D,E62))</f>
        <v>35</v>
      </c>
      <c r="L62" s="11">
        <f>IF(F62="","",SUMIFS(RaceResults!$E:$E,RaceResults!$A:$A,$A62,RaceResults!$D:$D,F62))</f>
        <v>20</v>
      </c>
      <c r="M62" s="11">
        <f t="shared" si="0"/>
        <v>83</v>
      </c>
    </row>
    <row r="63" spans="1:13" x14ac:dyDescent="0.3">
      <c r="A63" s="9">
        <v>7</v>
      </c>
      <c r="B63" s="9" t="s">
        <v>61</v>
      </c>
      <c r="C63" s="10" t="s">
        <v>22</v>
      </c>
      <c r="D63" s="3">
        <v>11</v>
      </c>
      <c r="E63" s="3">
        <v>24</v>
      </c>
      <c r="F63" s="3">
        <v>97</v>
      </c>
      <c r="G63" s="11">
        <f>IF(D63="","",SUMIFS(RaceResults!$C:$C,RaceResults!$A:$A,$A63,RaceResults!$D:$D,D63))</f>
        <v>2</v>
      </c>
      <c r="H63" s="11">
        <f>IF(E63="","",SUMIFS(RaceResults!$C:$C,RaceResults!$A:$A,$A63,RaceResults!$D:$D,E63))</f>
        <v>5</v>
      </c>
      <c r="I63" s="11">
        <f>IF(F63="","",SUMIFS(RaceResults!$C:$C,RaceResults!$A:$A,$A63,RaceResults!$D:$D,F63))</f>
        <v>11</v>
      </c>
      <c r="J63" s="11">
        <f>IF(D63="","",SUMIFS(RaceResults!$E:$E,RaceResults!$A:$A,$A63,RaceResults!$D:$D,D63))</f>
        <v>35</v>
      </c>
      <c r="K63" s="11">
        <f>IF(E63="","",SUMIFS(RaceResults!$E:$E,RaceResults!$A:$A,$A63,RaceResults!$D:$D,E63))</f>
        <v>32</v>
      </c>
      <c r="L63" s="11">
        <f>IF(F63="","",SUMIFS(RaceResults!$E:$E,RaceResults!$A:$A,$A63,RaceResults!$D:$D,F63))</f>
        <v>26</v>
      </c>
      <c r="M63" s="11">
        <f t="shared" si="0"/>
        <v>93</v>
      </c>
    </row>
    <row r="64" spans="1:13" x14ac:dyDescent="0.3">
      <c r="A64" s="9">
        <v>7</v>
      </c>
      <c r="B64" s="9" t="s">
        <v>61</v>
      </c>
      <c r="C64" s="10" t="s">
        <v>25</v>
      </c>
      <c r="D64" s="3">
        <v>11</v>
      </c>
      <c r="E64" s="3">
        <v>24</v>
      </c>
      <c r="F64" s="3">
        <v>9</v>
      </c>
      <c r="G64" s="11">
        <f>IF(D64="","",SUMIFS(RaceResults!$C:$C,RaceResults!$A:$A,$A64,RaceResults!$D:$D,D64))</f>
        <v>2</v>
      </c>
      <c r="H64" s="11">
        <f>IF(E64="","",SUMIFS(RaceResults!$C:$C,RaceResults!$A:$A,$A64,RaceResults!$D:$D,E64))</f>
        <v>5</v>
      </c>
      <c r="I64" s="11">
        <f>IF(F64="","",SUMIFS(RaceResults!$C:$C,RaceResults!$A:$A,$A64,RaceResults!$D:$D,F64))</f>
        <v>1</v>
      </c>
      <c r="J64" s="11">
        <f>IF(D64="","",SUMIFS(RaceResults!$E:$E,RaceResults!$A:$A,$A64,RaceResults!$D:$D,D64))</f>
        <v>35</v>
      </c>
      <c r="K64" s="11">
        <f>IF(E64="","",SUMIFS(RaceResults!$E:$E,RaceResults!$A:$A,$A64,RaceResults!$D:$D,E64))</f>
        <v>32</v>
      </c>
      <c r="L64" s="11">
        <f>IF(F64="","",SUMIFS(RaceResults!$E:$E,RaceResults!$A:$A,$A64,RaceResults!$D:$D,F64))</f>
        <v>55</v>
      </c>
      <c r="M64" s="11">
        <f t="shared" si="0"/>
        <v>122</v>
      </c>
    </row>
    <row r="65" spans="1:13" x14ac:dyDescent="0.3">
      <c r="A65" s="9">
        <v>7</v>
      </c>
      <c r="B65" s="9" t="s">
        <v>61</v>
      </c>
      <c r="C65" s="10" t="s">
        <v>26</v>
      </c>
      <c r="D65" s="3">
        <v>11</v>
      </c>
      <c r="E65" s="3">
        <v>12</v>
      </c>
      <c r="F65" s="3">
        <v>97</v>
      </c>
      <c r="G65" s="11">
        <f>IF(D65="","",SUMIFS(RaceResults!$C:$C,RaceResults!$A:$A,$A65,RaceResults!$D:$D,D65))</f>
        <v>2</v>
      </c>
      <c r="H65" s="11">
        <f>IF(E65="","",SUMIFS(RaceResults!$C:$C,RaceResults!$A:$A,$A65,RaceResults!$D:$D,E65))</f>
        <v>6</v>
      </c>
      <c r="I65" s="11">
        <f>IF(F65="","",SUMIFS(RaceResults!$C:$C,RaceResults!$A:$A,$A65,RaceResults!$D:$D,F65))</f>
        <v>11</v>
      </c>
      <c r="J65" s="11">
        <f>IF(D65="","",SUMIFS(RaceResults!$E:$E,RaceResults!$A:$A,$A65,RaceResults!$D:$D,D65))</f>
        <v>35</v>
      </c>
      <c r="K65" s="11">
        <f>IF(E65="","",SUMIFS(RaceResults!$E:$E,RaceResults!$A:$A,$A65,RaceResults!$D:$D,E65))</f>
        <v>31</v>
      </c>
      <c r="L65" s="11">
        <f>IF(F65="","",SUMIFS(RaceResults!$E:$E,RaceResults!$A:$A,$A65,RaceResults!$D:$D,F65))</f>
        <v>26</v>
      </c>
      <c r="M65" s="11">
        <f t="shared" si="0"/>
        <v>92</v>
      </c>
    </row>
    <row r="66" spans="1:13" x14ac:dyDescent="0.3">
      <c r="A66" s="9">
        <v>7</v>
      </c>
      <c r="B66" s="9" t="s">
        <v>61</v>
      </c>
      <c r="C66" s="10" t="s">
        <v>27</v>
      </c>
      <c r="D66" s="3">
        <v>11</v>
      </c>
      <c r="E66" s="3">
        <v>45</v>
      </c>
      <c r="F66" s="3">
        <v>9</v>
      </c>
      <c r="G66" s="11">
        <f>IF(D66="","",SUMIFS(RaceResults!$C:$C,RaceResults!$A:$A,$A66,RaceResults!$D:$D,D66))</f>
        <v>2</v>
      </c>
      <c r="H66" s="11">
        <f>IF(E66="","",SUMIFS(RaceResults!$C:$C,RaceResults!$A:$A,$A66,RaceResults!$D:$D,E66))</f>
        <v>15</v>
      </c>
      <c r="I66" s="11">
        <f>IF(F66="","",SUMIFS(RaceResults!$C:$C,RaceResults!$A:$A,$A66,RaceResults!$D:$D,F66))</f>
        <v>1</v>
      </c>
      <c r="J66" s="11">
        <f>IF(D66="","",SUMIFS(RaceResults!$E:$E,RaceResults!$A:$A,$A66,RaceResults!$D:$D,D66))</f>
        <v>35</v>
      </c>
      <c r="K66" s="11">
        <f>IF(E66="","",SUMIFS(RaceResults!$E:$E,RaceResults!$A:$A,$A66,RaceResults!$D:$D,E66))</f>
        <v>22</v>
      </c>
      <c r="L66" s="11">
        <f>IF(F66="","",SUMIFS(RaceResults!$E:$E,RaceResults!$A:$A,$A66,RaceResults!$D:$D,F66))</f>
        <v>55</v>
      </c>
      <c r="M66" s="11">
        <f t="shared" ref="M66:M129" si="1">SUM(J66:L66)</f>
        <v>112</v>
      </c>
    </row>
    <row r="67" spans="1:13" x14ac:dyDescent="0.3">
      <c r="A67" s="9">
        <v>7</v>
      </c>
      <c r="B67" s="9" t="s">
        <v>61</v>
      </c>
      <c r="C67" s="10" t="s">
        <v>28</v>
      </c>
      <c r="D67" s="3">
        <v>11</v>
      </c>
      <c r="E67" s="3">
        <v>12</v>
      </c>
      <c r="F67" s="3">
        <v>20</v>
      </c>
      <c r="G67" s="11">
        <f>IF(D67="","",SUMIFS(RaceResults!$C:$C,RaceResults!$A:$A,$A67,RaceResults!$D:$D,D67))</f>
        <v>2</v>
      </c>
      <c r="H67" s="11">
        <f>IF(E67="","",SUMIFS(RaceResults!$C:$C,RaceResults!$A:$A,$A67,RaceResults!$D:$D,E67))</f>
        <v>6</v>
      </c>
      <c r="I67" s="11">
        <f>IF(F67="","",SUMIFS(RaceResults!$C:$C,RaceResults!$A:$A,$A67,RaceResults!$D:$D,F67))</f>
        <v>7</v>
      </c>
      <c r="J67" s="11">
        <f>IF(D67="","",SUMIFS(RaceResults!$E:$E,RaceResults!$A:$A,$A67,RaceResults!$D:$D,D67))</f>
        <v>35</v>
      </c>
      <c r="K67" s="11">
        <f>IF(E67="","",SUMIFS(RaceResults!$E:$E,RaceResults!$A:$A,$A67,RaceResults!$D:$D,E67))</f>
        <v>31</v>
      </c>
      <c r="L67" s="11">
        <f>IF(F67="","",SUMIFS(RaceResults!$E:$E,RaceResults!$A:$A,$A67,RaceResults!$D:$D,F67))</f>
        <v>30</v>
      </c>
      <c r="M67" s="11">
        <f t="shared" si="1"/>
        <v>96</v>
      </c>
    </row>
    <row r="68" spans="1:13" x14ac:dyDescent="0.3">
      <c r="A68" s="9">
        <v>7</v>
      </c>
      <c r="B68" s="9" t="s">
        <v>61</v>
      </c>
      <c r="C68" s="10" t="s">
        <v>29</v>
      </c>
      <c r="D68" s="3">
        <v>24</v>
      </c>
      <c r="E68" s="3">
        <v>9</v>
      </c>
      <c r="F68" s="3">
        <v>5</v>
      </c>
      <c r="G68" s="11">
        <f>IF(D68="","",SUMIFS(RaceResults!$C:$C,RaceResults!$A:$A,$A68,RaceResults!$D:$D,D68))</f>
        <v>5</v>
      </c>
      <c r="H68" s="11">
        <f>IF(E68="","",SUMIFS(RaceResults!$C:$C,RaceResults!$A:$A,$A68,RaceResults!$D:$D,E68))</f>
        <v>1</v>
      </c>
      <c r="I68" s="11">
        <f>IF(F68="","",SUMIFS(RaceResults!$C:$C,RaceResults!$A:$A,$A68,RaceResults!$D:$D,F68))</f>
        <v>9</v>
      </c>
      <c r="J68" s="11">
        <f>IF(D68="","",SUMIFS(RaceResults!$E:$E,RaceResults!$A:$A,$A68,RaceResults!$D:$D,D68))</f>
        <v>32</v>
      </c>
      <c r="K68" s="11">
        <f>IF(E68="","",SUMIFS(RaceResults!$E:$E,RaceResults!$A:$A,$A68,RaceResults!$D:$D,E68))</f>
        <v>55</v>
      </c>
      <c r="L68" s="11">
        <f>IF(F68="","",SUMIFS(RaceResults!$E:$E,RaceResults!$A:$A,$A68,RaceResults!$D:$D,F68))</f>
        <v>28</v>
      </c>
      <c r="M68" s="11">
        <f t="shared" si="1"/>
        <v>115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>
        <v>24</v>
      </c>
      <c r="E70" s="3">
        <v>12</v>
      </c>
      <c r="F70" s="3">
        <v>11</v>
      </c>
      <c r="G70" s="11">
        <f>IF(D70="","",SUMIFS(RaceResults!$C:$C,RaceResults!$A:$A,$A70,RaceResults!$D:$D,D70))</f>
        <v>5</v>
      </c>
      <c r="H70" s="11">
        <f>IF(E70="","",SUMIFS(RaceResults!$C:$C,RaceResults!$A:$A,$A70,RaceResults!$D:$D,E70))</f>
        <v>6</v>
      </c>
      <c r="I70" s="11">
        <f>IF(F70="","",SUMIFS(RaceResults!$C:$C,RaceResults!$A:$A,$A70,RaceResults!$D:$D,F70))</f>
        <v>2</v>
      </c>
      <c r="J70" s="11">
        <f>IF(D70="","",SUMIFS(RaceResults!$E:$E,RaceResults!$A:$A,$A70,RaceResults!$D:$D,D70))</f>
        <v>32</v>
      </c>
      <c r="K70" s="11">
        <f>IF(E70="","",SUMIFS(RaceResults!$E:$E,RaceResults!$A:$A,$A70,RaceResults!$D:$D,E70))</f>
        <v>31</v>
      </c>
      <c r="L70" s="11">
        <f>IF(F70="","",SUMIFS(RaceResults!$E:$E,RaceResults!$A:$A,$A70,RaceResults!$D:$D,F70))</f>
        <v>35</v>
      </c>
      <c r="M70" s="11">
        <f t="shared" si="1"/>
        <v>98</v>
      </c>
    </row>
    <row r="71" spans="1:13" x14ac:dyDescent="0.3">
      <c r="A71" s="9">
        <v>7</v>
      </c>
      <c r="B71" s="9" t="s">
        <v>61</v>
      </c>
      <c r="C71" s="10" t="s">
        <v>32</v>
      </c>
      <c r="D71" s="3">
        <v>11</v>
      </c>
      <c r="E71" s="3">
        <v>23</v>
      </c>
      <c r="F71" s="3">
        <v>24</v>
      </c>
      <c r="G71" s="11">
        <f>IF(D71="","",SUMIFS(RaceResults!$C:$C,RaceResults!$A:$A,$A71,RaceResults!$D:$D,D71))</f>
        <v>2</v>
      </c>
      <c r="H71" s="11">
        <f>IF(E71="","",SUMIFS(RaceResults!$C:$C,RaceResults!$A:$A,$A71,RaceResults!$D:$D,E71))</f>
        <v>36</v>
      </c>
      <c r="I71" s="11">
        <f>IF(F71="","",SUMIFS(RaceResults!$C:$C,RaceResults!$A:$A,$A71,RaceResults!$D:$D,F71))</f>
        <v>5</v>
      </c>
      <c r="J71" s="11">
        <f>IF(D71="","",SUMIFS(RaceResults!$E:$E,RaceResults!$A:$A,$A71,RaceResults!$D:$D,D71))</f>
        <v>35</v>
      </c>
      <c r="K71" s="11">
        <f>IF(E71="","",SUMIFS(RaceResults!$E:$E,RaceResults!$A:$A,$A71,RaceResults!$D:$D,E71))</f>
        <v>1</v>
      </c>
      <c r="L71" s="11">
        <f>IF(F71="","",SUMIFS(RaceResults!$E:$E,RaceResults!$A:$A,$A71,RaceResults!$D:$D,F71))</f>
        <v>32</v>
      </c>
      <c r="M71" s="11">
        <f t="shared" si="1"/>
        <v>68</v>
      </c>
    </row>
    <row r="72" spans="1:13" x14ac:dyDescent="0.3">
      <c r="A72" s="9">
        <v>8</v>
      </c>
      <c r="B72" s="9" t="s">
        <v>63</v>
      </c>
      <c r="C72" s="10" t="s">
        <v>21</v>
      </c>
      <c r="D72" s="3">
        <v>5</v>
      </c>
      <c r="E72" s="3">
        <v>12</v>
      </c>
      <c r="F72" s="3">
        <v>45</v>
      </c>
      <c r="G72" s="11">
        <f>IF(D72="","",SUMIFS(RaceResults!$C:$C,RaceResults!$A:$A,$A72,RaceResults!$D:$D,D72))</f>
        <v>3</v>
      </c>
      <c r="H72" s="11">
        <f>IF(E72="","",SUMIFS(RaceResults!$C:$C,RaceResults!$A:$A,$A72,RaceResults!$D:$D,E72))</f>
        <v>2</v>
      </c>
      <c r="I72" s="11">
        <f>IF(F72="","",SUMIFS(RaceResults!$C:$C,RaceResults!$A:$A,$A72,RaceResults!$D:$D,F72))</f>
        <v>4</v>
      </c>
      <c r="J72" s="11">
        <f>IF(D72="","",SUMIFS(RaceResults!$E:$E,RaceResults!$A:$A,$A72,RaceResults!$D:$D,D72))</f>
        <v>34</v>
      </c>
      <c r="K72" s="11">
        <f>IF(E72="","",SUMIFS(RaceResults!$E:$E,RaceResults!$A:$A,$A72,RaceResults!$D:$D,E72))</f>
        <v>35</v>
      </c>
      <c r="L72" s="11">
        <f>IF(F72="","",SUMIFS(RaceResults!$E:$E,RaceResults!$A:$A,$A72,RaceResults!$D:$D,F72))</f>
        <v>33</v>
      </c>
      <c r="M72" s="11">
        <f t="shared" si="1"/>
        <v>102</v>
      </c>
    </row>
    <row r="73" spans="1:13" x14ac:dyDescent="0.3">
      <c r="A73" s="9">
        <v>8</v>
      </c>
      <c r="B73" s="9" t="s">
        <v>63</v>
      </c>
      <c r="C73" s="10" t="s">
        <v>22</v>
      </c>
      <c r="D73" s="3">
        <v>5</v>
      </c>
      <c r="E73" s="3">
        <v>45</v>
      </c>
      <c r="F73" s="3">
        <v>11</v>
      </c>
      <c r="G73" s="11">
        <f>IF(D73="","",SUMIFS(RaceResults!$C:$C,RaceResults!$A:$A,$A73,RaceResults!$D:$D,D73))</f>
        <v>3</v>
      </c>
      <c r="H73" s="11">
        <f>IF(E73="","",SUMIFS(RaceResults!$C:$C,RaceResults!$A:$A,$A73,RaceResults!$D:$D,E73))</f>
        <v>4</v>
      </c>
      <c r="I73" s="11">
        <f>IF(F73="","",SUMIFS(RaceResults!$C:$C,RaceResults!$A:$A,$A73,RaceResults!$D:$D,F73))</f>
        <v>9</v>
      </c>
      <c r="J73" s="11">
        <f>IF(D73="","",SUMIFS(RaceResults!$E:$E,RaceResults!$A:$A,$A73,RaceResults!$D:$D,D73))</f>
        <v>34</v>
      </c>
      <c r="K73" s="11">
        <f>IF(E73="","",SUMIFS(RaceResults!$E:$E,RaceResults!$A:$A,$A73,RaceResults!$D:$D,E73))</f>
        <v>33</v>
      </c>
      <c r="L73" s="11">
        <f>IF(F73="","",SUMIFS(RaceResults!$E:$E,RaceResults!$A:$A,$A73,RaceResults!$D:$D,F73))</f>
        <v>28</v>
      </c>
      <c r="M73" s="11">
        <f t="shared" si="1"/>
        <v>95</v>
      </c>
    </row>
    <row r="74" spans="1:13" x14ac:dyDescent="0.3">
      <c r="A74" s="9">
        <v>8</v>
      </c>
      <c r="B74" s="9" t="s">
        <v>63</v>
      </c>
      <c r="C74" s="10" t="s">
        <v>25</v>
      </c>
      <c r="D74" s="3">
        <v>12</v>
      </c>
      <c r="E74" s="3">
        <v>54</v>
      </c>
      <c r="F74" s="3">
        <v>17</v>
      </c>
      <c r="G74" s="11">
        <f>IF(D74="","",SUMIFS(RaceResults!$C:$C,RaceResults!$A:$A,$A74,RaceResults!$D:$D,D74))</f>
        <v>2</v>
      </c>
      <c r="H74" s="11">
        <f>IF(E74="","",SUMIFS(RaceResults!$C:$C,RaceResults!$A:$A,$A74,RaceResults!$D:$D,E74))</f>
        <v>1</v>
      </c>
      <c r="I74" s="11">
        <f>IF(F74="","",SUMIFS(RaceResults!$C:$C,RaceResults!$A:$A,$A74,RaceResults!$D:$D,F74))</f>
        <v>13</v>
      </c>
      <c r="J74" s="11">
        <f>IF(D74="","",SUMIFS(RaceResults!$E:$E,RaceResults!$A:$A,$A74,RaceResults!$D:$D,D74))</f>
        <v>35</v>
      </c>
      <c r="K74" s="11">
        <f>IF(E74="","",SUMIFS(RaceResults!$E:$E,RaceResults!$A:$A,$A74,RaceResults!$D:$D,E74))</f>
        <v>55</v>
      </c>
      <c r="L74" s="11">
        <f>IF(F74="","",SUMIFS(RaceResults!$E:$E,RaceResults!$A:$A,$A74,RaceResults!$D:$D,F74))</f>
        <v>24</v>
      </c>
      <c r="M74" s="11">
        <f t="shared" si="1"/>
        <v>114</v>
      </c>
    </row>
    <row r="75" spans="1:13" x14ac:dyDescent="0.3">
      <c r="A75" s="9">
        <v>8</v>
      </c>
      <c r="B75" s="9" t="s">
        <v>63</v>
      </c>
      <c r="C75" s="10" t="s">
        <v>26</v>
      </c>
      <c r="D75" s="3">
        <v>12</v>
      </c>
      <c r="E75" s="3">
        <v>54</v>
      </c>
      <c r="F75" s="3">
        <v>11</v>
      </c>
      <c r="G75" s="11">
        <f>IF(D75="","",SUMIFS(RaceResults!$C:$C,RaceResults!$A:$A,$A75,RaceResults!$D:$D,D75))</f>
        <v>2</v>
      </c>
      <c r="H75" s="11">
        <f>IF(E75="","",SUMIFS(RaceResults!$C:$C,RaceResults!$A:$A,$A75,RaceResults!$D:$D,E75))</f>
        <v>1</v>
      </c>
      <c r="I75" s="11">
        <f>IF(F75="","",SUMIFS(RaceResults!$C:$C,RaceResults!$A:$A,$A75,RaceResults!$D:$D,F75))</f>
        <v>9</v>
      </c>
      <c r="J75" s="11">
        <f>IF(D75="","",SUMIFS(RaceResults!$E:$E,RaceResults!$A:$A,$A75,RaceResults!$D:$D,D75))</f>
        <v>35</v>
      </c>
      <c r="K75" s="11">
        <f>IF(E75="","",SUMIFS(RaceResults!$E:$E,RaceResults!$A:$A,$A75,RaceResults!$D:$D,E75))</f>
        <v>55</v>
      </c>
      <c r="L75" s="11">
        <f>IF(F75="","",SUMIFS(RaceResults!$E:$E,RaceResults!$A:$A,$A75,RaceResults!$D:$D,F75))</f>
        <v>28</v>
      </c>
      <c r="M75" s="11">
        <f t="shared" si="1"/>
        <v>118</v>
      </c>
    </row>
    <row r="76" spans="1:13" x14ac:dyDescent="0.3">
      <c r="A76" s="9">
        <v>8</v>
      </c>
      <c r="B76" s="9" t="s">
        <v>63</v>
      </c>
      <c r="C76" s="10" t="s">
        <v>27</v>
      </c>
      <c r="D76" s="3">
        <v>5</v>
      </c>
      <c r="E76" s="3">
        <v>22</v>
      </c>
      <c r="F76" s="3">
        <v>20</v>
      </c>
      <c r="G76" s="11">
        <f>IF(D76="","",SUMIFS(RaceResults!$C:$C,RaceResults!$A:$A,$A76,RaceResults!$D:$D,D76))</f>
        <v>3</v>
      </c>
      <c r="H76" s="11">
        <f>IF(E76="","",SUMIFS(RaceResults!$C:$C,RaceResults!$A:$A,$A76,RaceResults!$D:$D,E76))</f>
        <v>7</v>
      </c>
      <c r="I76" s="11">
        <f>IF(F76="","",SUMIFS(RaceResults!$C:$C,RaceResults!$A:$A,$A76,RaceResults!$D:$D,F76))</f>
        <v>27</v>
      </c>
      <c r="J76" s="11">
        <f>IF(D76="","",SUMIFS(RaceResults!$E:$E,RaceResults!$A:$A,$A76,RaceResults!$D:$D,D76))</f>
        <v>34</v>
      </c>
      <c r="K76" s="11">
        <f>IF(E76="","",SUMIFS(RaceResults!$E:$E,RaceResults!$A:$A,$A76,RaceResults!$D:$D,E76))</f>
        <v>30</v>
      </c>
      <c r="L76" s="11">
        <f>IF(F76="","",SUMIFS(RaceResults!$E:$E,RaceResults!$A:$A,$A76,RaceResults!$D:$D,F76))</f>
        <v>10</v>
      </c>
      <c r="M76" s="11">
        <f t="shared" si="1"/>
        <v>74</v>
      </c>
    </row>
    <row r="77" spans="1:13" x14ac:dyDescent="0.3">
      <c r="A77" s="9">
        <v>8</v>
      </c>
      <c r="B77" s="9" t="s">
        <v>63</v>
      </c>
      <c r="C77" s="10" t="s">
        <v>28</v>
      </c>
      <c r="D77" s="3">
        <v>12</v>
      </c>
      <c r="E77" s="3">
        <v>45</v>
      </c>
      <c r="F77" s="3">
        <v>20</v>
      </c>
      <c r="G77" s="11">
        <f>IF(D77="","",SUMIFS(RaceResults!$C:$C,RaceResults!$A:$A,$A77,RaceResults!$D:$D,D77))</f>
        <v>2</v>
      </c>
      <c r="H77" s="11">
        <f>IF(E77="","",SUMIFS(RaceResults!$C:$C,RaceResults!$A:$A,$A77,RaceResults!$D:$D,E77))</f>
        <v>4</v>
      </c>
      <c r="I77" s="11">
        <f>IF(F77="","",SUMIFS(RaceResults!$C:$C,RaceResults!$A:$A,$A77,RaceResults!$D:$D,F77))</f>
        <v>27</v>
      </c>
      <c r="J77" s="11">
        <f>IF(D77="","",SUMIFS(RaceResults!$E:$E,RaceResults!$A:$A,$A77,RaceResults!$D:$D,D77))</f>
        <v>35</v>
      </c>
      <c r="K77" s="11">
        <f>IF(E77="","",SUMIFS(RaceResults!$E:$E,RaceResults!$A:$A,$A77,RaceResults!$D:$D,E77))</f>
        <v>33</v>
      </c>
      <c r="L77" s="11">
        <f>IF(F77="","",SUMIFS(RaceResults!$E:$E,RaceResults!$A:$A,$A77,RaceResults!$D:$D,F77))</f>
        <v>10</v>
      </c>
      <c r="M77" s="11">
        <f t="shared" si="1"/>
        <v>78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>
        <v>5</v>
      </c>
      <c r="E80" s="3">
        <v>12</v>
      </c>
      <c r="F80" s="3">
        <v>11</v>
      </c>
      <c r="G80" s="11">
        <f>IF(D80="","",SUMIFS(RaceResults!$C:$C,RaceResults!$A:$A,$A80,RaceResults!$D:$D,D80))</f>
        <v>3</v>
      </c>
      <c r="H80" s="11">
        <f>IF(E80="","",SUMIFS(RaceResults!$C:$C,RaceResults!$A:$A,$A80,RaceResults!$D:$D,E80))</f>
        <v>2</v>
      </c>
      <c r="I80" s="11">
        <f>IF(F80="","",SUMIFS(RaceResults!$C:$C,RaceResults!$A:$A,$A80,RaceResults!$D:$D,F80))</f>
        <v>9</v>
      </c>
      <c r="J80" s="11">
        <f>IF(D80="","",SUMIFS(RaceResults!$E:$E,RaceResults!$A:$A,$A80,RaceResults!$D:$D,D80))</f>
        <v>34</v>
      </c>
      <c r="K80" s="11">
        <f>IF(E80="","",SUMIFS(RaceResults!$E:$E,RaceResults!$A:$A,$A80,RaceResults!$D:$D,E80))</f>
        <v>35</v>
      </c>
      <c r="L80" s="11">
        <f>IF(F80="","",SUMIFS(RaceResults!$E:$E,RaceResults!$A:$A,$A80,RaceResults!$D:$D,F80))</f>
        <v>28</v>
      </c>
      <c r="M80" s="11">
        <f t="shared" si="1"/>
        <v>97</v>
      </c>
    </row>
    <row r="81" spans="1:13" x14ac:dyDescent="0.3">
      <c r="A81" s="9">
        <v>8</v>
      </c>
      <c r="B81" s="9" t="s">
        <v>63</v>
      </c>
      <c r="C81" s="10" t="s">
        <v>32</v>
      </c>
      <c r="D81" s="3">
        <v>12</v>
      </c>
      <c r="E81" s="3">
        <v>54</v>
      </c>
      <c r="F81" s="3">
        <v>45</v>
      </c>
      <c r="G81" s="11">
        <f>IF(D81="","",SUMIFS(RaceResults!$C:$C,RaceResults!$A:$A,$A81,RaceResults!$D:$D,D81))</f>
        <v>2</v>
      </c>
      <c r="H81" s="11">
        <f>IF(E81="","",SUMIFS(RaceResults!$C:$C,RaceResults!$A:$A,$A81,RaceResults!$D:$D,E81))</f>
        <v>1</v>
      </c>
      <c r="I81" s="11">
        <f>IF(F81="","",SUMIFS(RaceResults!$C:$C,RaceResults!$A:$A,$A81,RaceResults!$D:$D,F81))</f>
        <v>4</v>
      </c>
      <c r="J81" s="11">
        <f>IF(D81="","",SUMIFS(RaceResults!$E:$E,RaceResults!$A:$A,$A81,RaceResults!$D:$D,D81))</f>
        <v>35</v>
      </c>
      <c r="K81" s="11">
        <f>IF(E81="","",SUMIFS(RaceResults!$E:$E,RaceResults!$A:$A,$A81,RaceResults!$D:$D,E81))</f>
        <v>55</v>
      </c>
      <c r="L81" s="11">
        <f>IF(F81="","",SUMIFS(RaceResults!$E:$E,RaceResults!$A:$A,$A81,RaceResults!$D:$D,F81))</f>
        <v>33</v>
      </c>
      <c r="M81" s="11">
        <f t="shared" si="1"/>
        <v>123</v>
      </c>
    </row>
    <row r="82" spans="1:13" x14ac:dyDescent="0.3">
      <c r="A82" s="9">
        <v>9</v>
      </c>
      <c r="B82" s="9" t="s">
        <v>65</v>
      </c>
      <c r="C82" s="10" t="s">
        <v>21</v>
      </c>
      <c r="D82" s="3">
        <v>5</v>
      </c>
      <c r="E82" s="3">
        <v>11</v>
      </c>
      <c r="F82" s="3">
        <v>45</v>
      </c>
      <c r="G82" s="11">
        <f>IF(D82="","",SUMIFS(RaceResults!$C:$C,RaceResults!$A:$A,$A82,RaceResults!$D:$D,D82))</f>
        <v>2</v>
      </c>
      <c r="H82" s="11">
        <f>IF(E82="","",SUMIFS(RaceResults!$C:$C,RaceResults!$A:$A,$A82,RaceResults!$D:$D,E82))</f>
        <v>4</v>
      </c>
      <c r="I82" s="11">
        <f>IF(F82="","",SUMIFS(RaceResults!$C:$C,RaceResults!$A:$A,$A82,RaceResults!$D:$D,F82))</f>
        <v>1</v>
      </c>
      <c r="J82" s="11">
        <f>IF(D82="","",SUMIFS(RaceResults!$E:$E,RaceResults!$A:$A,$A82,RaceResults!$D:$D,D82))</f>
        <v>35</v>
      </c>
      <c r="K82" s="11">
        <f>IF(E82="","",SUMIFS(RaceResults!$E:$E,RaceResults!$A:$A,$A82,RaceResults!$D:$D,E82))</f>
        <v>33</v>
      </c>
      <c r="L82" s="11">
        <f>IF(F82="","",SUMIFS(RaceResults!$E:$E,RaceResults!$A:$A,$A82,RaceResults!$D:$D,F82))</f>
        <v>55</v>
      </c>
      <c r="M82" s="11">
        <f t="shared" si="1"/>
        <v>123</v>
      </c>
    </row>
    <row r="83" spans="1:13" x14ac:dyDescent="0.3">
      <c r="A83" s="9">
        <v>9</v>
      </c>
      <c r="B83" s="9" t="s">
        <v>65</v>
      </c>
      <c r="C83" s="10" t="s">
        <v>22</v>
      </c>
      <c r="D83" s="3">
        <v>45</v>
      </c>
      <c r="E83" s="3">
        <v>11</v>
      </c>
      <c r="F83" s="3">
        <v>5</v>
      </c>
      <c r="G83" s="11">
        <f>IF(D83="","",SUMIFS(RaceResults!$C:$C,RaceResults!$A:$A,$A83,RaceResults!$D:$D,D83))</f>
        <v>1</v>
      </c>
      <c r="H83" s="11">
        <f>IF(E83="","",SUMIFS(RaceResults!$C:$C,RaceResults!$A:$A,$A83,RaceResults!$D:$D,E83))</f>
        <v>4</v>
      </c>
      <c r="I83" s="11">
        <f>IF(F83="","",SUMIFS(RaceResults!$C:$C,RaceResults!$A:$A,$A83,RaceResults!$D:$D,F83))</f>
        <v>2</v>
      </c>
      <c r="J83" s="11">
        <f>IF(D83="","",SUMIFS(RaceResults!$E:$E,RaceResults!$A:$A,$A83,RaceResults!$D:$D,D83))</f>
        <v>55</v>
      </c>
      <c r="K83" s="11">
        <f>IF(E83="","",SUMIFS(RaceResults!$E:$E,RaceResults!$A:$A,$A83,RaceResults!$D:$D,E83))</f>
        <v>33</v>
      </c>
      <c r="L83" s="11">
        <f>IF(F83="","",SUMIFS(RaceResults!$E:$E,RaceResults!$A:$A,$A83,RaceResults!$D:$D,F83))</f>
        <v>35</v>
      </c>
      <c r="M83" s="11">
        <f t="shared" si="1"/>
        <v>123</v>
      </c>
    </row>
    <row r="84" spans="1:13" x14ac:dyDescent="0.3">
      <c r="A84" s="9">
        <v>9</v>
      </c>
      <c r="B84" s="9" t="s">
        <v>65</v>
      </c>
      <c r="C84" s="10" t="s">
        <v>25</v>
      </c>
      <c r="D84" s="3">
        <v>12</v>
      </c>
      <c r="E84" s="3">
        <v>54</v>
      </c>
      <c r="F84" s="3">
        <v>5</v>
      </c>
      <c r="G84" s="11">
        <f>IF(D84="","",SUMIFS(RaceResults!$C:$C,RaceResults!$A:$A,$A84,RaceResults!$D:$D,D84))</f>
        <v>24</v>
      </c>
      <c r="H84" s="11">
        <f>IF(E84="","",SUMIFS(RaceResults!$C:$C,RaceResults!$A:$A,$A84,RaceResults!$D:$D,E84))</f>
        <v>9</v>
      </c>
      <c r="I84" s="11">
        <f>IF(F84="","",SUMIFS(RaceResults!$C:$C,RaceResults!$A:$A,$A84,RaceResults!$D:$D,F84))</f>
        <v>2</v>
      </c>
      <c r="J84" s="11">
        <f>IF(D84="","",SUMIFS(RaceResults!$E:$E,RaceResults!$A:$A,$A84,RaceResults!$D:$D,D84))</f>
        <v>13</v>
      </c>
      <c r="K84" s="11">
        <f>IF(E84="","",SUMIFS(RaceResults!$E:$E,RaceResults!$A:$A,$A84,RaceResults!$D:$D,E84))</f>
        <v>28</v>
      </c>
      <c r="L84" s="11">
        <f>IF(F84="","",SUMIFS(RaceResults!$E:$E,RaceResults!$A:$A,$A84,RaceResults!$D:$D,F84))</f>
        <v>35</v>
      </c>
      <c r="M84" s="11">
        <f t="shared" si="1"/>
        <v>76</v>
      </c>
    </row>
    <row r="85" spans="1:13" x14ac:dyDescent="0.3">
      <c r="A85" s="9">
        <v>9</v>
      </c>
      <c r="B85" s="9" t="s">
        <v>65</v>
      </c>
      <c r="C85" s="10" t="s">
        <v>26</v>
      </c>
      <c r="D85" s="3">
        <v>12</v>
      </c>
      <c r="E85" s="3">
        <v>5</v>
      </c>
      <c r="F85" s="3">
        <v>54</v>
      </c>
      <c r="G85" s="11">
        <f>IF(D85="","",SUMIFS(RaceResults!$C:$C,RaceResults!$A:$A,$A85,RaceResults!$D:$D,D85))</f>
        <v>24</v>
      </c>
      <c r="H85" s="11">
        <f>IF(E85="","",SUMIFS(RaceResults!$C:$C,RaceResults!$A:$A,$A85,RaceResults!$D:$D,E85))</f>
        <v>2</v>
      </c>
      <c r="I85" s="11">
        <f>IF(F85="","",SUMIFS(RaceResults!$C:$C,RaceResults!$A:$A,$A85,RaceResults!$D:$D,F85))</f>
        <v>9</v>
      </c>
      <c r="J85" s="11">
        <f>IF(D85="","",SUMIFS(RaceResults!$E:$E,RaceResults!$A:$A,$A85,RaceResults!$D:$D,D85))</f>
        <v>13</v>
      </c>
      <c r="K85" s="11">
        <f>IF(E85="","",SUMIFS(RaceResults!$E:$E,RaceResults!$A:$A,$A85,RaceResults!$D:$D,E85))</f>
        <v>35</v>
      </c>
      <c r="L85" s="11">
        <f>IF(F85="","",SUMIFS(RaceResults!$E:$E,RaceResults!$A:$A,$A85,RaceResults!$D:$D,F85))</f>
        <v>28</v>
      </c>
      <c r="M85" s="11">
        <f t="shared" si="1"/>
        <v>76</v>
      </c>
    </row>
    <row r="86" spans="1:13" x14ac:dyDescent="0.3">
      <c r="A86" s="9">
        <v>9</v>
      </c>
      <c r="B86" s="9" t="s">
        <v>65</v>
      </c>
      <c r="C86" s="10" t="s">
        <v>27</v>
      </c>
      <c r="D86" s="3">
        <v>5</v>
      </c>
      <c r="E86" s="3">
        <v>11</v>
      </c>
      <c r="F86" s="3">
        <v>20</v>
      </c>
      <c r="G86" s="11">
        <f>IF(D86="","",SUMIFS(RaceResults!$C:$C,RaceResults!$A:$A,$A86,RaceResults!$D:$D,D86))</f>
        <v>2</v>
      </c>
      <c r="H86" s="11">
        <f>IF(E86="","",SUMIFS(RaceResults!$C:$C,RaceResults!$A:$A,$A86,RaceResults!$D:$D,E86))</f>
        <v>4</v>
      </c>
      <c r="I86" s="11">
        <f>IF(F86="","",SUMIFS(RaceResults!$C:$C,RaceResults!$A:$A,$A86,RaceResults!$D:$D,F86))</f>
        <v>20</v>
      </c>
      <c r="J86" s="11">
        <f>IF(D86="","",SUMIFS(RaceResults!$E:$E,RaceResults!$A:$A,$A86,RaceResults!$D:$D,D86))</f>
        <v>35</v>
      </c>
      <c r="K86" s="11">
        <f>IF(E86="","",SUMIFS(RaceResults!$E:$E,RaceResults!$A:$A,$A86,RaceResults!$D:$D,E86))</f>
        <v>33</v>
      </c>
      <c r="L86" s="11">
        <f>IF(F86="","",SUMIFS(RaceResults!$E:$E,RaceResults!$A:$A,$A86,RaceResults!$D:$D,F86))</f>
        <v>17</v>
      </c>
      <c r="M86" s="11">
        <f t="shared" si="1"/>
        <v>85</v>
      </c>
    </row>
    <row r="87" spans="1:13" x14ac:dyDescent="0.3">
      <c r="A87" s="9">
        <v>9</v>
      </c>
      <c r="B87" s="9" t="s">
        <v>65</v>
      </c>
      <c r="C87" s="10" t="s">
        <v>28</v>
      </c>
      <c r="D87" s="3">
        <v>12</v>
      </c>
      <c r="E87" s="3">
        <v>5</v>
      </c>
      <c r="F87" s="3">
        <v>54</v>
      </c>
      <c r="G87" s="11">
        <f>IF(D87="","",SUMIFS(RaceResults!$C:$C,RaceResults!$A:$A,$A87,RaceResults!$D:$D,D87))</f>
        <v>24</v>
      </c>
      <c r="H87" s="11">
        <f>IF(E87="","",SUMIFS(RaceResults!$C:$C,RaceResults!$A:$A,$A87,RaceResults!$D:$D,E87))</f>
        <v>2</v>
      </c>
      <c r="I87" s="11">
        <f>IF(F87="","",SUMIFS(RaceResults!$C:$C,RaceResults!$A:$A,$A87,RaceResults!$D:$D,F87))</f>
        <v>9</v>
      </c>
      <c r="J87" s="11">
        <f>IF(D87="","",SUMIFS(RaceResults!$E:$E,RaceResults!$A:$A,$A87,RaceResults!$D:$D,D87))</f>
        <v>13</v>
      </c>
      <c r="K87" s="11">
        <f>IF(E87="","",SUMIFS(RaceResults!$E:$E,RaceResults!$A:$A,$A87,RaceResults!$D:$D,E87))</f>
        <v>35</v>
      </c>
      <c r="L87" s="11">
        <f>IF(F87="","",SUMIFS(RaceResults!$E:$E,RaceResults!$A:$A,$A87,RaceResults!$D:$D,F87))</f>
        <v>28</v>
      </c>
      <c r="M87" s="11">
        <f t="shared" si="1"/>
        <v>76</v>
      </c>
    </row>
    <row r="88" spans="1:13" x14ac:dyDescent="0.3">
      <c r="A88" s="9">
        <v>9</v>
      </c>
      <c r="B88" s="9" t="s">
        <v>65</v>
      </c>
      <c r="C88" s="10" t="s">
        <v>29</v>
      </c>
      <c r="D88" s="3">
        <v>5</v>
      </c>
      <c r="E88" s="3">
        <v>9</v>
      </c>
      <c r="F88" s="3">
        <v>24</v>
      </c>
      <c r="G88" s="11">
        <f>IF(D88="","",SUMIFS(RaceResults!$C:$C,RaceResults!$A:$A,$A88,RaceResults!$D:$D,D88))</f>
        <v>2</v>
      </c>
      <c r="H88" s="11">
        <f>IF(E88="","",SUMIFS(RaceResults!$C:$C,RaceResults!$A:$A,$A88,RaceResults!$D:$D,E88))</f>
        <v>8</v>
      </c>
      <c r="I88" s="11">
        <f>IF(F88="","",SUMIFS(RaceResults!$C:$C,RaceResults!$A:$A,$A88,RaceResults!$D:$D,F88))</f>
        <v>7</v>
      </c>
      <c r="J88" s="11">
        <f>IF(D88="","",SUMIFS(RaceResults!$E:$E,RaceResults!$A:$A,$A88,RaceResults!$D:$D,D88))</f>
        <v>35</v>
      </c>
      <c r="K88" s="11">
        <f>IF(E88="","",SUMIFS(RaceResults!$E:$E,RaceResults!$A:$A,$A88,RaceResults!$D:$D,E88))</f>
        <v>29</v>
      </c>
      <c r="L88" s="11">
        <f>IF(F88="","",SUMIFS(RaceResults!$E:$E,RaceResults!$A:$A,$A88,RaceResults!$D:$D,F88))</f>
        <v>30</v>
      </c>
      <c r="M88" s="11">
        <f t="shared" si="1"/>
        <v>94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>
        <v>5</v>
      </c>
      <c r="E90" s="3">
        <v>12</v>
      </c>
      <c r="F90" s="3">
        <v>54</v>
      </c>
      <c r="G90" s="11">
        <f>IF(D90="","",SUMIFS(RaceResults!$C:$C,RaceResults!$A:$A,$A90,RaceResults!$D:$D,D90))</f>
        <v>2</v>
      </c>
      <c r="H90" s="11">
        <f>IF(E90="","",SUMIFS(RaceResults!$C:$C,RaceResults!$A:$A,$A90,RaceResults!$D:$D,E90))</f>
        <v>24</v>
      </c>
      <c r="I90" s="11">
        <f>IF(F90="","",SUMIFS(RaceResults!$C:$C,RaceResults!$A:$A,$A90,RaceResults!$D:$D,F90))</f>
        <v>9</v>
      </c>
      <c r="J90" s="11">
        <f>IF(D90="","",SUMIFS(RaceResults!$E:$E,RaceResults!$A:$A,$A90,RaceResults!$D:$D,D90))</f>
        <v>35</v>
      </c>
      <c r="K90" s="11">
        <f>IF(E90="","",SUMIFS(RaceResults!$E:$E,RaceResults!$A:$A,$A90,RaceResults!$D:$D,E90))</f>
        <v>13</v>
      </c>
      <c r="L90" s="11">
        <f>IF(F90="","",SUMIFS(RaceResults!$E:$E,RaceResults!$A:$A,$A90,RaceResults!$D:$D,F90))</f>
        <v>28</v>
      </c>
      <c r="M90" s="11">
        <f t="shared" si="1"/>
        <v>76</v>
      </c>
    </row>
    <row r="91" spans="1:13" x14ac:dyDescent="0.3">
      <c r="A91" s="9">
        <v>9</v>
      </c>
      <c r="B91" s="9" t="s">
        <v>65</v>
      </c>
      <c r="C91" s="10" t="s">
        <v>32</v>
      </c>
      <c r="D91" s="3">
        <v>11</v>
      </c>
      <c r="E91" s="3">
        <v>54</v>
      </c>
      <c r="F91" s="3">
        <v>12</v>
      </c>
      <c r="G91" s="11">
        <f>IF(D91="","",SUMIFS(RaceResults!$C:$C,RaceResults!$A:$A,$A91,RaceResults!$D:$D,D91))</f>
        <v>4</v>
      </c>
      <c r="H91" s="11">
        <f>IF(E91="","",SUMIFS(RaceResults!$C:$C,RaceResults!$A:$A,$A91,RaceResults!$D:$D,E91))</f>
        <v>9</v>
      </c>
      <c r="I91" s="11">
        <f>IF(F91="","",SUMIFS(RaceResults!$C:$C,RaceResults!$A:$A,$A91,RaceResults!$D:$D,F91))</f>
        <v>24</v>
      </c>
      <c r="J91" s="11">
        <f>IF(D91="","",SUMIFS(RaceResults!$E:$E,RaceResults!$A:$A,$A91,RaceResults!$D:$D,D91))</f>
        <v>33</v>
      </c>
      <c r="K91" s="11">
        <f>IF(E91="","",SUMIFS(RaceResults!$E:$E,RaceResults!$A:$A,$A91,RaceResults!$D:$D,E91))</f>
        <v>28</v>
      </c>
      <c r="L91" s="11">
        <f>IF(F91="","",SUMIFS(RaceResults!$E:$E,RaceResults!$A:$A,$A91,RaceResults!$D:$D,F91))</f>
        <v>13</v>
      </c>
      <c r="M91" s="11">
        <f t="shared" si="1"/>
        <v>74</v>
      </c>
    </row>
    <row r="92" spans="1:13" x14ac:dyDescent="0.3">
      <c r="A92" s="9">
        <v>10</v>
      </c>
      <c r="B92" s="9" t="s">
        <v>67</v>
      </c>
      <c r="C92" s="10" t="s">
        <v>21</v>
      </c>
      <c r="D92" s="3">
        <v>5</v>
      </c>
      <c r="E92" s="3">
        <v>12</v>
      </c>
      <c r="F92" s="3">
        <v>45</v>
      </c>
      <c r="G92" s="11">
        <f>IF(D92="","",SUMIFS(RaceResults!$C:$C,RaceResults!$A:$A,$A92,RaceResults!$D:$D,D92))</f>
        <v>0</v>
      </c>
      <c r="H92" s="11">
        <f>IF(E92="","",SUMIFS(RaceResults!$C:$C,RaceResults!$A:$A,$A92,RaceResults!$D:$D,E92))</f>
        <v>0</v>
      </c>
      <c r="I92" s="11">
        <f>IF(F92="","",SUMIFS(RaceResults!$C:$C,RaceResults!$A:$A,$A92,RaceResults!$D:$D,F92))</f>
        <v>0</v>
      </c>
      <c r="J92" s="11">
        <f>IF(D92="","",SUMIFS(RaceResults!$E:$E,RaceResults!$A:$A,$A92,RaceResults!$D:$D,D92))</f>
        <v>0</v>
      </c>
      <c r="K92" s="11">
        <f>IF(E92="","",SUMIFS(RaceResults!$E:$E,RaceResults!$A:$A,$A92,RaceResults!$D:$D,E92))</f>
        <v>0</v>
      </c>
      <c r="L92" s="11">
        <f>IF(F92="","",SUMIFS(RaceResults!$E:$E,RaceResults!$A:$A,$A92,RaceResults!$D:$D,F92))</f>
        <v>0</v>
      </c>
      <c r="M92" s="11">
        <f t="shared" si="1"/>
        <v>0</v>
      </c>
    </row>
    <row r="93" spans="1:13" x14ac:dyDescent="0.3">
      <c r="A93" s="9">
        <v>10</v>
      </c>
      <c r="B93" s="9" t="s">
        <v>67</v>
      </c>
      <c r="C93" s="10" t="s">
        <v>22</v>
      </c>
      <c r="D93" s="3">
        <v>45</v>
      </c>
      <c r="E93" s="3">
        <v>11</v>
      </c>
      <c r="F93" s="3">
        <v>12</v>
      </c>
      <c r="G93" s="11">
        <f>IF(D93="","",SUMIFS(RaceResults!$C:$C,RaceResults!$A:$A,$A93,RaceResults!$D:$D,D93))</f>
        <v>0</v>
      </c>
      <c r="H93" s="11">
        <f>IF(E93="","",SUMIFS(RaceResults!$C:$C,RaceResults!$A:$A,$A93,RaceResults!$D:$D,E93))</f>
        <v>0</v>
      </c>
      <c r="I93" s="11">
        <f>IF(F93="","",SUMIFS(RaceResults!$C:$C,RaceResults!$A:$A,$A93,RaceResults!$D:$D,F93))</f>
        <v>0</v>
      </c>
      <c r="J93" s="11">
        <f>IF(D93="","",SUMIFS(RaceResults!$E:$E,RaceResults!$A:$A,$A93,RaceResults!$D:$D,D93))</f>
        <v>0</v>
      </c>
      <c r="K93" s="11">
        <f>IF(E93="","",SUMIFS(RaceResults!$E:$E,RaceResults!$A:$A,$A93,RaceResults!$D:$D,E93))</f>
        <v>0</v>
      </c>
      <c r="L93" s="11">
        <f>IF(F93="","",SUMIFS(RaceResults!$E:$E,RaceResults!$A:$A,$A93,RaceResults!$D:$D,F93))</f>
        <v>0</v>
      </c>
      <c r="M93" s="11">
        <f t="shared" si="1"/>
        <v>0</v>
      </c>
    </row>
    <row r="94" spans="1:13" x14ac:dyDescent="0.3">
      <c r="A94" s="9">
        <v>10</v>
      </c>
      <c r="B94" s="9" t="s">
        <v>67</v>
      </c>
      <c r="C94" s="10" t="s">
        <v>25</v>
      </c>
      <c r="D94" s="3">
        <v>5</v>
      </c>
      <c r="E94" s="3">
        <v>23</v>
      </c>
      <c r="F94" s="3">
        <v>24</v>
      </c>
      <c r="G94" s="11">
        <f>IF(D94="","",SUMIFS(RaceResults!$C:$C,RaceResults!$A:$A,$A94,RaceResults!$D:$D,D94))</f>
        <v>0</v>
      </c>
      <c r="H94" s="11">
        <f>IF(E94="","",SUMIFS(RaceResults!$C:$C,RaceResults!$A:$A,$A94,RaceResults!$D:$D,E94))</f>
        <v>0</v>
      </c>
      <c r="I94" s="11">
        <f>IF(F94="","",SUMIFS(RaceResults!$C:$C,RaceResults!$A:$A,$A94,RaceResults!$D:$D,F94))</f>
        <v>0</v>
      </c>
      <c r="J94" s="11">
        <f>IF(D94="","",SUMIFS(RaceResults!$E:$E,RaceResults!$A:$A,$A94,RaceResults!$D:$D,D94))</f>
        <v>0</v>
      </c>
      <c r="K94" s="11">
        <f>IF(E94="","",SUMIFS(RaceResults!$E:$E,RaceResults!$A:$A,$A94,RaceResults!$D:$D,E94))</f>
        <v>0</v>
      </c>
      <c r="L94" s="11">
        <f>IF(F94="","",SUMIFS(RaceResults!$E:$E,RaceResults!$A:$A,$A94,RaceResults!$D:$D,F94))</f>
        <v>0</v>
      </c>
      <c r="M94" s="11">
        <f t="shared" si="1"/>
        <v>0</v>
      </c>
    </row>
    <row r="95" spans="1:13" x14ac:dyDescent="0.3">
      <c r="A95" s="9">
        <v>10</v>
      </c>
      <c r="B95" s="9" t="s">
        <v>67</v>
      </c>
      <c r="C95" s="10" t="s">
        <v>26</v>
      </c>
      <c r="D95" s="3">
        <v>5</v>
      </c>
      <c r="E95" s="3">
        <v>45</v>
      </c>
      <c r="F95" s="3">
        <v>12</v>
      </c>
      <c r="G95" s="11">
        <f>IF(D95="","",SUMIFS(RaceResults!$C:$C,RaceResults!$A:$A,$A95,RaceResults!$D:$D,D95))</f>
        <v>0</v>
      </c>
      <c r="H95" s="11">
        <f>IF(E95="","",SUMIFS(RaceResults!$C:$C,RaceResults!$A:$A,$A95,RaceResults!$D:$D,E95))</f>
        <v>0</v>
      </c>
      <c r="I95" s="11">
        <f>IF(F95="","",SUMIFS(RaceResults!$C:$C,RaceResults!$A:$A,$A95,RaceResults!$D:$D,F95))</f>
        <v>0</v>
      </c>
      <c r="J95" s="11">
        <f>IF(D95="","",SUMIFS(RaceResults!$E:$E,RaceResults!$A:$A,$A95,RaceResults!$D:$D,D95))</f>
        <v>0</v>
      </c>
      <c r="K95" s="11">
        <f>IF(E95="","",SUMIFS(RaceResults!$E:$E,RaceResults!$A:$A,$A95,RaceResults!$D:$D,E95))</f>
        <v>0</v>
      </c>
      <c r="L95" s="11">
        <f>IF(F95="","",SUMIFS(RaceResults!$E:$E,RaceResults!$A:$A,$A95,RaceResults!$D:$D,F95))</f>
        <v>0</v>
      </c>
      <c r="M95" s="11">
        <f t="shared" si="1"/>
        <v>0</v>
      </c>
    </row>
    <row r="96" spans="1:13" x14ac:dyDescent="0.3">
      <c r="A96" s="9">
        <v>10</v>
      </c>
      <c r="B96" s="9" t="s">
        <v>67</v>
      </c>
      <c r="C96" s="10" t="s">
        <v>27</v>
      </c>
      <c r="D96" s="3">
        <v>22</v>
      </c>
      <c r="E96" s="3">
        <v>5</v>
      </c>
      <c r="F96" s="3">
        <v>24</v>
      </c>
      <c r="G96" s="11">
        <f>IF(D96="","",SUMIFS(RaceResults!$C:$C,RaceResults!$A:$A,$A96,RaceResults!$D:$D,D96))</f>
        <v>0</v>
      </c>
      <c r="H96" s="11">
        <f>IF(E96="","",SUMIFS(RaceResults!$C:$C,RaceResults!$A:$A,$A96,RaceResults!$D:$D,E96))</f>
        <v>0</v>
      </c>
      <c r="I96" s="11">
        <f>IF(F96="","",SUMIFS(RaceResults!$C:$C,RaceResults!$A:$A,$A96,RaceResults!$D:$D,F96))</f>
        <v>0</v>
      </c>
      <c r="J96" s="11">
        <f>IF(D96="","",SUMIFS(RaceResults!$E:$E,RaceResults!$A:$A,$A96,RaceResults!$D:$D,D96))</f>
        <v>0</v>
      </c>
      <c r="K96" s="11">
        <f>IF(E96="","",SUMIFS(RaceResults!$E:$E,RaceResults!$A:$A,$A96,RaceResults!$D:$D,E96))</f>
        <v>0</v>
      </c>
      <c r="L96" s="11">
        <f>IF(F96="","",SUMIFS(RaceResults!$E:$E,RaceResults!$A:$A,$A96,RaceResults!$D:$D,F96))</f>
        <v>0</v>
      </c>
      <c r="M96" s="11">
        <f t="shared" si="1"/>
        <v>0</v>
      </c>
    </row>
    <row r="97" spans="1:13" x14ac:dyDescent="0.3">
      <c r="A97" s="9">
        <v>10</v>
      </c>
      <c r="B97" s="9" t="s">
        <v>67</v>
      </c>
      <c r="C97" s="10" t="s">
        <v>28</v>
      </c>
      <c r="D97" s="3">
        <v>45</v>
      </c>
      <c r="E97" s="3">
        <v>23</v>
      </c>
      <c r="F97" s="3">
        <v>24</v>
      </c>
      <c r="G97" s="11">
        <f>IF(D97="","",SUMIFS(RaceResults!$C:$C,RaceResults!$A:$A,$A97,RaceResults!$D:$D,D97))</f>
        <v>0</v>
      </c>
      <c r="H97" s="11">
        <f>IF(E97="","",SUMIFS(RaceResults!$C:$C,RaceResults!$A:$A,$A97,RaceResults!$D:$D,E97))</f>
        <v>0</v>
      </c>
      <c r="I97" s="11">
        <f>IF(F97="","",SUMIFS(RaceResults!$C:$C,RaceResults!$A:$A,$A97,RaceResults!$D:$D,F97))</f>
        <v>0</v>
      </c>
      <c r="J97" s="11">
        <f>IF(D97="","",SUMIFS(RaceResults!$E:$E,RaceResults!$A:$A,$A97,RaceResults!$D:$D,D97))</f>
        <v>0</v>
      </c>
      <c r="K97" s="11">
        <f>IF(E97="","",SUMIFS(RaceResults!$E:$E,RaceResults!$A:$A,$A97,RaceResults!$D:$D,E97))</f>
        <v>0</v>
      </c>
      <c r="L97" s="11">
        <f>IF(F97="","",SUMIFS(RaceResults!$E:$E,RaceResults!$A:$A,$A97,RaceResults!$D:$D,F97))</f>
        <v>0</v>
      </c>
      <c r="M97" s="11">
        <f t="shared" si="1"/>
        <v>0</v>
      </c>
    </row>
    <row r="98" spans="1:13" x14ac:dyDescent="0.3">
      <c r="A98" s="9">
        <v>10</v>
      </c>
      <c r="B98" s="9" t="s">
        <v>67</v>
      </c>
      <c r="C98" s="10" t="s">
        <v>29</v>
      </c>
      <c r="D98" s="3">
        <v>5</v>
      </c>
      <c r="E98" s="3">
        <v>24</v>
      </c>
      <c r="F98" s="3">
        <v>9</v>
      </c>
      <c r="G98" s="11">
        <f>IF(D98="","",SUMIFS(RaceResults!$C:$C,RaceResults!$A:$A,$A98,RaceResults!$D:$D,D98))</f>
        <v>0</v>
      </c>
      <c r="H98" s="11">
        <f>IF(E98="","",SUMIFS(RaceResults!$C:$C,RaceResults!$A:$A,$A98,RaceResults!$D:$D,E98))</f>
        <v>0</v>
      </c>
      <c r="I98" s="11">
        <f>IF(F98="","",SUMIFS(RaceResults!$C:$C,RaceResults!$A:$A,$A98,RaceResults!$D:$D,F98))</f>
        <v>0</v>
      </c>
      <c r="J98" s="11">
        <f>IF(D98="","",SUMIFS(RaceResults!$E:$E,RaceResults!$A:$A,$A98,RaceResults!$D:$D,D98))</f>
        <v>0</v>
      </c>
      <c r="K98" s="11">
        <f>IF(E98="","",SUMIFS(RaceResults!$E:$E,RaceResults!$A:$A,$A98,RaceResults!$D:$D,E98))</f>
        <v>0</v>
      </c>
      <c r="L98" s="11">
        <f>IF(F98="","",SUMIFS(RaceResults!$E:$E,RaceResults!$A:$A,$A98,RaceResults!$D:$D,F98))</f>
        <v>0</v>
      </c>
      <c r="M98" s="11">
        <f t="shared" si="1"/>
        <v>0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>
        <v>12</v>
      </c>
      <c r="E100" s="3">
        <v>22</v>
      </c>
      <c r="F100" s="3">
        <v>6</v>
      </c>
      <c r="G100" s="11">
        <f>IF(D100="","",SUMIFS(RaceResults!$C:$C,RaceResults!$A:$A,$A100,RaceResults!$D:$D,D100))</f>
        <v>0</v>
      </c>
      <c r="H100" s="11">
        <f>IF(E100="","",SUMIFS(RaceResults!$C:$C,RaceResults!$A:$A,$A100,RaceResults!$D:$D,E100))</f>
        <v>0</v>
      </c>
      <c r="I100" s="11">
        <f>IF(F100="","",SUMIFS(RaceResults!$C:$C,RaceResults!$A:$A,$A100,RaceResults!$D:$D,F100))</f>
        <v>0</v>
      </c>
      <c r="J100" s="11">
        <f>IF(D100="","",SUMIFS(RaceResults!$E:$E,RaceResults!$A:$A,$A100,RaceResults!$D:$D,D100))</f>
        <v>0</v>
      </c>
      <c r="K100" s="11">
        <f>IF(E100="","",SUMIFS(RaceResults!$E:$E,RaceResults!$A:$A,$A100,RaceResults!$D:$D,E100))</f>
        <v>0</v>
      </c>
      <c r="L100" s="11">
        <f>IF(F100="","",SUMIFS(RaceResults!$E:$E,RaceResults!$A:$A,$A100,RaceResults!$D:$D,F100))</f>
        <v>0</v>
      </c>
      <c r="M100" s="11">
        <f t="shared" si="1"/>
        <v>0</v>
      </c>
    </row>
    <row r="101" spans="1:13" x14ac:dyDescent="0.3">
      <c r="A101" s="9">
        <v>10</v>
      </c>
      <c r="B101" s="9" t="s">
        <v>67</v>
      </c>
      <c r="C101" s="10" t="s">
        <v>32</v>
      </c>
      <c r="D101" s="3"/>
      <c r="E101" s="3"/>
      <c r="F101" s="3"/>
      <c r="G101" s="11" t="str">
        <f>IF(D101="","",SUMIFS(RaceResults!$C:$C,RaceResults!$A:$A,$A101,RaceResults!$D:$D,D101))</f>
        <v/>
      </c>
      <c r="H101" s="11" t="str">
        <f>IF(E101="","",SUMIFS(RaceResults!$C:$C,RaceResults!$A:$A,$A101,RaceResults!$D:$D,E101))</f>
        <v/>
      </c>
      <c r="I101" s="11" t="str">
        <f>IF(F101="","",SUMIFS(RaceResults!$C:$C,RaceResults!$A:$A,$A101,RaceResults!$D:$D,F101))</f>
        <v/>
      </c>
      <c r="J101" s="11" t="str">
        <f>IF(D101="","",SUMIFS(RaceResults!$E:$E,RaceResults!$A:$A,$A101,RaceResults!$D:$D,D101))</f>
        <v/>
      </c>
      <c r="K101" s="11" t="str">
        <f>IF(E101="","",SUMIFS(RaceResults!$E:$E,RaceResults!$A:$A,$A101,RaceResults!$D:$D,E101))</f>
        <v/>
      </c>
      <c r="L101" s="11" t="str">
        <f>IF(F101="","",SUMIFS(RaceResults!$E:$E,RaceResults!$A:$A,$A101,RaceResults!$D:$D,F101))</f>
        <v/>
      </c>
      <c r="M101" s="11">
        <f t="shared" si="1"/>
        <v>0</v>
      </c>
    </row>
    <row r="102" spans="1:13" x14ac:dyDescent="0.3">
      <c r="A102" s="9">
        <v>11</v>
      </c>
      <c r="B102" s="9" t="s">
        <v>69</v>
      </c>
      <c r="C102" s="10" t="s">
        <v>21</v>
      </c>
      <c r="D102" s="3"/>
      <c r="E102" s="3"/>
      <c r="F102" s="3"/>
      <c r="G102" s="11" t="str">
        <f>IF(D102="","",SUMIFS(RaceResults!$C:$C,RaceResults!$A:$A,$A102,RaceResults!$D:$D,D102))</f>
        <v/>
      </c>
      <c r="H102" s="11" t="str">
        <f>IF(E102="","",SUMIFS(RaceResults!$C:$C,RaceResults!$A:$A,$A102,RaceResults!$D:$D,E102))</f>
        <v/>
      </c>
      <c r="I102" s="11" t="str">
        <f>IF(F102="","",SUMIFS(RaceResults!$C:$C,RaceResults!$A:$A,$A102,RaceResults!$D:$D,F102))</f>
        <v/>
      </c>
      <c r="J102" s="11" t="str">
        <f>IF(D102="","",SUMIFS(RaceResults!$E:$E,RaceResults!$A:$A,$A102,RaceResults!$D:$D,D102))</f>
        <v/>
      </c>
      <c r="K102" s="11" t="str">
        <f>IF(E102="","",SUMIFS(RaceResults!$E:$E,RaceResults!$A:$A,$A102,RaceResults!$D:$D,E102))</f>
        <v/>
      </c>
      <c r="L102" s="11" t="str">
        <f>IF(F102="","",SUMIFS(RaceResults!$E:$E,RaceResults!$A:$A,$A102,RaceResults!$D:$D,F102))</f>
        <v/>
      </c>
      <c r="M102" s="11">
        <f t="shared" si="1"/>
        <v>0</v>
      </c>
    </row>
    <row r="103" spans="1:13" x14ac:dyDescent="0.3">
      <c r="A103" s="9">
        <v>11</v>
      </c>
      <c r="B103" s="9" t="s">
        <v>69</v>
      </c>
      <c r="C103" s="10" t="s">
        <v>22</v>
      </c>
      <c r="D103" s="3"/>
      <c r="E103" s="3"/>
      <c r="F103" s="3"/>
      <c r="G103" s="11" t="str">
        <f>IF(D103="","",SUMIFS(RaceResults!$C:$C,RaceResults!$A:$A,$A103,RaceResults!$D:$D,D103))</f>
        <v/>
      </c>
      <c r="H103" s="11" t="str">
        <f>IF(E103="","",SUMIFS(RaceResults!$C:$C,RaceResults!$A:$A,$A103,RaceResults!$D:$D,E103))</f>
        <v/>
      </c>
      <c r="I103" s="11" t="str">
        <f>IF(F103="","",SUMIFS(RaceResults!$C:$C,RaceResults!$A:$A,$A103,RaceResults!$D:$D,F103))</f>
        <v/>
      </c>
      <c r="J103" s="11" t="str">
        <f>IF(D103="","",SUMIFS(RaceResults!$E:$E,RaceResults!$A:$A,$A103,RaceResults!$D:$D,D103))</f>
        <v/>
      </c>
      <c r="K103" s="11" t="str">
        <f>IF(E103="","",SUMIFS(RaceResults!$E:$E,RaceResults!$A:$A,$A103,RaceResults!$D:$D,E103))</f>
        <v/>
      </c>
      <c r="L103" s="11" t="str">
        <f>IF(F103="","",SUMIFS(RaceResults!$E:$E,RaceResults!$A:$A,$A103,RaceResults!$D:$D,F103))</f>
        <v/>
      </c>
      <c r="M103" s="11">
        <f t="shared" si="1"/>
        <v>0</v>
      </c>
    </row>
    <row r="104" spans="1:13" x14ac:dyDescent="0.3">
      <c r="A104" s="9">
        <v>11</v>
      </c>
      <c r="B104" s="9" t="s">
        <v>69</v>
      </c>
      <c r="C104" s="10" t="s">
        <v>25</v>
      </c>
      <c r="D104" s="3"/>
      <c r="E104" s="3"/>
      <c r="F104" s="3"/>
      <c r="G104" s="11" t="str">
        <f>IF(D104="","",SUMIFS(RaceResults!$C:$C,RaceResults!$A:$A,$A104,RaceResults!$D:$D,D104))</f>
        <v/>
      </c>
      <c r="H104" s="11" t="str">
        <f>IF(E104="","",SUMIFS(RaceResults!$C:$C,RaceResults!$A:$A,$A104,RaceResults!$D:$D,E104))</f>
        <v/>
      </c>
      <c r="I104" s="11" t="str">
        <f>IF(F104="","",SUMIFS(RaceResults!$C:$C,RaceResults!$A:$A,$A104,RaceResults!$D:$D,F104))</f>
        <v/>
      </c>
      <c r="J104" s="11" t="str">
        <f>IF(D104="","",SUMIFS(RaceResults!$E:$E,RaceResults!$A:$A,$A104,RaceResults!$D:$D,D104))</f>
        <v/>
      </c>
      <c r="K104" s="11" t="str">
        <f>IF(E104="","",SUMIFS(RaceResults!$E:$E,RaceResults!$A:$A,$A104,RaceResults!$D:$D,E104))</f>
        <v/>
      </c>
      <c r="L104" s="11" t="str">
        <f>IF(F104="","",SUMIFS(RaceResults!$E:$E,RaceResults!$A:$A,$A104,RaceResults!$D:$D,F104))</f>
        <v/>
      </c>
      <c r="M104" s="11">
        <f t="shared" si="1"/>
        <v>0</v>
      </c>
    </row>
    <row r="105" spans="1:13" x14ac:dyDescent="0.3">
      <c r="A105" s="9">
        <v>11</v>
      </c>
      <c r="B105" s="9" t="s">
        <v>69</v>
      </c>
      <c r="C105" s="10" t="s">
        <v>26</v>
      </c>
      <c r="D105" s="3"/>
      <c r="E105" s="3"/>
      <c r="F105" s="3"/>
      <c r="G105" s="11" t="str">
        <f>IF(D105="","",SUMIFS(RaceResults!$C:$C,RaceResults!$A:$A,$A105,RaceResults!$D:$D,D105))</f>
        <v/>
      </c>
      <c r="H105" s="11" t="str">
        <f>IF(E105="","",SUMIFS(RaceResults!$C:$C,RaceResults!$A:$A,$A105,RaceResults!$D:$D,E105))</f>
        <v/>
      </c>
      <c r="I105" s="11" t="str">
        <f>IF(F105="","",SUMIFS(RaceResults!$C:$C,RaceResults!$A:$A,$A105,RaceResults!$D:$D,F105))</f>
        <v/>
      </c>
      <c r="J105" s="11" t="str">
        <f>IF(D105="","",SUMIFS(RaceResults!$E:$E,RaceResults!$A:$A,$A105,RaceResults!$D:$D,D105))</f>
        <v/>
      </c>
      <c r="K105" s="11" t="str">
        <f>IF(E105="","",SUMIFS(RaceResults!$E:$E,RaceResults!$A:$A,$A105,RaceResults!$D:$D,E105))</f>
        <v/>
      </c>
      <c r="L105" s="11" t="str">
        <f>IF(F105="","",SUMIFS(RaceResults!$E:$E,RaceResults!$A:$A,$A105,RaceResults!$D:$D,F105))</f>
        <v/>
      </c>
      <c r="M105" s="11">
        <f t="shared" si="1"/>
        <v>0</v>
      </c>
    </row>
    <row r="106" spans="1:13" x14ac:dyDescent="0.3">
      <c r="A106" s="9">
        <v>11</v>
      </c>
      <c r="B106" s="9" t="s">
        <v>69</v>
      </c>
      <c r="C106" s="10" t="s">
        <v>27</v>
      </c>
      <c r="D106" s="3"/>
      <c r="E106" s="3"/>
      <c r="F106" s="3"/>
      <c r="G106" s="11" t="str">
        <f>IF(D106="","",SUMIFS(RaceResults!$C:$C,RaceResults!$A:$A,$A106,RaceResults!$D:$D,D106))</f>
        <v/>
      </c>
      <c r="H106" s="11" t="str">
        <f>IF(E106="","",SUMIFS(RaceResults!$C:$C,RaceResults!$A:$A,$A106,RaceResults!$D:$D,E106))</f>
        <v/>
      </c>
      <c r="I106" s="11" t="str">
        <f>IF(F106="","",SUMIFS(RaceResults!$C:$C,RaceResults!$A:$A,$A106,RaceResults!$D:$D,F106))</f>
        <v/>
      </c>
      <c r="J106" s="11" t="str">
        <f>IF(D106="","",SUMIFS(RaceResults!$E:$E,RaceResults!$A:$A,$A106,RaceResults!$D:$D,D106))</f>
        <v/>
      </c>
      <c r="K106" s="11" t="str">
        <f>IF(E106="","",SUMIFS(RaceResults!$E:$E,RaceResults!$A:$A,$A106,RaceResults!$D:$D,E106))</f>
        <v/>
      </c>
      <c r="L106" s="11" t="str">
        <f>IF(F106="","",SUMIFS(RaceResults!$E:$E,RaceResults!$A:$A,$A106,RaceResults!$D:$D,F106))</f>
        <v/>
      </c>
      <c r="M106" s="11">
        <f t="shared" si="1"/>
        <v>0</v>
      </c>
    </row>
    <row r="107" spans="1:13" x14ac:dyDescent="0.3">
      <c r="A107" s="9">
        <v>11</v>
      </c>
      <c r="B107" s="9" t="s">
        <v>69</v>
      </c>
      <c r="C107" s="10" t="s">
        <v>28</v>
      </c>
      <c r="D107" s="3"/>
      <c r="E107" s="3"/>
      <c r="F107" s="3"/>
      <c r="G107" s="11" t="str">
        <f>IF(D107="","",SUMIFS(RaceResults!$C:$C,RaceResults!$A:$A,$A107,RaceResults!$D:$D,D107))</f>
        <v/>
      </c>
      <c r="H107" s="11" t="str">
        <f>IF(E107="","",SUMIFS(RaceResults!$C:$C,RaceResults!$A:$A,$A107,RaceResults!$D:$D,E107))</f>
        <v/>
      </c>
      <c r="I107" s="11" t="str">
        <f>IF(F107="","",SUMIFS(RaceResults!$C:$C,RaceResults!$A:$A,$A107,RaceResults!$D:$D,F107))</f>
        <v/>
      </c>
      <c r="J107" s="11" t="str">
        <f>IF(D107="","",SUMIFS(RaceResults!$E:$E,RaceResults!$A:$A,$A107,RaceResults!$D:$D,D107))</f>
        <v/>
      </c>
      <c r="K107" s="11" t="str">
        <f>IF(E107="","",SUMIFS(RaceResults!$E:$E,RaceResults!$A:$A,$A107,RaceResults!$D:$D,E107))</f>
        <v/>
      </c>
      <c r="L107" s="11" t="str">
        <f>IF(F107="","",SUMIFS(RaceResults!$E:$E,RaceResults!$A:$A,$A107,RaceResults!$D:$D,F107))</f>
        <v/>
      </c>
      <c r="M107" s="11">
        <f t="shared" si="1"/>
        <v>0</v>
      </c>
    </row>
    <row r="108" spans="1:13" x14ac:dyDescent="0.3">
      <c r="A108" s="9">
        <v>11</v>
      </c>
      <c r="B108" s="9" t="s">
        <v>69</v>
      </c>
      <c r="C108" s="10" t="s">
        <v>29</v>
      </c>
      <c r="D108" s="3"/>
      <c r="E108" s="3"/>
      <c r="F108" s="3"/>
      <c r="G108" s="11" t="str">
        <f>IF(D108="","",SUMIFS(RaceResults!$C:$C,RaceResults!$A:$A,$A108,RaceResults!$D:$D,D108))</f>
        <v/>
      </c>
      <c r="H108" s="11" t="str">
        <f>IF(E108="","",SUMIFS(RaceResults!$C:$C,RaceResults!$A:$A,$A108,RaceResults!$D:$D,E108))</f>
        <v/>
      </c>
      <c r="I108" s="11" t="str">
        <f>IF(F108="","",SUMIFS(RaceResults!$C:$C,RaceResults!$A:$A,$A108,RaceResults!$D:$D,F108))</f>
        <v/>
      </c>
      <c r="J108" s="11" t="str">
        <f>IF(D108="","",SUMIFS(RaceResults!$E:$E,RaceResults!$A:$A,$A108,RaceResults!$D:$D,D108))</f>
        <v/>
      </c>
      <c r="K108" s="11" t="str">
        <f>IF(E108="","",SUMIFS(RaceResults!$E:$E,RaceResults!$A:$A,$A108,RaceResults!$D:$D,E108))</f>
        <v/>
      </c>
      <c r="L108" s="11" t="str">
        <f>IF(F108="","",SUMIFS(RaceResults!$E:$E,RaceResults!$A:$A,$A108,RaceResults!$D:$D,F108))</f>
        <v/>
      </c>
      <c r="M108" s="11">
        <f t="shared" si="1"/>
        <v>0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/>
      <c r="E110" s="3"/>
      <c r="F110" s="3"/>
      <c r="G110" s="11" t="str">
        <f>IF(D110="","",SUMIFS(RaceResults!$C:$C,RaceResults!$A:$A,$A110,RaceResults!$D:$D,D110))</f>
        <v/>
      </c>
      <c r="H110" s="11" t="str">
        <f>IF(E110="","",SUMIFS(RaceResults!$C:$C,RaceResults!$A:$A,$A110,RaceResults!$D:$D,E110))</f>
        <v/>
      </c>
      <c r="I110" s="11" t="str">
        <f>IF(F110="","",SUMIFS(RaceResults!$C:$C,RaceResults!$A:$A,$A110,RaceResults!$D:$D,F110))</f>
        <v/>
      </c>
      <c r="J110" s="11" t="str">
        <f>IF(D110="","",SUMIFS(RaceResults!$E:$E,RaceResults!$A:$A,$A110,RaceResults!$D:$D,D110))</f>
        <v/>
      </c>
      <c r="K110" s="11" t="str">
        <f>IF(E110="","",SUMIFS(RaceResults!$E:$E,RaceResults!$A:$A,$A110,RaceResults!$D:$D,E110))</f>
        <v/>
      </c>
      <c r="L110" s="11" t="str">
        <f>IF(F110="","",SUMIFS(RaceResults!$E:$E,RaceResults!$A:$A,$A110,RaceResults!$D:$D,F110))</f>
        <v/>
      </c>
      <c r="M110" s="11">
        <f t="shared" si="1"/>
        <v>0</v>
      </c>
    </row>
    <row r="111" spans="1:13" x14ac:dyDescent="0.3">
      <c r="A111" s="9">
        <v>11</v>
      </c>
      <c r="B111" s="9" t="s">
        <v>69</v>
      </c>
      <c r="C111" s="10" t="s">
        <v>32</v>
      </c>
      <c r="D111" s="3"/>
      <c r="E111" s="3"/>
      <c r="F111" s="3"/>
      <c r="G111" s="11" t="str">
        <f>IF(D111="","",SUMIFS(RaceResults!$C:$C,RaceResults!$A:$A,$A111,RaceResults!$D:$D,D111))</f>
        <v/>
      </c>
      <c r="H111" s="11" t="str">
        <f>IF(E111="","",SUMIFS(RaceResults!$C:$C,RaceResults!$A:$A,$A111,RaceResults!$D:$D,E111))</f>
        <v/>
      </c>
      <c r="I111" s="11" t="str">
        <f>IF(F111="","",SUMIFS(RaceResults!$C:$C,RaceResults!$A:$A,$A111,RaceResults!$D:$D,F111))</f>
        <v/>
      </c>
      <c r="J111" s="11" t="str">
        <f>IF(D111="","",SUMIFS(RaceResults!$E:$E,RaceResults!$A:$A,$A111,RaceResults!$D:$D,D111))</f>
        <v/>
      </c>
      <c r="K111" s="11" t="str">
        <f>IF(E111="","",SUMIFS(RaceResults!$E:$E,RaceResults!$A:$A,$A111,RaceResults!$D:$D,E111))</f>
        <v/>
      </c>
      <c r="L111" s="11" t="str">
        <f>IF(F111="","",SUMIFS(RaceResults!$E:$E,RaceResults!$A:$A,$A111,RaceResults!$D:$D,F111))</f>
        <v/>
      </c>
      <c r="M111" s="11">
        <f t="shared" si="1"/>
        <v>0</v>
      </c>
    </row>
    <row r="112" spans="1:13" x14ac:dyDescent="0.3">
      <c r="A112" s="9">
        <v>12</v>
      </c>
      <c r="B112" s="9" t="s">
        <v>71</v>
      </c>
      <c r="C112" s="10" t="s">
        <v>21</v>
      </c>
      <c r="D112" s="3"/>
      <c r="E112" s="3"/>
      <c r="F112" s="3"/>
      <c r="G112" s="11" t="str">
        <f>IF(D112="","",SUMIFS(RaceResults!$C:$C,RaceResults!$A:$A,$A112,RaceResults!$D:$D,D112))</f>
        <v/>
      </c>
      <c r="H112" s="11" t="str">
        <f>IF(E112="","",SUMIFS(RaceResults!$C:$C,RaceResults!$A:$A,$A112,RaceResults!$D:$D,E112))</f>
        <v/>
      </c>
      <c r="I112" s="11" t="str">
        <f>IF(F112="","",SUMIFS(RaceResults!$C:$C,RaceResults!$A:$A,$A112,RaceResults!$D:$D,F112))</f>
        <v/>
      </c>
      <c r="J112" s="11" t="str">
        <f>IF(D112="","",SUMIFS(RaceResults!$E:$E,RaceResults!$A:$A,$A112,RaceResults!$D:$D,D112))</f>
        <v/>
      </c>
      <c r="K112" s="11" t="str">
        <f>IF(E112="","",SUMIFS(RaceResults!$E:$E,RaceResults!$A:$A,$A112,RaceResults!$D:$D,E112))</f>
        <v/>
      </c>
      <c r="L112" s="11" t="str">
        <f>IF(F112="","",SUMIFS(RaceResults!$E:$E,RaceResults!$A:$A,$A112,RaceResults!$D:$D,F112))</f>
        <v/>
      </c>
      <c r="M112" s="11">
        <f t="shared" si="1"/>
        <v>0</v>
      </c>
    </row>
    <row r="113" spans="1:13" x14ac:dyDescent="0.3">
      <c r="A113" s="9">
        <v>12</v>
      </c>
      <c r="B113" s="9" t="s">
        <v>71</v>
      </c>
      <c r="C113" s="10" t="s">
        <v>22</v>
      </c>
      <c r="D113" s="3"/>
      <c r="E113" s="3"/>
      <c r="F113" s="3"/>
      <c r="G113" s="11" t="str">
        <f>IF(D113="","",SUMIFS(RaceResults!$C:$C,RaceResults!$A:$A,$A113,RaceResults!$D:$D,D113))</f>
        <v/>
      </c>
      <c r="H113" s="11" t="str">
        <f>IF(E113="","",SUMIFS(RaceResults!$C:$C,RaceResults!$A:$A,$A113,RaceResults!$D:$D,E113))</f>
        <v/>
      </c>
      <c r="I113" s="11" t="str">
        <f>IF(F113="","",SUMIFS(RaceResults!$C:$C,RaceResults!$A:$A,$A113,RaceResults!$D:$D,F113))</f>
        <v/>
      </c>
      <c r="J113" s="11" t="str">
        <f>IF(D113="","",SUMIFS(RaceResults!$E:$E,RaceResults!$A:$A,$A113,RaceResults!$D:$D,D113))</f>
        <v/>
      </c>
      <c r="K113" s="11" t="str">
        <f>IF(E113="","",SUMIFS(RaceResults!$E:$E,RaceResults!$A:$A,$A113,RaceResults!$D:$D,E113))</f>
        <v/>
      </c>
      <c r="L113" s="11" t="str">
        <f>IF(F113="","",SUMIFS(RaceResults!$E:$E,RaceResults!$A:$A,$A113,RaceResults!$D:$D,F113))</f>
        <v/>
      </c>
      <c r="M113" s="11">
        <f t="shared" si="1"/>
        <v>0</v>
      </c>
    </row>
    <row r="114" spans="1:13" x14ac:dyDescent="0.3">
      <c r="A114" s="9">
        <v>12</v>
      </c>
      <c r="B114" s="9" t="s">
        <v>71</v>
      </c>
      <c r="C114" s="10" t="s">
        <v>25</v>
      </c>
      <c r="D114" s="3"/>
      <c r="E114" s="3"/>
      <c r="F114" s="3"/>
      <c r="G114" s="11" t="str">
        <f>IF(D114="","",SUMIFS(RaceResults!$C:$C,RaceResults!$A:$A,$A114,RaceResults!$D:$D,D114))</f>
        <v/>
      </c>
      <c r="H114" s="11" t="str">
        <f>IF(E114="","",SUMIFS(RaceResults!$C:$C,RaceResults!$A:$A,$A114,RaceResults!$D:$D,E114))</f>
        <v/>
      </c>
      <c r="I114" s="11" t="str">
        <f>IF(F114="","",SUMIFS(RaceResults!$C:$C,RaceResults!$A:$A,$A114,RaceResults!$D:$D,F114))</f>
        <v/>
      </c>
      <c r="J114" s="11" t="str">
        <f>IF(D114="","",SUMIFS(RaceResults!$E:$E,RaceResults!$A:$A,$A114,RaceResults!$D:$D,D114))</f>
        <v/>
      </c>
      <c r="K114" s="11" t="str">
        <f>IF(E114="","",SUMIFS(RaceResults!$E:$E,RaceResults!$A:$A,$A114,RaceResults!$D:$D,E114))</f>
        <v/>
      </c>
      <c r="L114" s="11" t="str">
        <f>IF(F114="","",SUMIFS(RaceResults!$E:$E,RaceResults!$A:$A,$A114,RaceResults!$D:$D,F114))</f>
        <v/>
      </c>
      <c r="M114" s="11">
        <f t="shared" si="1"/>
        <v>0</v>
      </c>
    </row>
    <row r="115" spans="1:13" x14ac:dyDescent="0.3">
      <c r="A115" s="9">
        <v>12</v>
      </c>
      <c r="B115" s="9" t="s">
        <v>71</v>
      </c>
      <c r="C115" s="10" t="s">
        <v>26</v>
      </c>
      <c r="D115" s="3"/>
      <c r="E115" s="3"/>
      <c r="F115" s="3"/>
      <c r="G115" s="11" t="str">
        <f>IF(D115="","",SUMIFS(RaceResults!$C:$C,RaceResults!$A:$A,$A115,RaceResults!$D:$D,D115))</f>
        <v/>
      </c>
      <c r="H115" s="11" t="str">
        <f>IF(E115="","",SUMIFS(RaceResults!$C:$C,RaceResults!$A:$A,$A115,RaceResults!$D:$D,E115))</f>
        <v/>
      </c>
      <c r="I115" s="11" t="str">
        <f>IF(F115="","",SUMIFS(RaceResults!$C:$C,RaceResults!$A:$A,$A115,RaceResults!$D:$D,F115))</f>
        <v/>
      </c>
      <c r="J115" s="11" t="str">
        <f>IF(D115="","",SUMIFS(RaceResults!$E:$E,RaceResults!$A:$A,$A115,RaceResults!$D:$D,D115))</f>
        <v/>
      </c>
      <c r="K115" s="11" t="str">
        <f>IF(E115="","",SUMIFS(RaceResults!$E:$E,RaceResults!$A:$A,$A115,RaceResults!$D:$D,E115))</f>
        <v/>
      </c>
      <c r="L115" s="11" t="str">
        <f>IF(F115="","",SUMIFS(RaceResults!$E:$E,RaceResults!$A:$A,$A115,RaceResults!$D:$D,F115))</f>
        <v/>
      </c>
      <c r="M115" s="11">
        <f t="shared" si="1"/>
        <v>0</v>
      </c>
    </row>
    <row r="116" spans="1:13" x14ac:dyDescent="0.3">
      <c r="A116" s="9">
        <v>12</v>
      </c>
      <c r="B116" s="9" t="s">
        <v>71</v>
      </c>
      <c r="C116" s="10" t="s">
        <v>27</v>
      </c>
      <c r="D116" s="3"/>
      <c r="E116" s="3"/>
      <c r="F116" s="3"/>
      <c r="G116" s="11" t="str">
        <f>IF(D116="","",SUMIFS(RaceResults!$C:$C,RaceResults!$A:$A,$A116,RaceResults!$D:$D,D116))</f>
        <v/>
      </c>
      <c r="H116" s="11" t="str">
        <f>IF(E116="","",SUMIFS(RaceResults!$C:$C,RaceResults!$A:$A,$A116,RaceResults!$D:$D,E116))</f>
        <v/>
      </c>
      <c r="I116" s="11" t="str">
        <f>IF(F116="","",SUMIFS(RaceResults!$C:$C,RaceResults!$A:$A,$A116,RaceResults!$D:$D,F116))</f>
        <v/>
      </c>
      <c r="J116" s="11" t="str">
        <f>IF(D116="","",SUMIFS(RaceResults!$E:$E,RaceResults!$A:$A,$A116,RaceResults!$D:$D,D116))</f>
        <v/>
      </c>
      <c r="K116" s="11" t="str">
        <f>IF(E116="","",SUMIFS(RaceResults!$E:$E,RaceResults!$A:$A,$A116,RaceResults!$D:$D,E116))</f>
        <v/>
      </c>
      <c r="L116" s="11" t="str">
        <f>IF(F116="","",SUMIFS(RaceResults!$E:$E,RaceResults!$A:$A,$A116,RaceResults!$D:$D,F116))</f>
        <v/>
      </c>
      <c r="M116" s="11">
        <f t="shared" si="1"/>
        <v>0</v>
      </c>
    </row>
    <row r="117" spans="1:13" x14ac:dyDescent="0.3">
      <c r="A117" s="9">
        <v>12</v>
      </c>
      <c r="B117" s="9" t="s">
        <v>71</v>
      </c>
      <c r="C117" s="10" t="s">
        <v>28</v>
      </c>
      <c r="D117" s="3"/>
      <c r="E117" s="3"/>
      <c r="F117" s="3"/>
      <c r="G117" s="11" t="str">
        <f>IF(D117="","",SUMIFS(RaceResults!$C:$C,RaceResults!$A:$A,$A117,RaceResults!$D:$D,D117))</f>
        <v/>
      </c>
      <c r="H117" s="11" t="str">
        <f>IF(E117="","",SUMIFS(RaceResults!$C:$C,RaceResults!$A:$A,$A117,RaceResults!$D:$D,E117))</f>
        <v/>
      </c>
      <c r="I117" s="11" t="str">
        <f>IF(F117="","",SUMIFS(RaceResults!$C:$C,RaceResults!$A:$A,$A117,RaceResults!$D:$D,F117))</f>
        <v/>
      </c>
      <c r="J117" s="11" t="str">
        <f>IF(D117="","",SUMIFS(RaceResults!$E:$E,RaceResults!$A:$A,$A117,RaceResults!$D:$D,D117))</f>
        <v/>
      </c>
      <c r="K117" s="11" t="str">
        <f>IF(E117="","",SUMIFS(RaceResults!$E:$E,RaceResults!$A:$A,$A117,RaceResults!$D:$D,E117))</f>
        <v/>
      </c>
      <c r="L117" s="11" t="str">
        <f>IF(F117="","",SUMIFS(RaceResults!$E:$E,RaceResults!$A:$A,$A117,RaceResults!$D:$D,F117))</f>
        <v/>
      </c>
      <c r="M117" s="11">
        <f t="shared" si="1"/>
        <v>0</v>
      </c>
    </row>
    <row r="118" spans="1:13" x14ac:dyDescent="0.3">
      <c r="A118" s="9">
        <v>12</v>
      </c>
      <c r="B118" s="9" t="s">
        <v>71</v>
      </c>
      <c r="C118" s="10" t="s">
        <v>29</v>
      </c>
      <c r="D118" s="3"/>
      <c r="E118" s="3"/>
      <c r="F118" s="3"/>
      <c r="G118" s="11" t="str">
        <f>IF(D118="","",SUMIFS(RaceResults!$C:$C,RaceResults!$A:$A,$A118,RaceResults!$D:$D,D118))</f>
        <v/>
      </c>
      <c r="H118" s="11" t="str">
        <f>IF(E118="","",SUMIFS(RaceResults!$C:$C,RaceResults!$A:$A,$A118,RaceResults!$D:$D,E118))</f>
        <v/>
      </c>
      <c r="I118" s="11" t="str">
        <f>IF(F118="","",SUMIFS(RaceResults!$C:$C,RaceResults!$A:$A,$A118,RaceResults!$D:$D,F118))</f>
        <v/>
      </c>
      <c r="J118" s="11" t="str">
        <f>IF(D118="","",SUMIFS(RaceResults!$E:$E,RaceResults!$A:$A,$A118,RaceResults!$D:$D,D118))</f>
        <v/>
      </c>
      <c r="K118" s="11" t="str">
        <f>IF(E118="","",SUMIFS(RaceResults!$E:$E,RaceResults!$A:$A,$A118,RaceResults!$D:$D,E118))</f>
        <v/>
      </c>
      <c r="L118" s="11" t="str">
        <f>IF(F118="","",SUMIFS(RaceResults!$E:$E,RaceResults!$A:$A,$A118,RaceResults!$D:$D,F118))</f>
        <v/>
      </c>
      <c r="M118" s="11">
        <f t="shared" si="1"/>
        <v>0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/>
      <c r="E120" s="3"/>
      <c r="F120" s="3"/>
      <c r="G120" s="11" t="str">
        <f>IF(D120="","",SUMIFS(RaceResults!$C:$C,RaceResults!$A:$A,$A120,RaceResults!$D:$D,D120))</f>
        <v/>
      </c>
      <c r="H120" s="11" t="str">
        <f>IF(E120="","",SUMIFS(RaceResults!$C:$C,RaceResults!$A:$A,$A120,RaceResults!$D:$D,E120))</f>
        <v/>
      </c>
      <c r="I120" s="11" t="str">
        <f>IF(F120="","",SUMIFS(RaceResults!$C:$C,RaceResults!$A:$A,$A120,RaceResults!$D:$D,F120))</f>
        <v/>
      </c>
      <c r="J120" s="11" t="str">
        <f>IF(D120="","",SUMIFS(RaceResults!$E:$E,RaceResults!$A:$A,$A120,RaceResults!$D:$D,D120))</f>
        <v/>
      </c>
      <c r="K120" s="11" t="str">
        <f>IF(E120="","",SUMIFS(RaceResults!$E:$E,RaceResults!$A:$A,$A120,RaceResults!$D:$D,E120))</f>
        <v/>
      </c>
      <c r="L120" s="11" t="str">
        <f>IF(F120="","",SUMIFS(RaceResults!$E:$E,RaceResults!$A:$A,$A120,RaceResults!$D:$D,F120))</f>
        <v/>
      </c>
      <c r="M120" s="11">
        <f t="shared" si="1"/>
        <v>0</v>
      </c>
    </row>
    <row r="121" spans="1:13" x14ac:dyDescent="0.3">
      <c r="A121" s="9">
        <v>12</v>
      </c>
      <c r="B121" s="9" t="s">
        <v>71</v>
      </c>
      <c r="C121" s="10" t="s">
        <v>32</v>
      </c>
      <c r="D121" s="3"/>
      <c r="E121" s="3"/>
      <c r="F121" s="3"/>
      <c r="G121" s="11" t="str">
        <f>IF(D121="","",SUMIFS(RaceResults!$C:$C,RaceResults!$A:$A,$A121,RaceResults!$D:$D,D121))</f>
        <v/>
      </c>
      <c r="H121" s="11" t="str">
        <f>IF(E121="","",SUMIFS(RaceResults!$C:$C,RaceResults!$A:$A,$A121,RaceResults!$D:$D,E121))</f>
        <v/>
      </c>
      <c r="I121" s="11" t="str">
        <f>IF(F121="","",SUMIFS(RaceResults!$C:$C,RaceResults!$A:$A,$A121,RaceResults!$D:$D,F121))</f>
        <v/>
      </c>
      <c r="J121" s="11" t="str">
        <f>IF(D121="","",SUMIFS(RaceResults!$E:$E,RaceResults!$A:$A,$A121,RaceResults!$D:$D,D121))</f>
        <v/>
      </c>
      <c r="K121" s="11" t="str">
        <f>IF(E121="","",SUMIFS(RaceResults!$E:$E,RaceResults!$A:$A,$A121,RaceResults!$D:$D,E121))</f>
        <v/>
      </c>
      <c r="L121" s="11" t="str">
        <f>IF(F121="","",SUMIFS(RaceResults!$E:$E,RaceResults!$A:$A,$A121,RaceResults!$D:$D,F121))</f>
        <v/>
      </c>
      <c r="M121" s="11">
        <f t="shared" si="1"/>
        <v>0</v>
      </c>
    </row>
    <row r="122" spans="1:13" x14ac:dyDescent="0.3">
      <c r="A122" s="9">
        <v>13</v>
      </c>
      <c r="B122" s="9" t="s">
        <v>73</v>
      </c>
      <c r="C122" s="10" t="s">
        <v>21</v>
      </c>
      <c r="D122" s="3"/>
      <c r="E122" s="3"/>
      <c r="F122" s="3"/>
      <c r="G122" s="11" t="str">
        <f>IF(D122="","",SUMIFS(RaceResults!$C:$C,RaceResults!$A:$A,$A122,RaceResults!$D:$D,D122))</f>
        <v/>
      </c>
      <c r="H122" s="11" t="str">
        <f>IF(E122="","",SUMIFS(RaceResults!$C:$C,RaceResults!$A:$A,$A122,RaceResults!$D:$D,E122))</f>
        <v/>
      </c>
      <c r="I122" s="11" t="str">
        <f>IF(F122="","",SUMIFS(RaceResults!$C:$C,RaceResults!$A:$A,$A122,RaceResults!$D:$D,F122))</f>
        <v/>
      </c>
      <c r="J122" s="11" t="str">
        <f>IF(D122="","",SUMIFS(RaceResults!$E:$E,RaceResults!$A:$A,$A122,RaceResults!$D:$D,D122))</f>
        <v/>
      </c>
      <c r="K122" s="11" t="str">
        <f>IF(E122="","",SUMIFS(RaceResults!$E:$E,RaceResults!$A:$A,$A122,RaceResults!$D:$D,E122))</f>
        <v/>
      </c>
      <c r="L122" s="11" t="str">
        <f>IF(F122="","",SUMIFS(RaceResults!$E:$E,RaceResults!$A:$A,$A122,RaceResults!$D:$D,F122))</f>
        <v/>
      </c>
      <c r="M122" s="11">
        <f t="shared" si="1"/>
        <v>0</v>
      </c>
    </row>
    <row r="123" spans="1:13" x14ac:dyDescent="0.3">
      <c r="A123" s="9">
        <v>13</v>
      </c>
      <c r="B123" s="9" t="s">
        <v>73</v>
      </c>
      <c r="C123" s="10" t="s">
        <v>22</v>
      </c>
      <c r="D123" s="3"/>
      <c r="E123" s="3"/>
      <c r="F123" s="3"/>
      <c r="G123" s="11" t="str">
        <f>IF(D123="","",SUMIFS(RaceResults!$C:$C,RaceResults!$A:$A,$A123,RaceResults!$D:$D,D123))</f>
        <v/>
      </c>
      <c r="H123" s="11" t="str">
        <f>IF(E123="","",SUMIFS(RaceResults!$C:$C,RaceResults!$A:$A,$A123,RaceResults!$D:$D,E123))</f>
        <v/>
      </c>
      <c r="I123" s="11" t="str">
        <f>IF(F123="","",SUMIFS(RaceResults!$C:$C,RaceResults!$A:$A,$A123,RaceResults!$D:$D,F123))</f>
        <v/>
      </c>
      <c r="J123" s="11" t="str">
        <f>IF(D123="","",SUMIFS(RaceResults!$E:$E,RaceResults!$A:$A,$A123,RaceResults!$D:$D,D123))</f>
        <v/>
      </c>
      <c r="K123" s="11" t="str">
        <f>IF(E123="","",SUMIFS(RaceResults!$E:$E,RaceResults!$A:$A,$A123,RaceResults!$D:$D,E123))</f>
        <v/>
      </c>
      <c r="L123" s="11" t="str">
        <f>IF(F123="","",SUMIFS(RaceResults!$E:$E,RaceResults!$A:$A,$A123,RaceResults!$D:$D,F123))</f>
        <v/>
      </c>
      <c r="M123" s="11">
        <f t="shared" si="1"/>
        <v>0</v>
      </c>
    </row>
    <row r="124" spans="1:13" x14ac:dyDescent="0.3">
      <c r="A124" s="9">
        <v>13</v>
      </c>
      <c r="B124" s="9" t="s">
        <v>73</v>
      </c>
      <c r="C124" s="10" t="s">
        <v>25</v>
      </c>
      <c r="D124" s="3"/>
      <c r="E124" s="3"/>
      <c r="F124" s="3"/>
      <c r="G124" s="11" t="str">
        <f>IF(D124="","",SUMIFS(RaceResults!$C:$C,RaceResults!$A:$A,$A124,RaceResults!$D:$D,D124))</f>
        <v/>
      </c>
      <c r="H124" s="11" t="str">
        <f>IF(E124="","",SUMIFS(RaceResults!$C:$C,RaceResults!$A:$A,$A124,RaceResults!$D:$D,E124))</f>
        <v/>
      </c>
      <c r="I124" s="11" t="str">
        <f>IF(F124="","",SUMIFS(RaceResults!$C:$C,RaceResults!$A:$A,$A124,RaceResults!$D:$D,F124))</f>
        <v/>
      </c>
      <c r="J124" s="11" t="str">
        <f>IF(D124="","",SUMIFS(RaceResults!$E:$E,RaceResults!$A:$A,$A124,RaceResults!$D:$D,D124))</f>
        <v/>
      </c>
      <c r="K124" s="11" t="str">
        <f>IF(E124="","",SUMIFS(RaceResults!$E:$E,RaceResults!$A:$A,$A124,RaceResults!$D:$D,E124))</f>
        <v/>
      </c>
      <c r="L124" s="11" t="str">
        <f>IF(F124="","",SUMIFS(RaceResults!$E:$E,RaceResults!$A:$A,$A124,RaceResults!$D:$D,F124))</f>
        <v/>
      </c>
      <c r="M124" s="11">
        <f t="shared" si="1"/>
        <v>0</v>
      </c>
    </row>
    <row r="125" spans="1:13" x14ac:dyDescent="0.3">
      <c r="A125" s="9">
        <v>13</v>
      </c>
      <c r="B125" s="9" t="s">
        <v>73</v>
      </c>
      <c r="C125" s="10" t="s">
        <v>26</v>
      </c>
      <c r="D125" s="3"/>
      <c r="E125" s="3"/>
      <c r="F125" s="3"/>
      <c r="G125" s="11" t="str">
        <f>IF(D125="","",SUMIFS(RaceResults!$C:$C,RaceResults!$A:$A,$A125,RaceResults!$D:$D,D125))</f>
        <v/>
      </c>
      <c r="H125" s="11" t="str">
        <f>IF(E125="","",SUMIFS(RaceResults!$C:$C,RaceResults!$A:$A,$A125,RaceResults!$D:$D,E125))</f>
        <v/>
      </c>
      <c r="I125" s="11" t="str">
        <f>IF(F125="","",SUMIFS(RaceResults!$C:$C,RaceResults!$A:$A,$A125,RaceResults!$D:$D,F125))</f>
        <v/>
      </c>
      <c r="J125" s="11" t="str">
        <f>IF(D125="","",SUMIFS(RaceResults!$E:$E,RaceResults!$A:$A,$A125,RaceResults!$D:$D,D125))</f>
        <v/>
      </c>
      <c r="K125" s="11" t="str">
        <f>IF(E125="","",SUMIFS(RaceResults!$E:$E,RaceResults!$A:$A,$A125,RaceResults!$D:$D,E125))</f>
        <v/>
      </c>
      <c r="L125" s="11" t="str">
        <f>IF(F125="","",SUMIFS(RaceResults!$E:$E,RaceResults!$A:$A,$A125,RaceResults!$D:$D,F125))</f>
        <v/>
      </c>
      <c r="M125" s="11">
        <f t="shared" si="1"/>
        <v>0</v>
      </c>
    </row>
    <row r="126" spans="1:13" x14ac:dyDescent="0.3">
      <c r="A126" s="9">
        <v>13</v>
      </c>
      <c r="B126" s="9" t="s">
        <v>73</v>
      </c>
      <c r="C126" s="10" t="s">
        <v>27</v>
      </c>
      <c r="D126" s="3"/>
      <c r="E126" s="3"/>
      <c r="F126" s="3"/>
      <c r="G126" s="11" t="str">
        <f>IF(D126="","",SUMIFS(RaceResults!$C:$C,RaceResults!$A:$A,$A126,RaceResults!$D:$D,D126))</f>
        <v/>
      </c>
      <c r="H126" s="11" t="str">
        <f>IF(E126="","",SUMIFS(RaceResults!$C:$C,RaceResults!$A:$A,$A126,RaceResults!$D:$D,E126))</f>
        <v/>
      </c>
      <c r="I126" s="11" t="str">
        <f>IF(F126="","",SUMIFS(RaceResults!$C:$C,RaceResults!$A:$A,$A126,RaceResults!$D:$D,F126))</f>
        <v/>
      </c>
      <c r="J126" s="11" t="str">
        <f>IF(D126="","",SUMIFS(RaceResults!$E:$E,RaceResults!$A:$A,$A126,RaceResults!$D:$D,D126))</f>
        <v/>
      </c>
      <c r="K126" s="11" t="str">
        <f>IF(E126="","",SUMIFS(RaceResults!$E:$E,RaceResults!$A:$A,$A126,RaceResults!$D:$D,E126))</f>
        <v/>
      </c>
      <c r="L126" s="11" t="str">
        <f>IF(F126="","",SUMIFS(RaceResults!$E:$E,RaceResults!$A:$A,$A126,RaceResults!$D:$D,F126))</f>
        <v/>
      </c>
      <c r="M126" s="11">
        <f t="shared" si="1"/>
        <v>0</v>
      </c>
    </row>
    <row r="127" spans="1:13" x14ac:dyDescent="0.3">
      <c r="A127" s="9">
        <v>13</v>
      </c>
      <c r="B127" s="9" t="s">
        <v>73</v>
      </c>
      <c r="C127" s="10" t="s">
        <v>28</v>
      </c>
      <c r="D127" s="3"/>
      <c r="E127" s="3"/>
      <c r="F127" s="3"/>
      <c r="G127" s="11" t="str">
        <f>IF(D127="","",SUMIFS(RaceResults!$C:$C,RaceResults!$A:$A,$A127,RaceResults!$D:$D,D127))</f>
        <v/>
      </c>
      <c r="H127" s="11" t="str">
        <f>IF(E127="","",SUMIFS(RaceResults!$C:$C,RaceResults!$A:$A,$A127,RaceResults!$D:$D,E127))</f>
        <v/>
      </c>
      <c r="I127" s="11" t="str">
        <f>IF(F127="","",SUMIFS(RaceResults!$C:$C,RaceResults!$A:$A,$A127,RaceResults!$D:$D,F127))</f>
        <v/>
      </c>
      <c r="J127" s="11" t="str">
        <f>IF(D127="","",SUMIFS(RaceResults!$E:$E,RaceResults!$A:$A,$A127,RaceResults!$D:$D,D127))</f>
        <v/>
      </c>
      <c r="K127" s="11" t="str">
        <f>IF(E127="","",SUMIFS(RaceResults!$E:$E,RaceResults!$A:$A,$A127,RaceResults!$D:$D,E127))</f>
        <v/>
      </c>
      <c r="L127" s="11" t="str">
        <f>IF(F127="","",SUMIFS(RaceResults!$E:$E,RaceResults!$A:$A,$A127,RaceResults!$D:$D,F127))</f>
        <v/>
      </c>
      <c r="M127" s="11">
        <f t="shared" si="1"/>
        <v>0</v>
      </c>
    </row>
    <row r="128" spans="1:13" x14ac:dyDescent="0.3">
      <c r="A128" s="9">
        <v>13</v>
      </c>
      <c r="B128" s="9" t="s">
        <v>73</v>
      </c>
      <c r="C128" s="10" t="s">
        <v>29</v>
      </c>
      <c r="D128" s="3"/>
      <c r="E128" s="3"/>
      <c r="F128" s="3"/>
      <c r="G128" s="11" t="str">
        <f>IF(D128="","",SUMIFS(RaceResults!$C:$C,RaceResults!$A:$A,$A128,RaceResults!$D:$D,D128))</f>
        <v/>
      </c>
      <c r="H128" s="11" t="str">
        <f>IF(E128="","",SUMIFS(RaceResults!$C:$C,RaceResults!$A:$A,$A128,RaceResults!$D:$D,E128))</f>
        <v/>
      </c>
      <c r="I128" s="11" t="str">
        <f>IF(F128="","",SUMIFS(RaceResults!$C:$C,RaceResults!$A:$A,$A128,RaceResults!$D:$D,F128))</f>
        <v/>
      </c>
      <c r="J128" s="11" t="str">
        <f>IF(D128="","",SUMIFS(RaceResults!$E:$E,RaceResults!$A:$A,$A128,RaceResults!$D:$D,D128))</f>
        <v/>
      </c>
      <c r="K128" s="11" t="str">
        <f>IF(E128="","",SUMIFS(RaceResults!$E:$E,RaceResults!$A:$A,$A128,RaceResults!$D:$D,E128))</f>
        <v/>
      </c>
      <c r="L128" s="11" t="str">
        <f>IF(F128="","",SUMIFS(RaceResults!$E:$E,RaceResults!$A:$A,$A128,RaceResults!$D:$D,F128))</f>
        <v/>
      </c>
      <c r="M128" s="11">
        <f t="shared" si="1"/>
        <v>0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/>
      <c r="E130" s="3"/>
      <c r="F130" s="3"/>
      <c r="G130" s="11" t="str">
        <f>IF(D130="","",SUMIFS(RaceResults!$C:$C,RaceResults!$A:$A,$A130,RaceResults!$D:$D,D130))</f>
        <v/>
      </c>
      <c r="H130" s="11" t="str">
        <f>IF(E130="","",SUMIFS(RaceResults!$C:$C,RaceResults!$A:$A,$A130,RaceResults!$D:$D,E130))</f>
        <v/>
      </c>
      <c r="I130" s="11" t="str">
        <f>IF(F130="","",SUMIFS(RaceResults!$C:$C,RaceResults!$A:$A,$A130,RaceResults!$D:$D,F130))</f>
        <v/>
      </c>
      <c r="J130" s="11" t="str">
        <f>IF(D130="","",SUMIFS(RaceResults!$E:$E,RaceResults!$A:$A,$A130,RaceResults!$D:$D,D130))</f>
        <v/>
      </c>
      <c r="K130" s="11" t="str">
        <f>IF(E130="","",SUMIFS(RaceResults!$E:$E,RaceResults!$A:$A,$A130,RaceResults!$D:$D,E130))</f>
        <v/>
      </c>
      <c r="L130" s="11" t="str">
        <f>IF(F130="","",SUMIFS(RaceResults!$E:$E,RaceResults!$A:$A,$A130,RaceResults!$D:$D,F130))</f>
        <v/>
      </c>
      <c r="M130" s="11">
        <f t="shared" ref="M130:M193" si="2">SUM(J130:L130)</f>
        <v>0</v>
      </c>
    </row>
    <row r="131" spans="1:13" x14ac:dyDescent="0.3">
      <c r="A131" s="9">
        <v>13</v>
      </c>
      <c r="B131" s="9" t="s">
        <v>73</v>
      </c>
      <c r="C131" s="10" t="s">
        <v>32</v>
      </c>
      <c r="D131" s="3"/>
      <c r="E131" s="3"/>
      <c r="F131" s="3"/>
      <c r="G131" s="11" t="str">
        <f>IF(D131="","",SUMIFS(RaceResults!$C:$C,RaceResults!$A:$A,$A131,RaceResults!$D:$D,D131))</f>
        <v/>
      </c>
      <c r="H131" s="11" t="str">
        <f>IF(E131="","",SUMIFS(RaceResults!$C:$C,RaceResults!$A:$A,$A131,RaceResults!$D:$D,E131))</f>
        <v/>
      </c>
      <c r="I131" s="11" t="str">
        <f>IF(F131="","",SUMIFS(RaceResults!$C:$C,RaceResults!$A:$A,$A131,RaceResults!$D:$D,F131))</f>
        <v/>
      </c>
      <c r="J131" s="11" t="str">
        <f>IF(D131="","",SUMIFS(RaceResults!$E:$E,RaceResults!$A:$A,$A131,RaceResults!$D:$D,D131))</f>
        <v/>
      </c>
      <c r="K131" s="11" t="str">
        <f>IF(E131="","",SUMIFS(RaceResults!$E:$E,RaceResults!$A:$A,$A131,RaceResults!$D:$D,E131))</f>
        <v/>
      </c>
      <c r="L131" s="11" t="str">
        <f>IF(F131="","",SUMIFS(RaceResults!$E:$E,RaceResults!$A:$A,$A131,RaceResults!$D:$D,F131))</f>
        <v/>
      </c>
      <c r="M131" s="11">
        <f t="shared" si="2"/>
        <v>0</v>
      </c>
    </row>
    <row r="132" spans="1:13" x14ac:dyDescent="0.3">
      <c r="A132" s="9">
        <v>14</v>
      </c>
      <c r="B132" s="9" t="s">
        <v>76</v>
      </c>
      <c r="C132" s="10" t="s">
        <v>21</v>
      </c>
      <c r="D132" s="3"/>
      <c r="E132" s="3"/>
      <c r="F132" s="3"/>
      <c r="G132" s="11" t="str">
        <f>IF(D132="","",SUMIFS(RaceResults!$C:$C,RaceResults!$A:$A,$A132,RaceResults!$D:$D,D132))</f>
        <v/>
      </c>
      <c r="H132" s="11" t="str">
        <f>IF(E132="","",SUMIFS(RaceResults!$C:$C,RaceResults!$A:$A,$A132,RaceResults!$D:$D,E132))</f>
        <v/>
      </c>
      <c r="I132" s="11" t="str">
        <f>IF(F132="","",SUMIFS(RaceResults!$C:$C,RaceResults!$A:$A,$A132,RaceResults!$D:$D,F132))</f>
        <v/>
      </c>
      <c r="J132" s="11" t="str">
        <f>IF(D132="","",SUMIFS(RaceResults!$E:$E,RaceResults!$A:$A,$A132,RaceResults!$D:$D,D132))</f>
        <v/>
      </c>
      <c r="K132" s="11" t="str">
        <f>IF(E132="","",SUMIFS(RaceResults!$E:$E,RaceResults!$A:$A,$A132,RaceResults!$D:$D,E132))</f>
        <v/>
      </c>
      <c r="L132" s="11" t="str">
        <f>IF(F132="","",SUMIFS(RaceResults!$E:$E,RaceResults!$A:$A,$A132,RaceResults!$D:$D,F132))</f>
        <v/>
      </c>
      <c r="M132" s="11">
        <f t="shared" si="2"/>
        <v>0</v>
      </c>
    </row>
    <row r="133" spans="1:13" x14ac:dyDescent="0.3">
      <c r="A133" s="9">
        <v>14</v>
      </c>
      <c r="B133" s="9" t="s">
        <v>76</v>
      </c>
      <c r="C133" s="10" t="s">
        <v>22</v>
      </c>
      <c r="D133" s="3"/>
      <c r="E133" s="3"/>
      <c r="F133" s="3"/>
      <c r="G133" s="11" t="str">
        <f>IF(D133="","",SUMIFS(RaceResults!$C:$C,RaceResults!$A:$A,$A133,RaceResults!$D:$D,D133))</f>
        <v/>
      </c>
      <c r="H133" s="11" t="str">
        <f>IF(E133="","",SUMIFS(RaceResults!$C:$C,RaceResults!$A:$A,$A133,RaceResults!$D:$D,E133))</f>
        <v/>
      </c>
      <c r="I133" s="11" t="str">
        <f>IF(F133="","",SUMIFS(RaceResults!$C:$C,RaceResults!$A:$A,$A133,RaceResults!$D:$D,F133))</f>
        <v/>
      </c>
      <c r="J133" s="11" t="str">
        <f>IF(D133="","",SUMIFS(RaceResults!$E:$E,RaceResults!$A:$A,$A133,RaceResults!$D:$D,D133))</f>
        <v/>
      </c>
      <c r="K133" s="11" t="str">
        <f>IF(E133="","",SUMIFS(RaceResults!$E:$E,RaceResults!$A:$A,$A133,RaceResults!$D:$D,E133))</f>
        <v/>
      </c>
      <c r="L133" s="11" t="str">
        <f>IF(F133="","",SUMIFS(RaceResults!$E:$E,RaceResults!$A:$A,$A133,RaceResults!$D:$D,F133))</f>
        <v/>
      </c>
      <c r="M133" s="11">
        <f t="shared" si="2"/>
        <v>0</v>
      </c>
    </row>
    <row r="134" spans="1:13" x14ac:dyDescent="0.3">
      <c r="A134" s="9">
        <v>14</v>
      </c>
      <c r="B134" s="9" t="s">
        <v>76</v>
      </c>
      <c r="C134" s="10" t="s">
        <v>25</v>
      </c>
      <c r="D134" s="3"/>
      <c r="E134" s="3"/>
      <c r="F134" s="3"/>
      <c r="G134" s="11" t="str">
        <f>IF(D134="","",SUMIFS(RaceResults!$C:$C,RaceResults!$A:$A,$A134,RaceResults!$D:$D,D134))</f>
        <v/>
      </c>
      <c r="H134" s="11" t="str">
        <f>IF(E134="","",SUMIFS(RaceResults!$C:$C,RaceResults!$A:$A,$A134,RaceResults!$D:$D,E134))</f>
        <v/>
      </c>
      <c r="I134" s="11" t="str">
        <f>IF(F134="","",SUMIFS(RaceResults!$C:$C,RaceResults!$A:$A,$A134,RaceResults!$D:$D,F134))</f>
        <v/>
      </c>
      <c r="J134" s="11" t="str">
        <f>IF(D134="","",SUMIFS(RaceResults!$E:$E,RaceResults!$A:$A,$A134,RaceResults!$D:$D,D134))</f>
        <v/>
      </c>
      <c r="K134" s="11" t="str">
        <f>IF(E134="","",SUMIFS(RaceResults!$E:$E,RaceResults!$A:$A,$A134,RaceResults!$D:$D,E134))</f>
        <v/>
      </c>
      <c r="L134" s="11" t="str">
        <f>IF(F134="","",SUMIFS(RaceResults!$E:$E,RaceResults!$A:$A,$A134,RaceResults!$D:$D,F134))</f>
        <v/>
      </c>
      <c r="M134" s="11">
        <f t="shared" si="2"/>
        <v>0</v>
      </c>
    </row>
    <row r="135" spans="1:13" x14ac:dyDescent="0.3">
      <c r="A135" s="9">
        <v>14</v>
      </c>
      <c r="B135" s="9" t="s">
        <v>76</v>
      </c>
      <c r="C135" s="10" t="s">
        <v>26</v>
      </c>
      <c r="D135" s="3"/>
      <c r="E135" s="3"/>
      <c r="F135" s="3"/>
      <c r="G135" s="11" t="str">
        <f>IF(D135="","",SUMIFS(RaceResults!$C:$C,RaceResults!$A:$A,$A135,RaceResults!$D:$D,D135))</f>
        <v/>
      </c>
      <c r="H135" s="11" t="str">
        <f>IF(E135="","",SUMIFS(RaceResults!$C:$C,RaceResults!$A:$A,$A135,RaceResults!$D:$D,E135))</f>
        <v/>
      </c>
      <c r="I135" s="11" t="str">
        <f>IF(F135="","",SUMIFS(RaceResults!$C:$C,RaceResults!$A:$A,$A135,RaceResults!$D:$D,F135))</f>
        <v/>
      </c>
      <c r="J135" s="11" t="str">
        <f>IF(D135="","",SUMIFS(RaceResults!$E:$E,RaceResults!$A:$A,$A135,RaceResults!$D:$D,D135))</f>
        <v/>
      </c>
      <c r="K135" s="11" t="str">
        <f>IF(E135="","",SUMIFS(RaceResults!$E:$E,RaceResults!$A:$A,$A135,RaceResults!$D:$D,E135))</f>
        <v/>
      </c>
      <c r="L135" s="11" t="str">
        <f>IF(F135="","",SUMIFS(RaceResults!$E:$E,RaceResults!$A:$A,$A135,RaceResults!$D:$D,F135))</f>
        <v/>
      </c>
      <c r="M135" s="11">
        <f t="shared" si="2"/>
        <v>0</v>
      </c>
    </row>
    <row r="136" spans="1:13" x14ac:dyDescent="0.3">
      <c r="A136" s="9">
        <v>14</v>
      </c>
      <c r="B136" s="9" t="s">
        <v>76</v>
      </c>
      <c r="C136" s="10" t="s">
        <v>27</v>
      </c>
      <c r="D136" s="3"/>
      <c r="E136" s="3"/>
      <c r="F136" s="3"/>
      <c r="G136" s="11" t="str">
        <f>IF(D136="","",SUMIFS(RaceResults!$C:$C,RaceResults!$A:$A,$A136,RaceResults!$D:$D,D136))</f>
        <v/>
      </c>
      <c r="H136" s="11" t="str">
        <f>IF(E136="","",SUMIFS(RaceResults!$C:$C,RaceResults!$A:$A,$A136,RaceResults!$D:$D,E136))</f>
        <v/>
      </c>
      <c r="I136" s="11" t="str">
        <f>IF(F136="","",SUMIFS(RaceResults!$C:$C,RaceResults!$A:$A,$A136,RaceResults!$D:$D,F136))</f>
        <v/>
      </c>
      <c r="J136" s="11" t="str">
        <f>IF(D136="","",SUMIFS(RaceResults!$E:$E,RaceResults!$A:$A,$A136,RaceResults!$D:$D,D136))</f>
        <v/>
      </c>
      <c r="K136" s="11" t="str">
        <f>IF(E136="","",SUMIFS(RaceResults!$E:$E,RaceResults!$A:$A,$A136,RaceResults!$D:$D,E136))</f>
        <v/>
      </c>
      <c r="L136" s="11" t="str">
        <f>IF(F136="","",SUMIFS(RaceResults!$E:$E,RaceResults!$A:$A,$A136,RaceResults!$D:$D,F136))</f>
        <v/>
      </c>
      <c r="M136" s="11">
        <f t="shared" si="2"/>
        <v>0</v>
      </c>
    </row>
    <row r="137" spans="1:13" x14ac:dyDescent="0.3">
      <c r="A137" s="9">
        <v>14</v>
      </c>
      <c r="B137" s="9" t="s">
        <v>76</v>
      </c>
      <c r="C137" s="10" t="s">
        <v>28</v>
      </c>
      <c r="D137" s="3"/>
      <c r="E137" s="3"/>
      <c r="F137" s="3"/>
      <c r="G137" s="11" t="str">
        <f>IF(D137="","",SUMIFS(RaceResults!$C:$C,RaceResults!$A:$A,$A137,RaceResults!$D:$D,D137))</f>
        <v/>
      </c>
      <c r="H137" s="11" t="str">
        <f>IF(E137="","",SUMIFS(RaceResults!$C:$C,RaceResults!$A:$A,$A137,RaceResults!$D:$D,E137))</f>
        <v/>
      </c>
      <c r="I137" s="11" t="str">
        <f>IF(F137="","",SUMIFS(RaceResults!$C:$C,RaceResults!$A:$A,$A137,RaceResults!$D:$D,F137))</f>
        <v/>
      </c>
      <c r="J137" s="11" t="str">
        <f>IF(D137="","",SUMIFS(RaceResults!$E:$E,RaceResults!$A:$A,$A137,RaceResults!$D:$D,D137))</f>
        <v/>
      </c>
      <c r="K137" s="11" t="str">
        <f>IF(E137="","",SUMIFS(RaceResults!$E:$E,RaceResults!$A:$A,$A137,RaceResults!$D:$D,E137))</f>
        <v/>
      </c>
      <c r="L137" s="11" t="str">
        <f>IF(F137="","",SUMIFS(RaceResults!$E:$E,RaceResults!$A:$A,$A137,RaceResults!$D:$D,F137))</f>
        <v/>
      </c>
      <c r="M137" s="11">
        <f t="shared" si="2"/>
        <v>0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/>
      <c r="E140" s="3"/>
      <c r="F140" s="3"/>
      <c r="G140" s="11" t="str">
        <f>IF(D140="","",SUMIFS(RaceResults!$C:$C,RaceResults!$A:$A,$A140,RaceResults!$D:$D,D140))</f>
        <v/>
      </c>
      <c r="H140" s="11" t="str">
        <f>IF(E140="","",SUMIFS(RaceResults!$C:$C,RaceResults!$A:$A,$A140,RaceResults!$D:$D,E140))</f>
        <v/>
      </c>
      <c r="I140" s="11" t="str">
        <f>IF(F140="","",SUMIFS(RaceResults!$C:$C,RaceResults!$A:$A,$A140,RaceResults!$D:$D,F140))</f>
        <v/>
      </c>
      <c r="J140" s="11" t="str">
        <f>IF(D140="","",SUMIFS(RaceResults!$E:$E,RaceResults!$A:$A,$A140,RaceResults!$D:$D,D140))</f>
        <v/>
      </c>
      <c r="K140" s="11" t="str">
        <f>IF(E140="","",SUMIFS(RaceResults!$E:$E,RaceResults!$A:$A,$A140,RaceResults!$D:$D,E140))</f>
        <v/>
      </c>
      <c r="L140" s="11" t="str">
        <f>IF(F140="","",SUMIFS(RaceResults!$E:$E,RaceResults!$A:$A,$A140,RaceResults!$D:$D,F140))</f>
        <v/>
      </c>
      <c r="M140" s="11">
        <f t="shared" si="2"/>
        <v>0</v>
      </c>
    </row>
    <row r="141" spans="1:13" x14ac:dyDescent="0.3">
      <c r="A141" s="9">
        <v>14</v>
      </c>
      <c r="B141" s="9" t="s">
        <v>76</v>
      </c>
      <c r="C141" s="10" t="s">
        <v>32</v>
      </c>
      <c r="D141" s="3"/>
      <c r="E141" s="3"/>
      <c r="F141" s="3"/>
      <c r="G141" s="11" t="str">
        <f>IF(D141="","",SUMIFS(RaceResults!$C:$C,RaceResults!$A:$A,$A141,RaceResults!$D:$D,D141))</f>
        <v/>
      </c>
      <c r="H141" s="11" t="str">
        <f>IF(E141="","",SUMIFS(RaceResults!$C:$C,RaceResults!$A:$A,$A141,RaceResults!$D:$D,E141))</f>
        <v/>
      </c>
      <c r="I141" s="11" t="str">
        <f>IF(F141="","",SUMIFS(RaceResults!$C:$C,RaceResults!$A:$A,$A141,RaceResults!$D:$D,F141))</f>
        <v/>
      </c>
      <c r="J141" s="11" t="str">
        <f>IF(D141="","",SUMIFS(RaceResults!$E:$E,RaceResults!$A:$A,$A141,RaceResults!$D:$D,D141))</f>
        <v/>
      </c>
      <c r="K141" s="11" t="str">
        <f>IF(E141="","",SUMIFS(RaceResults!$E:$E,RaceResults!$A:$A,$A141,RaceResults!$D:$D,E141))</f>
        <v/>
      </c>
      <c r="L141" s="11" t="str">
        <f>IF(F141="","",SUMIFS(RaceResults!$E:$E,RaceResults!$A:$A,$A141,RaceResults!$D:$D,F141))</f>
        <v/>
      </c>
      <c r="M141" s="11">
        <f t="shared" si="2"/>
        <v>0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>Alz</v>
      </c>
      <c r="D7">
        <f>MAX(WeeklyPicks!$M$52:$M$61)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>Darin</v>
      </c>
      <c r="D8">
        <f>MAX(WeeklyPicks!$M$62:$M$71)</f>
        <v>122</v>
      </c>
      <c r="E8">
        <f>IF(MAX(CountCalc!$D$596:$D$694)=0,"",INDEX(CountCalc!$C$596:$C$694,MATCH(MAX(CountCalc!$D$596:$D$694),CountCalc!$D$596:$D$694,0)))</f>
        <v>11</v>
      </c>
      <c r="F8">
        <f>MAX(CountCalc!$D$596:$D$694)</f>
        <v>8</v>
      </c>
      <c r="G8">
        <f>IF(MAX(Calc!$F$182:$F$211)=0,"",INDEX(Calc!$E$182:$E$211,MATCH(MAX(Calc!$F$182:$F$211),Calc!$F$182:$F$211,0)))</f>
        <v>23</v>
      </c>
      <c r="H8">
        <f>MAX(Calc!$F$182:$F$211)</f>
        <v>36</v>
      </c>
      <c r="I8" t="str">
        <f>IF(H8=0,"",INDEX(Calc!$C$182:$C$211,MATCH(H8,Calc!$F$182:$F$211,0)))</f>
        <v>Ryan</v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>Ryan</v>
      </c>
      <c r="D9">
        <f>MAX(WeeklyPicks!$M$72:$M$81)</f>
        <v>123</v>
      </c>
      <c r="E9">
        <f>IF(MAX(CountCalc!$D$695:$D$793)=0,"",INDEX(CountCalc!$C$695:$C$793,MATCH(MAX(CountCalc!$D$695:$D$793),CountCalc!$D$695:$D$793,0)))</f>
        <v>12</v>
      </c>
      <c r="F9">
        <f>MAX(CountCalc!$D$695:$D$793)</f>
        <v>6</v>
      </c>
      <c r="G9">
        <f>IF(MAX(Calc!$F$212:$F$241)=0,"",INDEX(Calc!$E$212:$E$241,MATCH(MAX(Calc!$F$212:$F$241),Calc!$F$212:$F$241,0)))</f>
        <v>20</v>
      </c>
      <c r="H9">
        <f>MAX(Calc!$F$212:$F$241)</f>
        <v>27</v>
      </c>
      <c r="I9" t="str">
        <f>IF(H9=0,"",INDEX(Calc!$C$212:$C$241,MATCH(H9,Calc!$F$212:$F$241,0)))</f>
        <v>Joe</v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>Pat</v>
      </c>
      <c r="D10">
        <f>MAX(WeeklyPicks!$M$82:$M$91)</f>
        <v>123</v>
      </c>
      <c r="E10">
        <f>IF(MAX(CountCalc!$D$794:$D$892)=0,"",INDEX(CountCalc!$C$794:$C$892,MATCH(MAX(CountCalc!$D$794:$D$892),CountCalc!$D$794:$D$892,0)))</f>
        <v>5</v>
      </c>
      <c r="F10">
        <f>MAX(CountCalc!$D$794:$D$892)</f>
        <v>8</v>
      </c>
      <c r="G10">
        <f>IF(MAX(Calc!$F$242:$F$271)=0,"",INDEX(Calc!$E$242:$E$271,MATCH(MAX(Calc!$F$242:$F$271),Calc!$F$242:$F$271,0)))</f>
        <v>12</v>
      </c>
      <c r="H10">
        <f>MAX(Calc!$F$242:$F$271)</f>
        <v>24</v>
      </c>
      <c r="I10" t="str">
        <f>IF(H10=0,"",INDEX(Calc!$C$242:$C$271,MATCH(H10,Calc!$F$242:$F$271,0)))</f>
        <v>Darin</v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/>
      </c>
      <c r="D11">
        <f>MAX(WeeklyPicks!$M$92:$M$101)</f>
        <v>0</v>
      </c>
      <c r="E11">
        <f>IF(MAX(CountCalc!$D$893:$D$991)=0,"",INDEX(CountCalc!$C$893:$C$991,MATCH(MAX(CountCalc!$D$893:$D$991),CountCalc!$D$893:$D$991,0)))</f>
        <v>5</v>
      </c>
      <c r="F11">
        <f>MAX(CountCalc!$D$893:$D$991)</f>
        <v>5</v>
      </c>
      <c r="G11" t="str">
        <f>IF(MAX(Calc!$F$272:$F$301)=0,"",INDEX(Calc!$E$272:$E$301,MATCH(MAX(Calc!$F$272:$F$301),Calc!$F$272:$F$301,0)))</f>
        <v/>
      </c>
      <c r="H11">
        <f>MAX(Calc!$F$272:$F$301)</f>
        <v>0</v>
      </c>
      <c r="I11" t="str">
        <f>IF(H11=0,"",INDEX(Calc!$C$272:$C$301,MATCH(H11,Calc!$F$272:$F$301,0)))</f>
        <v/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/>
      </c>
      <c r="D12">
        <f>MAX(WeeklyPicks!$M$102:$M$111)</f>
        <v>0</v>
      </c>
      <c r="E12" t="str">
        <f>IF(MAX(CountCalc!$D$992:$D$1090)=0,"",INDEX(CountCalc!$C$992:$C$1090,MATCH(MAX(CountCalc!$D$992:$D$1090),CountCalc!$D$992:$D$1090,0)))</f>
        <v/>
      </c>
      <c r="F12">
        <f>MAX(CountCalc!$D$992:$D$1090)</f>
        <v>0</v>
      </c>
      <c r="G12" t="str">
        <f>IF(MAX(Calc!$F$302:$F$331)=0,"",INDEX(Calc!$E$302:$E$331,MATCH(MAX(Calc!$F$302:$F$331),Calc!$F$302:$F$331,0)))</f>
        <v/>
      </c>
      <c r="H12">
        <f>MAX(Calc!$F$302:$F$331)</f>
        <v>0</v>
      </c>
      <c r="I12" t="str">
        <f>IF(H12=0,"",INDEX(Calc!$C$302:$C$331,MATCH(H12,Calc!$F$302:$F$331,0)))</f>
        <v/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/>
      </c>
      <c r="D13">
        <f>MAX(WeeklyPicks!$M$112:$M$121)</f>
        <v>0</v>
      </c>
      <c r="E13" t="str">
        <f>IF(MAX(CountCalc!$D$1091:$D$1189)=0,"",INDEX(CountCalc!$C$1091:$C$1189,MATCH(MAX(CountCalc!$D$1091:$D$1189),CountCalc!$D$1091:$D$1189,0)))</f>
        <v/>
      </c>
      <c r="F13">
        <f>MAX(CountCalc!$D$1091:$D$1189)</f>
        <v>0</v>
      </c>
      <c r="G13" t="str">
        <f>IF(MAX(Calc!$F$332:$F$361)=0,"",INDEX(Calc!$E$332:$E$361,MATCH(MAX(Calc!$F$332:$F$361),Calc!$F$332:$F$361,0)))</f>
        <v/>
      </c>
      <c r="H13">
        <f>MAX(Calc!$F$332:$F$361)</f>
        <v>0</v>
      </c>
      <c r="I13" t="str">
        <f>IF(H13=0,"",INDEX(Calc!$C$332:$C$361,MATCH(H13,Calc!$F$332:$F$361,0)))</f>
        <v/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/>
      </c>
      <c r="D14">
        <f>MAX(WeeklyPicks!$M$122:$M$131)</f>
        <v>0</v>
      </c>
      <c r="E14" t="str">
        <f>IF(MAX(CountCalc!$D$1190:$D$1288)=0,"",INDEX(CountCalc!$C$1190:$C$1288,MATCH(MAX(CountCalc!$D$1190:$D$1288),CountCalc!$D$1190:$D$1288,0)))</f>
        <v/>
      </c>
      <c r="F14">
        <f>MAX(CountCalc!$D$1190:$D$1288)</f>
        <v>0</v>
      </c>
      <c r="G14" t="str">
        <f>IF(MAX(Calc!$F$362:$F$391)=0,"",INDEX(Calc!$E$362:$E$391,MATCH(MAX(Calc!$F$362:$F$391),Calc!$F$362:$F$391,0)))</f>
        <v/>
      </c>
      <c r="H14">
        <f>MAX(Calc!$F$362:$F$391)</f>
        <v>0</v>
      </c>
      <c r="I14" t="str">
        <f>IF(H14=0,"",INDEX(Calc!$C$362:$C$391,MATCH(H14,Calc!$F$362:$F$391,0)))</f>
        <v/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/>
      </c>
      <c r="D15">
        <f>MAX(WeeklyPicks!$M$132:$M$141)</f>
        <v>0</v>
      </c>
      <c r="E15" t="str">
        <f>IF(MAX(CountCalc!$D$1289:$D$1387)=0,"",INDEX(CountCalc!$C$1289:$C$1387,MATCH(MAX(CountCalc!$D$1289:$D$1387),CountCalc!$D$1289:$D$1387,0)))</f>
        <v/>
      </c>
      <c r="F15">
        <f>MAX(CountCalc!$D$1289:$D$1387)</f>
        <v>0</v>
      </c>
      <c r="G15" t="str">
        <f>IF(MAX(Calc!$F$392:$F$421)=0,"",INDEX(Calc!$E$392:$E$421,MATCH(MAX(Calc!$F$392:$F$421),Calc!$F$392:$F$421,0)))</f>
        <v/>
      </c>
      <c r="H15">
        <f>MAX(Calc!$F$392:$F$421)</f>
        <v>0</v>
      </c>
      <c r="I15" t="str">
        <f>IF(H15=0,"",INDEX(Calc!$C$392:$C$421,MATCH(H15,Calc!$F$392:$F$421,0)))</f>
        <v/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342" activePane="bottomLeft" state="frozen"/>
      <selection pane="bottomLeft" activeCell="D360" sqref="D360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>
        <v>9</v>
      </c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>
        <v>11</v>
      </c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>
        <v>22</v>
      </c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>
        <v>54</v>
      </c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>
        <v>24</v>
      </c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>
        <v>12</v>
      </c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>
        <v>20</v>
      </c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>
        <v>2</v>
      </c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>
        <v>5</v>
      </c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>
        <v>21</v>
      </c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>
        <v>97</v>
      </c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>
        <v>60</v>
      </c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>
        <v>6</v>
      </c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>
        <v>19</v>
      </c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>
        <v>45</v>
      </c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>
        <v>1</v>
      </c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>
        <v>77</v>
      </c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>
        <v>71</v>
      </c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>
        <v>17</v>
      </c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>
        <v>7</v>
      </c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>
        <v>43</v>
      </c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>
        <v>48</v>
      </c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>
        <v>34</v>
      </c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>
        <v>8</v>
      </c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>
        <v>3</v>
      </c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>
        <v>88</v>
      </c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>
        <v>16</v>
      </c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>
        <v>4</v>
      </c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>
        <v>42</v>
      </c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>
        <v>47</v>
      </c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>
        <v>41</v>
      </c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>
        <v>51</v>
      </c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>
        <v>33</v>
      </c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>
        <v>38</v>
      </c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>
        <v>35</v>
      </c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>
        <v>23</v>
      </c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>
        <v>10</v>
      </c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>
        <v>54</v>
      </c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>
        <v>12</v>
      </c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>
        <v>5</v>
      </c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>
        <v>45</v>
      </c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>
        <v>19</v>
      </c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>
        <v>34</v>
      </c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>
        <v>22</v>
      </c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>
        <v>60</v>
      </c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>
        <v>11</v>
      </c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>
        <v>77</v>
      </c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>
        <v>23</v>
      </c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>
        <v>7</v>
      </c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>
        <v>17</v>
      </c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>
        <v>6</v>
      </c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>
        <v>16</v>
      </c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>
        <v>2</v>
      </c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>
        <v>47</v>
      </c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>
        <v>3</v>
      </c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>
        <v>38</v>
      </c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>
        <v>1</v>
      </c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>
        <v>35</v>
      </c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>
        <v>9</v>
      </c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>
        <v>43</v>
      </c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>
        <v>71</v>
      </c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>
        <v>8</v>
      </c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>
        <v>4</v>
      </c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>
        <v>20</v>
      </c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>
        <v>41</v>
      </c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>
        <v>10</v>
      </c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>
        <v>24</v>
      </c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>
        <v>51</v>
      </c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>
        <v>21</v>
      </c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>
        <v>88</v>
      </c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>
        <v>97</v>
      </c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>
        <v>42</v>
      </c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>
        <v>66</v>
      </c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>
        <v>48</v>
      </c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>
        <v>45</v>
      </c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>
        <v>5</v>
      </c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>
        <v>19</v>
      </c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>
        <v>11</v>
      </c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>
        <v>23</v>
      </c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>
        <v>16</v>
      </c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>
        <v>24</v>
      </c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>
        <v>9</v>
      </c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>
        <v>54</v>
      </c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>
        <v>17</v>
      </c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>
        <v>60</v>
      </c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>
        <v>2</v>
      </c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>
        <v>77</v>
      </c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>
        <v>35</v>
      </c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>
        <v>67</v>
      </c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>
        <v>3</v>
      </c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>
        <v>34</v>
      </c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>
        <v>48</v>
      </c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>
        <v>7</v>
      </c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>
        <v>20</v>
      </c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>
        <v>47</v>
      </c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>
        <v>42</v>
      </c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>
        <v>43</v>
      </c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>
        <v>12</v>
      </c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>
        <v>41</v>
      </c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>
        <v>1</v>
      </c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>
        <v>21</v>
      </c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>
        <v>4</v>
      </c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>
        <v>88</v>
      </c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>
        <v>22</v>
      </c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>
        <v>16</v>
      </c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>
        <v>38</v>
      </c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>
        <v>10</v>
      </c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>
        <v>71</v>
      </c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>
        <v>8</v>
      </c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>
        <v>97</v>
      </c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>
        <v>51</v>
      </c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/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/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/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/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/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/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/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/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/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/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/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/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/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/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/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/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/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/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/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/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/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/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/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/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/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/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/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/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/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/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/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/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/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/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/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/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/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/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/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/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/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/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/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/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/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/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/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/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/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/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/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/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/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/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/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/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/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/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/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/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/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/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/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/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/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/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/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/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/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/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/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/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/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/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/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/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/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/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/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/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/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/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/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/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/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/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/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/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/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/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/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/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/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/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/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/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/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/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/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/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/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/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/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/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/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/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/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/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/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/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/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/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/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/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/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/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/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/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/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/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/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/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/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/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/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/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/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/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/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/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/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/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/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/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/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/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/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/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/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/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/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/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/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/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/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/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/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/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/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/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/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/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/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/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/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/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/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/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/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/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/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/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/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/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/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/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/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/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/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/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/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/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/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/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/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/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/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/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/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/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/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/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/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/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/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/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/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/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/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/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/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/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/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5</v>
      </c>
      <c r="F182">
        <f>IF(E182="","",SUMIFS(RaceResults!$C:$C,RaceResults!$A:$A,A182,RaceResults!$D:$D,E182))</f>
        <v>9</v>
      </c>
      <c r="G182">
        <f>IF(E182="","",SUMIFS(RaceResults!$E:$E,RaceResults!$A:$A,A182,RaceResults!$D:$D,E182))</f>
        <v>28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11</v>
      </c>
      <c r="F183">
        <f>IF(E183="","",SUMIFS(RaceResults!$C:$C,RaceResults!$A:$A,A183,RaceResults!$D:$D,E183))</f>
        <v>2</v>
      </c>
      <c r="G183">
        <f>IF(E183="","",SUMIFS(RaceResults!$E:$E,RaceResults!$A:$A,A183,RaceResults!$D:$D,E183))</f>
        <v>35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77</v>
      </c>
      <c r="F184">
        <f>IF(E184="","",SUMIFS(RaceResults!$C:$C,RaceResults!$A:$A,A184,RaceResults!$D:$D,E184))</f>
        <v>17</v>
      </c>
      <c r="G184">
        <f>IF(E184="","",SUMIFS(RaceResults!$E:$E,RaceResults!$A:$A,A184,RaceResults!$D:$D,E184))</f>
        <v>20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11</v>
      </c>
      <c r="F185">
        <f>IF(E185="","",SUMIFS(RaceResults!$C:$C,RaceResults!$A:$A,A185,RaceResults!$D:$D,E185))</f>
        <v>2</v>
      </c>
      <c r="G185">
        <f>IF(E185="","",SUMIFS(RaceResults!$E:$E,RaceResults!$A:$A,A185,RaceResults!$D:$D,E185))</f>
        <v>35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24</v>
      </c>
      <c r="F186">
        <f>IF(E186="","",SUMIFS(RaceResults!$C:$C,RaceResults!$A:$A,A186,RaceResults!$D:$D,E186))</f>
        <v>5</v>
      </c>
      <c r="G186">
        <f>IF(E186="","",SUMIFS(RaceResults!$E:$E,RaceResults!$A:$A,A186,RaceResults!$D:$D,E186))</f>
        <v>32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97</v>
      </c>
      <c r="F187">
        <f>IF(E187="","",SUMIFS(RaceResults!$C:$C,RaceResults!$A:$A,A187,RaceResults!$D:$D,E187))</f>
        <v>11</v>
      </c>
      <c r="G187">
        <f>IF(E187="","",SUMIFS(RaceResults!$E:$E,RaceResults!$A:$A,A187,RaceResults!$D:$D,E187))</f>
        <v>26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11</v>
      </c>
      <c r="F188">
        <f>IF(E188="","",SUMIFS(RaceResults!$C:$C,RaceResults!$A:$A,A188,RaceResults!$D:$D,E188))</f>
        <v>2</v>
      </c>
      <c r="G188">
        <f>IF(E188="","",SUMIFS(RaceResults!$E:$E,RaceResults!$A:$A,A188,RaceResults!$D:$D,E188))</f>
        <v>35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24</v>
      </c>
      <c r="F189">
        <f>IF(E189="","",SUMIFS(RaceResults!$C:$C,RaceResults!$A:$A,A189,RaceResults!$D:$D,E189))</f>
        <v>5</v>
      </c>
      <c r="G189">
        <f>IF(E189="","",SUMIFS(RaceResults!$E:$E,RaceResults!$A:$A,A189,RaceResults!$D:$D,E189))</f>
        <v>32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9</v>
      </c>
      <c r="F190">
        <f>IF(E190="","",SUMIFS(RaceResults!$C:$C,RaceResults!$A:$A,A190,RaceResults!$D:$D,E190))</f>
        <v>1</v>
      </c>
      <c r="G190">
        <f>IF(E190="","",SUMIFS(RaceResults!$E:$E,RaceResults!$A:$A,A190,RaceResults!$D:$D,E190))</f>
        <v>55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11</v>
      </c>
      <c r="F191">
        <f>IF(E191="","",SUMIFS(RaceResults!$C:$C,RaceResults!$A:$A,A191,RaceResults!$D:$D,E191))</f>
        <v>2</v>
      </c>
      <c r="G191">
        <f>IF(E191="","",SUMIFS(RaceResults!$E:$E,RaceResults!$A:$A,A191,RaceResults!$D:$D,E191))</f>
        <v>35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12</v>
      </c>
      <c r="F192">
        <f>IF(E192="","",SUMIFS(RaceResults!$C:$C,RaceResults!$A:$A,A192,RaceResults!$D:$D,E192))</f>
        <v>6</v>
      </c>
      <c r="G192">
        <f>IF(E192="","",SUMIFS(RaceResults!$E:$E,RaceResults!$A:$A,A192,RaceResults!$D:$D,E192))</f>
        <v>31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97</v>
      </c>
      <c r="F193">
        <f>IF(E193="","",SUMIFS(RaceResults!$C:$C,RaceResults!$A:$A,A193,RaceResults!$D:$D,E193))</f>
        <v>11</v>
      </c>
      <c r="G193">
        <f>IF(E193="","",SUMIFS(RaceResults!$E:$E,RaceResults!$A:$A,A193,RaceResults!$D:$D,E193))</f>
        <v>26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11</v>
      </c>
      <c r="F194">
        <f>IF(E194="","",SUMIFS(RaceResults!$C:$C,RaceResults!$A:$A,A194,RaceResults!$D:$D,E194))</f>
        <v>2</v>
      </c>
      <c r="G194">
        <f>IF(E194="","",SUMIFS(RaceResults!$E:$E,RaceResults!$A:$A,A194,RaceResults!$D:$D,E194))</f>
        <v>35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45</v>
      </c>
      <c r="F195">
        <f>IF(E195="","",SUMIFS(RaceResults!$C:$C,RaceResults!$A:$A,A195,RaceResults!$D:$D,E195))</f>
        <v>15</v>
      </c>
      <c r="G195">
        <f>IF(E195="","",SUMIFS(RaceResults!$E:$E,RaceResults!$A:$A,A195,RaceResults!$D:$D,E195))</f>
        <v>22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9</v>
      </c>
      <c r="F196">
        <f>IF(E196="","",SUMIFS(RaceResults!$C:$C,RaceResults!$A:$A,A196,RaceResults!$D:$D,E196))</f>
        <v>1</v>
      </c>
      <c r="G196">
        <f>IF(E196="","",SUMIFS(RaceResults!$E:$E,RaceResults!$A:$A,A196,RaceResults!$D:$D,E196))</f>
        <v>55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11</v>
      </c>
      <c r="F197">
        <f>IF(E197="","",SUMIFS(RaceResults!$C:$C,RaceResults!$A:$A,A197,RaceResults!$D:$D,E197))</f>
        <v>2</v>
      </c>
      <c r="G197">
        <f>IF(E197="","",SUMIFS(RaceResults!$E:$E,RaceResults!$A:$A,A197,RaceResults!$D:$D,E197))</f>
        <v>35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12</v>
      </c>
      <c r="F198">
        <f>IF(E198="","",SUMIFS(RaceResults!$C:$C,RaceResults!$A:$A,A198,RaceResults!$D:$D,E198))</f>
        <v>6</v>
      </c>
      <c r="G198">
        <f>IF(E198="","",SUMIFS(RaceResults!$E:$E,RaceResults!$A:$A,A198,RaceResults!$D:$D,E198))</f>
        <v>31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20</v>
      </c>
      <c r="F199">
        <f>IF(E199="","",SUMIFS(RaceResults!$C:$C,RaceResults!$A:$A,A199,RaceResults!$D:$D,E199))</f>
        <v>7</v>
      </c>
      <c r="G199">
        <f>IF(E199="","",SUMIFS(RaceResults!$E:$E,RaceResults!$A:$A,A199,RaceResults!$D:$D,E199))</f>
        <v>30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24</v>
      </c>
      <c r="F200">
        <f>IF(E200="","",SUMIFS(RaceResults!$C:$C,RaceResults!$A:$A,A200,RaceResults!$D:$D,E200))</f>
        <v>5</v>
      </c>
      <c r="G200">
        <f>IF(E200="","",SUMIFS(RaceResults!$E:$E,RaceResults!$A:$A,A200,RaceResults!$D:$D,E200))</f>
        <v>32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9</v>
      </c>
      <c r="F201">
        <f>IF(E201="","",SUMIFS(RaceResults!$C:$C,RaceResults!$A:$A,A201,RaceResults!$D:$D,E201))</f>
        <v>1</v>
      </c>
      <c r="G201">
        <f>IF(E201="","",SUMIFS(RaceResults!$E:$E,RaceResults!$A:$A,A201,RaceResults!$D:$D,E201))</f>
        <v>55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5</v>
      </c>
      <c r="F202">
        <f>IF(E202="","",SUMIFS(RaceResults!$C:$C,RaceResults!$A:$A,A202,RaceResults!$D:$D,E202))</f>
        <v>9</v>
      </c>
      <c r="G202">
        <f>IF(E202="","",SUMIFS(RaceResults!$E:$E,RaceResults!$A:$A,A202,RaceResults!$D:$D,E202))</f>
        <v>28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24</v>
      </c>
      <c r="F206">
        <f>IF(E206="","",SUMIFS(RaceResults!$C:$C,RaceResults!$A:$A,A206,RaceResults!$D:$D,E206))</f>
        <v>5</v>
      </c>
      <c r="G206">
        <f>IF(E206="","",SUMIFS(RaceResults!$E:$E,RaceResults!$A:$A,A206,RaceResults!$D:$D,E206))</f>
        <v>32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12</v>
      </c>
      <c r="F207">
        <f>IF(E207="","",SUMIFS(RaceResults!$C:$C,RaceResults!$A:$A,A207,RaceResults!$D:$D,E207))</f>
        <v>6</v>
      </c>
      <c r="G207">
        <f>IF(E207="","",SUMIFS(RaceResults!$E:$E,RaceResults!$A:$A,A207,RaceResults!$D:$D,E207))</f>
        <v>31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11</v>
      </c>
      <c r="F208">
        <f>IF(E208="","",SUMIFS(RaceResults!$C:$C,RaceResults!$A:$A,A208,RaceResults!$D:$D,E208))</f>
        <v>2</v>
      </c>
      <c r="G208">
        <f>IF(E208="","",SUMIFS(RaceResults!$E:$E,RaceResults!$A:$A,A208,RaceResults!$D:$D,E208))</f>
        <v>35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11</v>
      </c>
      <c r="F209">
        <f>IF(E209="","",SUMIFS(RaceResults!$C:$C,RaceResults!$A:$A,A209,RaceResults!$D:$D,E209))</f>
        <v>2</v>
      </c>
      <c r="G209">
        <f>IF(E209="","",SUMIFS(RaceResults!$E:$E,RaceResults!$A:$A,A209,RaceResults!$D:$D,E209))</f>
        <v>35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23</v>
      </c>
      <c r="F210">
        <f>IF(E210="","",SUMIFS(RaceResults!$C:$C,RaceResults!$A:$A,A210,RaceResults!$D:$D,E210))</f>
        <v>36</v>
      </c>
      <c r="G210">
        <f>IF(E210="","",SUMIFS(RaceResults!$E:$E,RaceResults!$A:$A,A210,RaceResults!$D:$D,E210))</f>
        <v>1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24</v>
      </c>
      <c r="F211">
        <f>IF(E211="","",SUMIFS(RaceResults!$C:$C,RaceResults!$A:$A,A211,RaceResults!$D:$D,E211))</f>
        <v>5</v>
      </c>
      <c r="G211">
        <f>IF(E211="","",SUMIFS(RaceResults!$E:$E,RaceResults!$A:$A,A211,RaceResults!$D:$D,E211))</f>
        <v>32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5</v>
      </c>
      <c r="F212">
        <f>IF(E212="","",SUMIFS(RaceResults!$C:$C,RaceResults!$A:$A,A212,RaceResults!$D:$D,E212))</f>
        <v>3</v>
      </c>
      <c r="G212">
        <f>IF(E212="","",SUMIFS(RaceResults!$E:$E,RaceResults!$A:$A,A212,RaceResults!$D:$D,E212))</f>
        <v>34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12</v>
      </c>
      <c r="F213">
        <f>IF(E213="","",SUMIFS(RaceResults!$C:$C,RaceResults!$A:$A,A213,RaceResults!$D:$D,E213))</f>
        <v>2</v>
      </c>
      <c r="G213">
        <f>IF(E213="","",SUMIFS(RaceResults!$E:$E,RaceResults!$A:$A,A213,RaceResults!$D:$D,E213))</f>
        <v>35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45</v>
      </c>
      <c r="F214">
        <f>IF(E214="","",SUMIFS(RaceResults!$C:$C,RaceResults!$A:$A,A214,RaceResults!$D:$D,E214))</f>
        <v>4</v>
      </c>
      <c r="G214">
        <f>IF(E214="","",SUMIFS(RaceResults!$E:$E,RaceResults!$A:$A,A214,RaceResults!$D:$D,E214))</f>
        <v>33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5</v>
      </c>
      <c r="F215">
        <f>IF(E215="","",SUMIFS(RaceResults!$C:$C,RaceResults!$A:$A,A215,RaceResults!$D:$D,E215))</f>
        <v>3</v>
      </c>
      <c r="G215">
        <f>IF(E215="","",SUMIFS(RaceResults!$E:$E,RaceResults!$A:$A,A215,RaceResults!$D:$D,E215))</f>
        <v>34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45</v>
      </c>
      <c r="F216">
        <f>IF(E216="","",SUMIFS(RaceResults!$C:$C,RaceResults!$A:$A,A216,RaceResults!$D:$D,E216))</f>
        <v>4</v>
      </c>
      <c r="G216">
        <f>IF(E216="","",SUMIFS(RaceResults!$E:$E,RaceResults!$A:$A,A216,RaceResults!$D:$D,E216))</f>
        <v>33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11</v>
      </c>
      <c r="F217">
        <f>IF(E217="","",SUMIFS(RaceResults!$C:$C,RaceResults!$A:$A,A217,RaceResults!$D:$D,E217))</f>
        <v>9</v>
      </c>
      <c r="G217">
        <f>IF(E217="","",SUMIFS(RaceResults!$E:$E,RaceResults!$A:$A,A217,RaceResults!$D:$D,E217))</f>
        <v>28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12</v>
      </c>
      <c r="F218">
        <f>IF(E218="","",SUMIFS(RaceResults!$C:$C,RaceResults!$A:$A,A218,RaceResults!$D:$D,E218))</f>
        <v>2</v>
      </c>
      <c r="G218">
        <f>IF(E218="","",SUMIFS(RaceResults!$E:$E,RaceResults!$A:$A,A218,RaceResults!$D:$D,E218))</f>
        <v>35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54</v>
      </c>
      <c r="F219">
        <f>IF(E219="","",SUMIFS(RaceResults!$C:$C,RaceResults!$A:$A,A219,RaceResults!$D:$D,E219))</f>
        <v>1</v>
      </c>
      <c r="G219">
        <f>IF(E219="","",SUMIFS(RaceResults!$E:$E,RaceResults!$A:$A,A219,RaceResults!$D:$D,E219))</f>
        <v>55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17</v>
      </c>
      <c r="F220">
        <f>IF(E220="","",SUMIFS(RaceResults!$C:$C,RaceResults!$A:$A,A220,RaceResults!$D:$D,E220))</f>
        <v>13</v>
      </c>
      <c r="G220">
        <f>IF(E220="","",SUMIFS(RaceResults!$E:$E,RaceResults!$A:$A,A220,RaceResults!$D:$D,E220))</f>
        <v>24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12</v>
      </c>
      <c r="F221">
        <f>IF(E221="","",SUMIFS(RaceResults!$C:$C,RaceResults!$A:$A,A221,RaceResults!$D:$D,E221))</f>
        <v>2</v>
      </c>
      <c r="G221">
        <f>IF(E221="","",SUMIFS(RaceResults!$E:$E,RaceResults!$A:$A,A221,RaceResults!$D:$D,E221))</f>
        <v>35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54</v>
      </c>
      <c r="F222">
        <f>IF(E222="","",SUMIFS(RaceResults!$C:$C,RaceResults!$A:$A,A222,RaceResults!$D:$D,E222))</f>
        <v>1</v>
      </c>
      <c r="G222">
        <f>IF(E222="","",SUMIFS(RaceResults!$E:$E,RaceResults!$A:$A,A222,RaceResults!$D:$D,E222))</f>
        <v>55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11</v>
      </c>
      <c r="F223">
        <f>IF(E223="","",SUMIFS(RaceResults!$C:$C,RaceResults!$A:$A,A223,RaceResults!$D:$D,E223))</f>
        <v>9</v>
      </c>
      <c r="G223">
        <f>IF(E223="","",SUMIFS(RaceResults!$E:$E,RaceResults!$A:$A,A223,RaceResults!$D:$D,E223))</f>
        <v>28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5</v>
      </c>
      <c r="F224">
        <f>IF(E224="","",SUMIFS(RaceResults!$C:$C,RaceResults!$A:$A,A224,RaceResults!$D:$D,E224))</f>
        <v>3</v>
      </c>
      <c r="G224">
        <f>IF(E224="","",SUMIFS(RaceResults!$E:$E,RaceResults!$A:$A,A224,RaceResults!$D:$D,E224))</f>
        <v>34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22</v>
      </c>
      <c r="F225">
        <f>IF(E225="","",SUMIFS(RaceResults!$C:$C,RaceResults!$A:$A,A225,RaceResults!$D:$D,E225))</f>
        <v>7</v>
      </c>
      <c r="G225">
        <f>IF(E225="","",SUMIFS(RaceResults!$E:$E,RaceResults!$A:$A,A225,RaceResults!$D:$D,E225))</f>
        <v>30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20</v>
      </c>
      <c r="F226">
        <f>IF(E226="","",SUMIFS(RaceResults!$C:$C,RaceResults!$A:$A,A226,RaceResults!$D:$D,E226))</f>
        <v>27</v>
      </c>
      <c r="G226">
        <f>IF(E226="","",SUMIFS(RaceResults!$E:$E,RaceResults!$A:$A,A226,RaceResults!$D:$D,E226))</f>
        <v>10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12</v>
      </c>
      <c r="F227">
        <f>IF(E227="","",SUMIFS(RaceResults!$C:$C,RaceResults!$A:$A,A227,RaceResults!$D:$D,E227))</f>
        <v>2</v>
      </c>
      <c r="G227">
        <f>IF(E227="","",SUMIFS(RaceResults!$E:$E,RaceResults!$A:$A,A227,RaceResults!$D:$D,E227))</f>
        <v>35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45</v>
      </c>
      <c r="F228">
        <f>IF(E228="","",SUMIFS(RaceResults!$C:$C,RaceResults!$A:$A,A228,RaceResults!$D:$D,E228))</f>
        <v>4</v>
      </c>
      <c r="G228">
        <f>IF(E228="","",SUMIFS(RaceResults!$E:$E,RaceResults!$A:$A,A228,RaceResults!$D:$D,E228))</f>
        <v>33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20</v>
      </c>
      <c r="F229">
        <f>IF(E229="","",SUMIFS(RaceResults!$C:$C,RaceResults!$A:$A,A229,RaceResults!$D:$D,E229))</f>
        <v>27</v>
      </c>
      <c r="G229">
        <f>IF(E229="","",SUMIFS(RaceResults!$E:$E,RaceResults!$A:$A,A229,RaceResults!$D:$D,E229))</f>
        <v>10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5</v>
      </c>
      <c r="F236">
        <f>IF(E236="","",SUMIFS(RaceResults!$C:$C,RaceResults!$A:$A,A236,RaceResults!$D:$D,E236))</f>
        <v>3</v>
      </c>
      <c r="G236">
        <f>IF(E236="","",SUMIFS(RaceResults!$E:$E,RaceResults!$A:$A,A236,RaceResults!$D:$D,E236))</f>
        <v>34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12</v>
      </c>
      <c r="F237">
        <f>IF(E237="","",SUMIFS(RaceResults!$C:$C,RaceResults!$A:$A,A237,RaceResults!$D:$D,E237))</f>
        <v>2</v>
      </c>
      <c r="G237">
        <f>IF(E237="","",SUMIFS(RaceResults!$E:$E,RaceResults!$A:$A,A237,RaceResults!$D:$D,E237))</f>
        <v>35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11</v>
      </c>
      <c r="F238">
        <f>IF(E238="","",SUMIFS(RaceResults!$C:$C,RaceResults!$A:$A,A238,RaceResults!$D:$D,E238))</f>
        <v>9</v>
      </c>
      <c r="G238">
        <f>IF(E238="","",SUMIFS(RaceResults!$E:$E,RaceResults!$A:$A,A238,RaceResults!$D:$D,E238))</f>
        <v>28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12</v>
      </c>
      <c r="F239">
        <f>IF(E239="","",SUMIFS(RaceResults!$C:$C,RaceResults!$A:$A,A239,RaceResults!$D:$D,E239))</f>
        <v>2</v>
      </c>
      <c r="G239">
        <f>IF(E239="","",SUMIFS(RaceResults!$E:$E,RaceResults!$A:$A,A239,RaceResults!$D:$D,E239))</f>
        <v>35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54</v>
      </c>
      <c r="F240">
        <f>IF(E240="","",SUMIFS(RaceResults!$C:$C,RaceResults!$A:$A,A240,RaceResults!$D:$D,E240))</f>
        <v>1</v>
      </c>
      <c r="G240">
        <f>IF(E240="","",SUMIFS(RaceResults!$E:$E,RaceResults!$A:$A,A240,RaceResults!$D:$D,E240))</f>
        <v>55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45</v>
      </c>
      <c r="F241">
        <f>IF(E241="","",SUMIFS(RaceResults!$C:$C,RaceResults!$A:$A,A241,RaceResults!$D:$D,E241))</f>
        <v>4</v>
      </c>
      <c r="G241">
        <f>IF(E241="","",SUMIFS(RaceResults!$E:$E,RaceResults!$A:$A,A241,RaceResults!$D:$D,E241))</f>
        <v>33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5</v>
      </c>
      <c r="F242">
        <f>IF(E242="","",SUMIFS(RaceResults!$C:$C,RaceResults!$A:$A,A242,RaceResults!$D:$D,E242))</f>
        <v>2</v>
      </c>
      <c r="G242">
        <f>IF(E242="","",SUMIFS(RaceResults!$E:$E,RaceResults!$A:$A,A242,RaceResults!$D:$D,E242))</f>
        <v>35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11</v>
      </c>
      <c r="F243">
        <f>IF(E243="","",SUMIFS(RaceResults!$C:$C,RaceResults!$A:$A,A243,RaceResults!$D:$D,E243))</f>
        <v>4</v>
      </c>
      <c r="G243">
        <f>IF(E243="","",SUMIFS(RaceResults!$E:$E,RaceResults!$A:$A,A243,RaceResults!$D:$D,E243))</f>
        <v>33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45</v>
      </c>
      <c r="F244">
        <f>IF(E244="","",SUMIFS(RaceResults!$C:$C,RaceResults!$A:$A,A244,RaceResults!$D:$D,E244))</f>
        <v>1</v>
      </c>
      <c r="G244">
        <f>IF(E244="","",SUMIFS(RaceResults!$E:$E,RaceResults!$A:$A,A244,RaceResults!$D:$D,E244))</f>
        <v>55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45</v>
      </c>
      <c r="F245">
        <f>IF(E245="","",SUMIFS(RaceResults!$C:$C,RaceResults!$A:$A,A245,RaceResults!$D:$D,E245))</f>
        <v>1</v>
      </c>
      <c r="G245">
        <f>IF(E245="","",SUMIFS(RaceResults!$E:$E,RaceResults!$A:$A,A245,RaceResults!$D:$D,E245))</f>
        <v>55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11</v>
      </c>
      <c r="F246">
        <f>IF(E246="","",SUMIFS(RaceResults!$C:$C,RaceResults!$A:$A,A246,RaceResults!$D:$D,E246))</f>
        <v>4</v>
      </c>
      <c r="G246">
        <f>IF(E246="","",SUMIFS(RaceResults!$E:$E,RaceResults!$A:$A,A246,RaceResults!$D:$D,E246))</f>
        <v>33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5</v>
      </c>
      <c r="F247">
        <f>IF(E247="","",SUMIFS(RaceResults!$C:$C,RaceResults!$A:$A,A247,RaceResults!$D:$D,E247))</f>
        <v>2</v>
      </c>
      <c r="G247">
        <f>IF(E247="","",SUMIFS(RaceResults!$E:$E,RaceResults!$A:$A,A247,RaceResults!$D:$D,E247))</f>
        <v>35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12</v>
      </c>
      <c r="F248">
        <f>IF(E248="","",SUMIFS(RaceResults!$C:$C,RaceResults!$A:$A,A248,RaceResults!$D:$D,E248))</f>
        <v>24</v>
      </c>
      <c r="G248">
        <f>IF(E248="","",SUMIFS(RaceResults!$E:$E,RaceResults!$A:$A,A248,RaceResults!$D:$D,E248))</f>
        <v>13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54</v>
      </c>
      <c r="F249">
        <f>IF(E249="","",SUMIFS(RaceResults!$C:$C,RaceResults!$A:$A,A249,RaceResults!$D:$D,E249))</f>
        <v>9</v>
      </c>
      <c r="G249">
        <f>IF(E249="","",SUMIFS(RaceResults!$E:$E,RaceResults!$A:$A,A249,RaceResults!$D:$D,E249))</f>
        <v>28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5</v>
      </c>
      <c r="F250">
        <f>IF(E250="","",SUMIFS(RaceResults!$C:$C,RaceResults!$A:$A,A250,RaceResults!$D:$D,E250))</f>
        <v>2</v>
      </c>
      <c r="G250">
        <f>IF(E250="","",SUMIFS(RaceResults!$E:$E,RaceResults!$A:$A,A250,RaceResults!$D:$D,E250))</f>
        <v>35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12</v>
      </c>
      <c r="F251">
        <f>IF(E251="","",SUMIFS(RaceResults!$C:$C,RaceResults!$A:$A,A251,RaceResults!$D:$D,E251))</f>
        <v>24</v>
      </c>
      <c r="G251">
        <f>IF(E251="","",SUMIFS(RaceResults!$E:$E,RaceResults!$A:$A,A251,RaceResults!$D:$D,E251))</f>
        <v>13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5</v>
      </c>
      <c r="F252">
        <f>IF(E252="","",SUMIFS(RaceResults!$C:$C,RaceResults!$A:$A,A252,RaceResults!$D:$D,E252))</f>
        <v>2</v>
      </c>
      <c r="G252">
        <f>IF(E252="","",SUMIFS(RaceResults!$E:$E,RaceResults!$A:$A,A252,RaceResults!$D:$D,E252))</f>
        <v>35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54</v>
      </c>
      <c r="F253">
        <f>IF(E253="","",SUMIFS(RaceResults!$C:$C,RaceResults!$A:$A,A253,RaceResults!$D:$D,E253))</f>
        <v>9</v>
      </c>
      <c r="G253">
        <f>IF(E253="","",SUMIFS(RaceResults!$E:$E,RaceResults!$A:$A,A253,RaceResults!$D:$D,E253))</f>
        <v>28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5</v>
      </c>
      <c r="F254">
        <f>IF(E254="","",SUMIFS(RaceResults!$C:$C,RaceResults!$A:$A,A254,RaceResults!$D:$D,E254))</f>
        <v>2</v>
      </c>
      <c r="G254">
        <f>IF(E254="","",SUMIFS(RaceResults!$E:$E,RaceResults!$A:$A,A254,RaceResults!$D:$D,E254))</f>
        <v>35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11</v>
      </c>
      <c r="F255">
        <f>IF(E255="","",SUMIFS(RaceResults!$C:$C,RaceResults!$A:$A,A255,RaceResults!$D:$D,E255))</f>
        <v>4</v>
      </c>
      <c r="G255">
        <f>IF(E255="","",SUMIFS(RaceResults!$E:$E,RaceResults!$A:$A,A255,RaceResults!$D:$D,E255))</f>
        <v>33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20</v>
      </c>
      <c r="F256">
        <f>IF(E256="","",SUMIFS(RaceResults!$C:$C,RaceResults!$A:$A,A256,RaceResults!$D:$D,E256))</f>
        <v>20</v>
      </c>
      <c r="G256">
        <f>IF(E256="","",SUMIFS(RaceResults!$E:$E,RaceResults!$A:$A,A256,RaceResults!$D:$D,E256))</f>
        <v>17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12</v>
      </c>
      <c r="F257">
        <f>IF(E257="","",SUMIFS(RaceResults!$C:$C,RaceResults!$A:$A,A257,RaceResults!$D:$D,E257))</f>
        <v>24</v>
      </c>
      <c r="G257">
        <f>IF(E257="","",SUMIFS(RaceResults!$E:$E,RaceResults!$A:$A,A257,RaceResults!$D:$D,E257))</f>
        <v>13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5</v>
      </c>
      <c r="F258">
        <f>IF(E258="","",SUMIFS(RaceResults!$C:$C,RaceResults!$A:$A,A258,RaceResults!$D:$D,E258))</f>
        <v>2</v>
      </c>
      <c r="G258">
        <f>IF(E258="","",SUMIFS(RaceResults!$E:$E,RaceResults!$A:$A,A258,RaceResults!$D:$D,E258))</f>
        <v>35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54</v>
      </c>
      <c r="F259">
        <f>IF(E259="","",SUMIFS(RaceResults!$C:$C,RaceResults!$A:$A,A259,RaceResults!$D:$D,E259))</f>
        <v>9</v>
      </c>
      <c r="G259">
        <f>IF(E259="","",SUMIFS(RaceResults!$E:$E,RaceResults!$A:$A,A259,RaceResults!$D:$D,E259))</f>
        <v>28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5</v>
      </c>
      <c r="F260">
        <f>IF(E260="","",SUMIFS(RaceResults!$C:$C,RaceResults!$A:$A,A260,RaceResults!$D:$D,E260))</f>
        <v>2</v>
      </c>
      <c r="G260">
        <f>IF(E260="","",SUMIFS(RaceResults!$E:$E,RaceResults!$A:$A,A260,RaceResults!$D:$D,E260))</f>
        <v>35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9</v>
      </c>
      <c r="F261">
        <f>IF(E261="","",SUMIFS(RaceResults!$C:$C,RaceResults!$A:$A,A261,RaceResults!$D:$D,E261))</f>
        <v>8</v>
      </c>
      <c r="G261">
        <f>IF(E261="","",SUMIFS(RaceResults!$E:$E,RaceResults!$A:$A,A261,RaceResults!$D:$D,E261))</f>
        <v>29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24</v>
      </c>
      <c r="F262">
        <f>IF(E262="","",SUMIFS(RaceResults!$C:$C,RaceResults!$A:$A,A262,RaceResults!$D:$D,E262))</f>
        <v>7</v>
      </c>
      <c r="G262">
        <f>IF(E262="","",SUMIFS(RaceResults!$E:$E,RaceResults!$A:$A,A262,RaceResults!$D:$D,E262))</f>
        <v>30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5</v>
      </c>
      <c r="F266">
        <f>IF(E266="","",SUMIFS(RaceResults!$C:$C,RaceResults!$A:$A,A266,RaceResults!$D:$D,E266))</f>
        <v>2</v>
      </c>
      <c r="G266">
        <f>IF(E266="","",SUMIFS(RaceResults!$E:$E,RaceResults!$A:$A,A266,RaceResults!$D:$D,E266))</f>
        <v>35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12</v>
      </c>
      <c r="F267">
        <f>IF(E267="","",SUMIFS(RaceResults!$C:$C,RaceResults!$A:$A,A267,RaceResults!$D:$D,E267))</f>
        <v>24</v>
      </c>
      <c r="G267">
        <f>IF(E267="","",SUMIFS(RaceResults!$E:$E,RaceResults!$A:$A,A267,RaceResults!$D:$D,E267))</f>
        <v>13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54</v>
      </c>
      <c r="F268">
        <f>IF(E268="","",SUMIFS(RaceResults!$C:$C,RaceResults!$A:$A,A268,RaceResults!$D:$D,E268))</f>
        <v>9</v>
      </c>
      <c r="G268">
        <f>IF(E268="","",SUMIFS(RaceResults!$E:$E,RaceResults!$A:$A,A268,RaceResults!$D:$D,E268))</f>
        <v>28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11</v>
      </c>
      <c r="F269">
        <f>IF(E269="","",SUMIFS(RaceResults!$C:$C,RaceResults!$A:$A,A269,RaceResults!$D:$D,E269))</f>
        <v>4</v>
      </c>
      <c r="G269">
        <f>IF(E269="","",SUMIFS(RaceResults!$E:$E,RaceResults!$A:$A,A269,RaceResults!$D:$D,E269))</f>
        <v>33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54</v>
      </c>
      <c r="F270">
        <f>IF(E270="","",SUMIFS(RaceResults!$C:$C,RaceResults!$A:$A,A270,RaceResults!$D:$D,E270))</f>
        <v>9</v>
      </c>
      <c r="G270">
        <f>IF(E270="","",SUMIFS(RaceResults!$E:$E,RaceResults!$A:$A,A270,RaceResults!$D:$D,E270))</f>
        <v>28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12</v>
      </c>
      <c r="F271">
        <f>IF(E271="","",SUMIFS(RaceResults!$C:$C,RaceResults!$A:$A,A271,RaceResults!$D:$D,E271))</f>
        <v>24</v>
      </c>
      <c r="G271">
        <f>IF(E271="","",SUMIFS(RaceResults!$E:$E,RaceResults!$A:$A,A271,RaceResults!$D:$D,E271))</f>
        <v>13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5</v>
      </c>
      <c r="F272">
        <f>IF(E272="","",SUMIFS(RaceResults!$C:$C,RaceResults!$A:$A,A272,RaceResults!$D:$D,E272))</f>
        <v>0</v>
      </c>
      <c r="G272">
        <f>IF(E272="","",SUMIFS(RaceResults!$E:$E,RaceResults!$A:$A,A272,RaceResults!$D:$D,E272))</f>
        <v>0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12</v>
      </c>
      <c r="F273">
        <f>IF(E273="","",SUMIFS(RaceResults!$C:$C,RaceResults!$A:$A,A273,RaceResults!$D:$D,E273))</f>
        <v>0</v>
      </c>
      <c r="G273">
        <f>IF(E273="","",SUMIFS(RaceResults!$E:$E,RaceResults!$A:$A,A273,RaceResults!$D:$D,E273))</f>
        <v>0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45</v>
      </c>
      <c r="F274">
        <f>IF(E274="","",SUMIFS(RaceResults!$C:$C,RaceResults!$A:$A,A274,RaceResults!$D:$D,E274))</f>
        <v>0</v>
      </c>
      <c r="G274">
        <f>IF(E274="","",SUMIFS(RaceResults!$E:$E,RaceResults!$A:$A,A274,RaceResults!$D:$D,E274))</f>
        <v>0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45</v>
      </c>
      <c r="F275">
        <f>IF(E275="","",SUMIFS(RaceResults!$C:$C,RaceResults!$A:$A,A275,RaceResults!$D:$D,E275))</f>
        <v>0</v>
      </c>
      <c r="G275">
        <f>IF(E275="","",SUMIFS(RaceResults!$E:$E,RaceResults!$A:$A,A275,RaceResults!$D:$D,E275))</f>
        <v>0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11</v>
      </c>
      <c r="F276">
        <f>IF(E276="","",SUMIFS(RaceResults!$C:$C,RaceResults!$A:$A,A276,RaceResults!$D:$D,E276))</f>
        <v>0</v>
      </c>
      <c r="G276">
        <f>IF(E276="","",SUMIFS(RaceResults!$E:$E,RaceResults!$A:$A,A276,RaceResults!$D:$D,E276))</f>
        <v>0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12</v>
      </c>
      <c r="F277">
        <f>IF(E277="","",SUMIFS(RaceResults!$C:$C,RaceResults!$A:$A,A277,RaceResults!$D:$D,E277))</f>
        <v>0</v>
      </c>
      <c r="G277">
        <f>IF(E277="","",SUMIFS(RaceResults!$E:$E,RaceResults!$A:$A,A277,RaceResults!$D:$D,E277))</f>
        <v>0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5</v>
      </c>
      <c r="F278">
        <f>IF(E278="","",SUMIFS(RaceResults!$C:$C,RaceResults!$A:$A,A278,RaceResults!$D:$D,E278))</f>
        <v>0</v>
      </c>
      <c r="G278">
        <f>IF(E278="","",SUMIFS(RaceResults!$E:$E,RaceResults!$A:$A,A278,RaceResults!$D:$D,E278))</f>
        <v>0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23</v>
      </c>
      <c r="F279">
        <f>IF(E279="","",SUMIFS(RaceResults!$C:$C,RaceResults!$A:$A,A279,RaceResults!$D:$D,E279))</f>
        <v>0</v>
      </c>
      <c r="G279">
        <f>IF(E279="","",SUMIFS(RaceResults!$E:$E,RaceResults!$A:$A,A279,RaceResults!$D:$D,E279))</f>
        <v>0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24</v>
      </c>
      <c r="F280">
        <f>IF(E280="","",SUMIFS(RaceResults!$C:$C,RaceResults!$A:$A,A280,RaceResults!$D:$D,E280))</f>
        <v>0</v>
      </c>
      <c r="G280">
        <f>IF(E280="","",SUMIFS(RaceResults!$E:$E,RaceResults!$A:$A,A280,RaceResults!$D:$D,E280))</f>
        <v>0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5</v>
      </c>
      <c r="F281">
        <f>IF(E281="","",SUMIFS(RaceResults!$C:$C,RaceResults!$A:$A,A281,RaceResults!$D:$D,E281))</f>
        <v>0</v>
      </c>
      <c r="G281">
        <f>IF(E281="","",SUMIFS(RaceResults!$E:$E,RaceResults!$A:$A,A281,RaceResults!$D:$D,E281))</f>
        <v>0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45</v>
      </c>
      <c r="F282">
        <f>IF(E282="","",SUMIFS(RaceResults!$C:$C,RaceResults!$A:$A,A282,RaceResults!$D:$D,E282))</f>
        <v>0</v>
      </c>
      <c r="G282">
        <f>IF(E282="","",SUMIFS(RaceResults!$E:$E,RaceResults!$A:$A,A282,RaceResults!$D:$D,E282))</f>
        <v>0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12</v>
      </c>
      <c r="F283">
        <f>IF(E283="","",SUMIFS(RaceResults!$C:$C,RaceResults!$A:$A,A283,RaceResults!$D:$D,E283))</f>
        <v>0</v>
      </c>
      <c r="G283">
        <f>IF(E283="","",SUMIFS(RaceResults!$E:$E,RaceResults!$A:$A,A283,RaceResults!$D:$D,E283))</f>
        <v>0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22</v>
      </c>
      <c r="F284">
        <f>IF(E284="","",SUMIFS(RaceResults!$C:$C,RaceResults!$A:$A,A284,RaceResults!$D:$D,E284))</f>
        <v>0</v>
      </c>
      <c r="G284">
        <f>IF(E284="","",SUMIFS(RaceResults!$E:$E,RaceResults!$A:$A,A284,RaceResults!$D:$D,E284))</f>
        <v>0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5</v>
      </c>
      <c r="F285">
        <f>IF(E285="","",SUMIFS(RaceResults!$C:$C,RaceResults!$A:$A,A285,RaceResults!$D:$D,E285))</f>
        <v>0</v>
      </c>
      <c r="G285">
        <f>IF(E285="","",SUMIFS(RaceResults!$E:$E,RaceResults!$A:$A,A285,RaceResults!$D:$D,E285))</f>
        <v>0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24</v>
      </c>
      <c r="F286">
        <f>IF(E286="","",SUMIFS(RaceResults!$C:$C,RaceResults!$A:$A,A286,RaceResults!$D:$D,E286))</f>
        <v>0</v>
      </c>
      <c r="G286">
        <f>IF(E286="","",SUMIFS(RaceResults!$E:$E,RaceResults!$A:$A,A286,RaceResults!$D:$D,E286))</f>
        <v>0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45</v>
      </c>
      <c r="F287">
        <f>IF(E287="","",SUMIFS(RaceResults!$C:$C,RaceResults!$A:$A,A287,RaceResults!$D:$D,E287))</f>
        <v>0</v>
      </c>
      <c r="G287">
        <f>IF(E287="","",SUMIFS(RaceResults!$E:$E,RaceResults!$A:$A,A287,RaceResults!$D:$D,E287))</f>
        <v>0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23</v>
      </c>
      <c r="F288">
        <f>IF(E288="","",SUMIFS(RaceResults!$C:$C,RaceResults!$A:$A,A288,RaceResults!$D:$D,E288))</f>
        <v>0</v>
      </c>
      <c r="G288">
        <f>IF(E288="","",SUMIFS(RaceResults!$E:$E,RaceResults!$A:$A,A288,RaceResults!$D:$D,E288))</f>
        <v>0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24</v>
      </c>
      <c r="F289">
        <f>IF(E289="","",SUMIFS(RaceResults!$C:$C,RaceResults!$A:$A,A289,RaceResults!$D:$D,E289))</f>
        <v>0</v>
      </c>
      <c r="G289">
        <f>IF(E289="","",SUMIFS(RaceResults!$E:$E,RaceResults!$A:$A,A289,RaceResults!$D:$D,E289))</f>
        <v>0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5</v>
      </c>
      <c r="F290">
        <f>IF(E290="","",SUMIFS(RaceResults!$C:$C,RaceResults!$A:$A,A290,RaceResults!$D:$D,E290))</f>
        <v>0</v>
      </c>
      <c r="G290">
        <f>IF(E290="","",SUMIFS(RaceResults!$E:$E,RaceResults!$A:$A,A290,RaceResults!$D:$D,E290))</f>
        <v>0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24</v>
      </c>
      <c r="F291">
        <f>IF(E291="","",SUMIFS(RaceResults!$C:$C,RaceResults!$A:$A,A291,RaceResults!$D:$D,E291))</f>
        <v>0</v>
      </c>
      <c r="G291">
        <f>IF(E291="","",SUMIFS(RaceResults!$E:$E,RaceResults!$A:$A,A291,RaceResults!$D:$D,E291))</f>
        <v>0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9</v>
      </c>
      <c r="F292">
        <f>IF(E292="","",SUMIFS(RaceResults!$C:$C,RaceResults!$A:$A,A292,RaceResults!$D:$D,E292))</f>
        <v>0</v>
      </c>
      <c r="G292">
        <f>IF(E292="","",SUMIFS(RaceResults!$E:$E,RaceResults!$A:$A,A292,RaceResults!$D:$D,E292))</f>
        <v>0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12</v>
      </c>
      <c r="F296">
        <f>IF(E296="","",SUMIFS(RaceResults!$C:$C,RaceResults!$A:$A,A296,RaceResults!$D:$D,E296))</f>
        <v>0</v>
      </c>
      <c r="G296">
        <f>IF(E296="","",SUMIFS(RaceResults!$E:$E,RaceResults!$A:$A,A296,RaceResults!$D:$D,E296))</f>
        <v>0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22</v>
      </c>
      <c r="F297">
        <f>IF(E297="","",SUMIFS(RaceResults!$C:$C,RaceResults!$A:$A,A297,RaceResults!$D:$D,E297))</f>
        <v>0</v>
      </c>
      <c r="G297">
        <f>IF(E297="","",SUMIFS(RaceResults!$E:$E,RaceResults!$A:$A,A297,RaceResults!$D:$D,E297))</f>
        <v>0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6</v>
      </c>
      <c r="F298">
        <f>IF(E298="","",SUMIFS(RaceResults!$C:$C,RaceResults!$A:$A,A298,RaceResults!$D:$D,E298))</f>
        <v>0</v>
      </c>
      <c r="G298">
        <f>IF(E298="","",SUMIFS(RaceResults!$E:$E,RaceResults!$A:$A,A298,RaceResults!$D:$D,E298))</f>
        <v>0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0</v>
      </c>
      <c r="F299">
        <f>IF(E299="","",SUMIFS(RaceResults!$C:$C,RaceResults!$A:$A,A299,RaceResults!$D:$D,E299))</f>
        <v>0</v>
      </c>
      <c r="G299">
        <f>IF(E299="","",SUMIFS(RaceResults!$E:$E,RaceResults!$A:$A,A299,RaceResults!$D:$D,E299))</f>
        <v>0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0</v>
      </c>
      <c r="F300">
        <f>IF(E300="","",SUMIFS(RaceResults!$C:$C,RaceResults!$A:$A,A300,RaceResults!$D:$D,E300))</f>
        <v>0</v>
      </c>
      <c r="G300">
        <f>IF(E300="","",SUMIFS(RaceResults!$E:$E,RaceResults!$A:$A,A300,RaceResults!$D:$D,E300))</f>
        <v>0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0</v>
      </c>
      <c r="F301">
        <f>IF(E301="","",SUMIFS(RaceResults!$C:$C,RaceResults!$A:$A,A301,RaceResults!$D:$D,E301))</f>
        <v>0</v>
      </c>
      <c r="G301">
        <f>IF(E301="","",SUMIFS(RaceResults!$E:$E,RaceResults!$A:$A,A301,RaceResults!$D:$D,E301))</f>
        <v>0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0</v>
      </c>
      <c r="F302">
        <f>IF(E302="","",SUMIFS(RaceResults!$C:$C,RaceResults!$A:$A,A302,RaceResults!$D:$D,E302))</f>
        <v>0</v>
      </c>
      <c r="G302">
        <f>IF(E302="","",SUMIFS(RaceResults!$E:$E,RaceResults!$A:$A,A302,RaceResults!$D:$D,E302))</f>
        <v>0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0</v>
      </c>
      <c r="F303">
        <f>IF(E303="","",SUMIFS(RaceResults!$C:$C,RaceResults!$A:$A,A303,RaceResults!$D:$D,E303))</f>
        <v>0</v>
      </c>
      <c r="G303">
        <f>IF(E303="","",SUMIFS(RaceResults!$E:$E,RaceResults!$A:$A,A303,RaceResults!$D:$D,E303))</f>
        <v>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0</v>
      </c>
      <c r="F304">
        <f>IF(E304="","",SUMIFS(RaceResults!$C:$C,RaceResults!$A:$A,A304,RaceResults!$D:$D,E304))</f>
        <v>0</v>
      </c>
      <c r="G304">
        <f>IF(E304="","",SUMIFS(RaceResults!$E:$E,RaceResults!$A:$A,A304,RaceResults!$D:$D,E304))</f>
        <v>0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0</v>
      </c>
      <c r="F305">
        <f>IF(E305="","",SUMIFS(RaceResults!$C:$C,RaceResults!$A:$A,A305,RaceResults!$D:$D,E305))</f>
        <v>0</v>
      </c>
      <c r="G305">
        <f>IF(E305="","",SUMIFS(RaceResults!$E:$E,RaceResults!$A:$A,A305,RaceResults!$D:$D,E305))</f>
        <v>0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0</v>
      </c>
      <c r="F306">
        <f>IF(E306="","",SUMIFS(RaceResults!$C:$C,RaceResults!$A:$A,A306,RaceResults!$D:$D,E306))</f>
        <v>0</v>
      </c>
      <c r="G306">
        <f>IF(E306="","",SUMIFS(RaceResults!$E:$E,RaceResults!$A:$A,A306,RaceResults!$D:$D,E306))</f>
        <v>0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0</v>
      </c>
      <c r="F307">
        <f>IF(E307="","",SUMIFS(RaceResults!$C:$C,RaceResults!$A:$A,A307,RaceResults!$D:$D,E307))</f>
        <v>0</v>
      </c>
      <c r="G307">
        <f>IF(E307="","",SUMIFS(RaceResults!$E:$E,RaceResults!$A:$A,A307,RaceResults!$D:$D,E307))</f>
        <v>0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0</v>
      </c>
      <c r="F308">
        <f>IF(E308="","",SUMIFS(RaceResults!$C:$C,RaceResults!$A:$A,A308,RaceResults!$D:$D,E308))</f>
        <v>0</v>
      </c>
      <c r="G308">
        <f>IF(E308="","",SUMIFS(RaceResults!$E:$E,RaceResults!$A:$A,A308,RaceResults!$D:$D,E308))</f>
        <v>0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0</v>
      </c>
      <c r="F309">
        <f>IF(E309="","",SUMIFS(RaceResults!$C:$C,RaceResults!$A:$A,A309,RaceResults!$D:$D,E309))</f>
        <v>0</v>
      </c>
      <c r="G309">
        <f>IF(E309="","",SUMIFS(RaceResults!$E:$E,RaceResults!$A:$A,A309,RaceResults!$D:$D,E309))</f>
        <v>0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0</v>
      </c>
      <c r="F310">
        <f>IF(E310="","",SUMIFS(RaceResults!$C:$C,RaceResults!$A:$A,A310,RaceResults!$D:$D,E310))</f>
        <v>0</v>
      </c>
      <c r="G310">
        <f>IF(E310="","",SUMIFS(RaceResults!$E:$E,RaceResults!$A:$A,A310,RaceResults!$D:$D,E310))</f>
        <v>0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0</v>
      </c>
      <c r="F311">
        <f>IF(E311="","",SUMIFS(RaceResults!$C:$C,RaceResults!$A:$A,A311,RaceResults!$D:$D,E311))</f>
        <v>0</v>
      </c>
      <c r="G311">
        <f>IF(E311="","",SUMIFS(RaceResults!$E:$E,RaceResults!$A:$A,A311,RaceResults!$D:$D,E311))</f>
        <v>0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0</v>
      </c>
      <c r="F312">
        <f>IF(E312="","",SUMIFS(RaceResults!$C:$C,RaceResults!$A:$A,A312,RaceResults!$D:$D,E312))</f>
        <v>0</v>
      </c>
      <c r="G312">
        <f>IF(E312="","",SUMIFS(RaceResults!$E:$E,RaceResults!$A:$A,A312,RaceResults!$D:$D,E312))</f>
        <v>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0</v>
      </c>
      <c r="F313">
        <f>IF(E313="","",SUMIFS(RaceResults!$C:$C,RaceResults!$A:$A,A313,RaceResults!$D:$D,E313))</f>
        <v>0</v>
      </c>
      <c r="G313">
        <f>IF(E313="","",SUMIFS(RaceResults!$E:$E,RaceResults!$A:$A,A313,RaceResults!$D:$D,E313))</f>
        <v>0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0</v>
      </c>
      <c r="F314">
        <f>IF(E314="","",SUMIFS(RaceResults!$C:$C,RaceResults!$A:$A,A314,RaceResults!$D:$D,E314))</f>
        <v>0</v>
      </c>
      <c r="G314">
        <f>IF(E314="","",SUMIFS(RaceResults!$E:$E,RaceResults!$A:$A,A314,RaceResults!$D:$D,E314))</f>
        <v>0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0</v>
      </c>
      <c r="F315">
        <f>IF(E315="","",SUMIFS(RaceResults!$C:$C,RaceResults!$A:$A,A315,RaceResults!$D:$D,E315))</f>
        <v>0</v>
      </c>
      <c r="G315">
        <f>IF(E315="","",SUMIFS(RaceResults!$E:$E,RaceResults!$A:$A,A315,RaceResults!$D:$D,E315))</f>
        <v>0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0</v>
      </c>
      <c r="F316">
        <f>IF(E316="","",SUMIFS(RaceResults!$C:$C,RaceResults!$A:$A,A316,RaceResults!$D:$D,E316))</f>
        <v>0</v>
      </c>
      <c r="G316">
        <f>IF(E316="","",SUMIFS(RaceResults!$E:$E,RaceResults!$A:$A,A316,RaceResults!$D:$D,E316))</f>
        <v>0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0</v>
      </c>
      <c r="F317">
        <f>IF(E317="","",SUMIFS(RaceResults!$C:$C,RaceResults!$A:$A,A317,RaceResults!$D:$D,E317))</f>
        <v>0</v>
      </c>
      <c r="G317">
        <f>IF(E317="","",SUMIFS(RaceResults!$E:$E,RaceResults!$A:$A,A317,RaceResults!$D:$D,E317))</f>
        <v>0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0</v>
      </c>
      <c r="F318">
        <f>IF(E318="","",SUMIFS(RaceResults!$C:$C,RaceResults!$A:$A,A318,RaceResults!$D:$D,E318))</f>
        <v>0</v>
      </c>
      <c r="G318">
        <f>IF(E318="","",SUMIFS(RaceResults!$E:$E,RaceResults!$A:$A,A318,RaceResults!$D:$D,E318))</f>
        <v>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0</v>
      </c>
      <c r="F319">
        <f>IF(E319="","",SUMIFS(RaceResults!$C:$C,RaceResults!$A:$A,A319,RaceResults!$D:$D,E319))</f>
        <v>0</v>
      </c>
      <c r="G319">
        <f>IF(E319="","",SUMIFS(RaceResults!$E:$E,RaceResults!$A:$A,A319,RaceResults!$D:$D,E319))</f>
        <v>0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0</v>
      </c>
      <c r="F320">
        <f>IF(E320="","",SUMIFS(RaceResults!$C:$C,RaceResults!$A:$A,A320,RaceResults!$D:$D,E320))</f>
        <v>0</v>
      </c>
      <c r="G320">
        <f>IF(E320="","",SUMIFS(RaceResults!$E:$E,RaceResults!$A:$A,A320,RaceResults!$D:$D,E320))</f>
        <v>0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0</v>
      </c>
      <c r="F321">
        <f>IF(E321="","",SUMIFS(RaceResults!$C:$C,RaceResults!$A:$A,A321,RaceResults!$D:$D,E321))</f>
        <v>0</v>
      </c>
      <c r="G321">
        <f>IF(E321="","",SUMIFS(RaceResults!$E:$E,RaceResults!$A:$A,A321,RaceResults!$D:$D,E321))</f>
        <v>0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0</v>
      </c>
      <c r="F322">
        <f>IF(E322="","",SUMIFS(RaceResults!$C:$C,RaceResults!$A:$A,A322,RaceResults!$D:$D,E322))</f>
        <v>0</v>
      </c>
      <c r="G322">
        <f>IF(E322="","",SUMIFS(RaceResults!$E:$E,RaceResults!$A:$A,A322,RaceResults!$D:$D,E322))</f>
        <v>0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0</v>
      </c>
      <c r="F326">
        <f>IF(E326="","",SUMIFS(RaceResults!$C:$C,RaceResults!$A:$A,A326,RaceResults!$D:$D,E326))</f>
        <v>0</v>
      </c>
      <c r="G326">
        <f>IF(E326="","",SUMIFS(RaceResults!$E:$E,RaceResults!$A:$A,A326,RaceResults!$D:$D,E326))</f>
        <v>0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0</v>
      </c>
      <c r="F327">
        <f>IF(E327="","",SUMIFS(RaceResults!$C:$C,RaceResults!$A:$A,A327,RaceResults!$D:$D,E327))</f>
        <v>0</v>
      </c>
      <c r="G327">
        <f>IF(E327="","",SUMIFS(RaceResults!$E:$E,RaceResults!$A:$A,A327,RaceResults!$D:$D,E327))</f>
        <v>0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0</v>
      </c>
      <c r="F328">
        <f>IF(E328="","",SUMIFS(RaceResults!$C:$C,RaceResults!$A:$A,A328,RaceResults!$D:$D,E328))</f>
        <v>0</v>
      </c>
      <c r="G328">
        <f>IF(E328="","",SUMIFS(RaceResults!$E:$E,RaceResults!$A:$A,A328,RaceResults!$D:$D,E328))</f>
        <v>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0</v>
      </c>
      <c r="F329">
        <f>IF(E329="","",SUMIFS(RaceResults!$C:$C,RaceResults!$A:$A,A329,RaceResults!$D:$D,E329))</f>
        <v>0</v>
      </c>
      <c r="G329">
        <f>IF(E329="","",SUMIFS(RaceResults!$E:$E,RaceResults!$A:$A,A329,RaceResults!$D:$D,E329))</f>
        <v>0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0</v>
      </c>
      <c r="F330">
        <f>IF(E330="","",SUMIFS(RaceResults!$C:$C,RaceResults!$A:$A,A330,RaceResults!$D:$D,E330))</f>
        <v>0</v>
      </c>
      <c r="G330">
        <f>IF(E330="","",SUMIFS(RaceResults!$E:$E,RaceResults!$A:$A,A330,RaceResults!$D:$D,E330))</f>
        <v>0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0</v>
      </c>
      <c r="F331">
        <f>IF(E331="","",SUMIFS(RaceResults!$C:$C,RaceResults!$A:$A,A331,RaceResults!$D:$D,E331))</f>
        <v>0</v>
      </c>
      <c r="G331">
        <f>IF(E331="","",SUMIFS(RaceResults!$E:$E,RaceResults!$A:$A,A331,RaceResults!$D:$D,E331))</f>
        <v>0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0</v>
      </c>
      <c r="F332">
        <f>IF(E332="","",SUMIFS(RaceResults!$C:$C,RaceResults!$A:$A,A332,RaceResults!$D:$D,E332))</f>
        <v>0</v>
      </c>
      <c r="G332">
        <f>IF(E332="","",SUMIFS(RaceResults!$E:$E,RaceResults!$A:$A,A332,RaceResults!$D:$D,E332))</f>
        <v>0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0</v>
      </c>
      <c r="F333">
        <f>IF(E333="","",SUMIFS(RaceResults!$C:$C,RaceResults!$A:$A,A333,RaceResults!$D:$D,E333))</f>
        <v>0</v>
      </c>
      <c r="G333">
        <f>IF(E333="","",SUMIFS(RaceResults!$E:$E,RaceResults!$A:$A,A333,RaceResults!$D:$D,E333))</f>
        <v>0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0</v>
      </c>
      <c r="F334">
        <f>IF(E334="","",SUMIFS(RaceResults!$C:$C,RaceResults!$A:$A,A334,RaceResults!$D:$D,E334))</f>
        <v>0</v>
      </c>
      <c r="G334">
        <f>IF(E334="","",SUMIFS(RaceResults!$E:$E,RaceResults!$A:$A,A334,RaceResults!$D:$D,E334))</f>
        <v>0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0</v>
      </c>
      <c r="F335">
        <f>IF(E335="","",SUMIFS(RaceResults!$C:$C,RaceResults!$A:$A,A335,RaceResults!$D:$D,E335))</f>
        <v>0</v>
      </c>
      <c r="G335">
        <f>IF(E335="","",SUMIFS(RaceResults!$E:$E,RaceResults!$A:$A,A335,RaceResults!$D:$D,E335))</f>
        <v>0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0</v>
      </c>
      <c r="F336">
        <f>IF(E336="","",SUMIFS(RaceResults!$C:$C,RaceResults!$A:$A,A336,RaceResults!$D:$D,E336))</f>
        <v>0</v>
      </c>
      <c r="G336">
        <f>IF(E336="","",SUMIFS(RaceResults!$E:$E,RaceResults!$A:$A,A336,RaceResults!$D:$D,E336))</f>
        <v>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0</v>
      </c>
      <c r="F337">
        <f>IF(E337="","",SUMIFS(RaceResults!$C:$C,RaceResults!$A:$A,A337,RaceResults!$D:$D,E337))</f>
        <v>0</v>
      </c>
      <c r="G337">
        <f>IF(E337="","",SUMIFS(RaceResults!$E:$E,RaceResults!$A:$A,A337,RaceResults!$D:$D,E337))</f>
        <v>0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0</v>
      </c>
      <c r="F338">
        <f>IF(E338="","",SUMIFS(RaceResults!$C:$C,RaceResults!$A:$A,A338,RaceResults!$D:$D,E338))</f>
        <v>0</v>
      </c>
      <c r="G338">
        <f>IF(E338="","",SUMIFS(RaceResults!$E:$E,RaceResults!$A:$A,A338,RaceResults!$D:$D,E338))</f>
        <v>0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0</v>
      </c>
      <c r="F339">
        <f>IF(E339="","",SUMIFS(RaceResults!$C:$C,RaceResults!$A:$A,A339,RaceResults!$D:$D,E339))</f>
        <v>0</v>
      </c>
      <c r="G339">
        <f>IF(E339="","",SUMIFS(RaceResults!$E:$E,RaceResults!$A:$A,A339,RaceResults!$D:$D,E339))</f>
        <v>0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0</v>
      </c>
      <c r="F340">
        <f>IF(E340="","",SUMIFS(RaceResults!$C:$C,RaceResults!$A:$A,A340,RaceResults!$D:$D,E340))</f>
        <v>0</v>
      </c>
      <c r="G340">
        <f>IF(E340="","",SUMIFS(RaceResults!$E:$E,RaceResults!$A:$A,A340,RaceResults!$D:$D,E340))</f>
        <v>0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0</v>
      </c>
      <c r="F341">
        <f>IF(E341="","",SUMIFS(RaceResults!$C:$C,RaceResults!$A:$A,A341,RaceResults!$D:$D,E341))</f>
        <v>0</v>
      </c>
      <c r="G341">
        <f>IF(E341="","",SUMIFS(RaceResults!$E:$E,RaceResults!$A:$A,A341,RaceResults!$D:$D,E341))</f>
        <v>0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0</v>
      </c>
      <c r="F342">
        <f>IF(E342="","",SUMIFS(RaceResults!$C:$C,RaceResults!$A:$A,A342,RaceResults!$D:$D,E342))</f>
        <v>0</v>
      </c>
      <c r="G342">
        <f>IF(E342="","",SUMIFS(RaceResults!$E:$E,RaceResults!$A:$A,A342,RaceResults!$D:$D,E342))</f>
        <v>0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0</v>
      </c>
      <c r="F343">
        <f>IF(E343="","",SUMIFS(RaceResults!$C:$C,RaceResults!$A:$A,A343,RaceResults!$D:$D,E343))</f>
        <v>0</v>
      </c>
      <c r="G343">
        <f>IF(E343="","",SUMIFS(RaceResults!$E:$E,RaceResults!$A:$A,A343,RaceResults!$D:$D,E343))</f>
        <v>0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0</v>
      </c>
      <c r="F344">
        <f>IF(E344="","",SUMIFS(RaceResults!$C:$C,RaceResults!$A:$A,A344,RaceResults!$D:$D,E344))</f>
        <v>0</v>
      </c>
      <c r="G344">
        <f>IF(E344="","",SUMIFS(RaceResults!$E:$E,RaceResults!$A:$A,A344,RaceResults!$D:$D,E344))</f>
        <v>0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0</v>
      </c>
      <c r="F345">
        <f>IF(E345="","",SUMIFS(RaceResults!$C:$C,RaceResults!$A:$A,A345,RaceResults!$D:$D,E345))</f>
        <v>0</v>
      </c>
      <c r="G345">
        <f>IF(E345="","",SUMIFS(RaceResults!$E:$E,RaceResults!$A:$A,A345,RaceResults!$D:$D,E345))</f>
        <v>0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0</v>
      </c>
      <c r="F346">
        <f>IF(E346="","",SUMIFS(RaceResults!$C:$C,RaceResults!$A:$A,A346,RaceResults!$D:$D,E346))</f>
        <v>0</v>
      </c>
      <c r="G346">
        <f>IF(E346="","",SUMIFS(RaceResults!$E:$E,RaceResults!$A:$A,A346,RaceResults!$D:$D,E346))</f>
        <v>0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0</v>
      </c>
      <c r="F347">
        <f>IF(E347="","",SUMIFS(RaceResults!$C:$C,RaceResults!$A:$A,A347,RaceResults!$D:$D,E347))</f>
        <v>0</v>
      </c>
      <c r="G347">
        <f>IF(E347="","",SUMIFS(RaceResults!$E:$E,RaceResults!$A:$A,A347,RaceResults!$D:$D,E347))</f>
        <v>0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0</v>
      </c>
      <c r="F348">
        <f>IF(E348="","",SUMIFS(RaceResults!$C:$C,RaceResults!$A:$A,A348,RaceResults!$D:$D,E348))</f>
        <v>0</v>
      </c>
      <c r="G348">
        <f>IF(E348="","",SUMIFS(RaceResults!$E:$E,RaceResults!$A:$A,A348,RaceResults!$D:$D,E348))</f>
        <v>0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0</v>
      </c>
      <c r="F349">
        <f>IF(E349="","",SUMIFS(RaceResults!$C:$C,RaceResults!$A:$A,A349,RaceResults!$D:$D,E349))</f>
        <v>0</v>
      </c>
      <c r="G349">
        <f>IF(E349="","",SUMIFS(RaceResults!$E:$E,RaceResults!$A:$A,A349,RaceResults!$D:$D,E349))</f>
        <v>0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0</v>
      </c>
      <c r="F350">
        <f>IF(E350="","",SUMIFS(RaceResults!$C:$C,RaceResults!$A:$A,A350,RaceResults!$D:$D,E350))</f>
        <v>0</v>
      </c>
      <c r="G350">
        <f>IF(E350="","",SUMIFS(RaceResults!$E:$E,RaceResults!$A:$A,A350,RaceResults!$D:$D,E350))</f>
        <v>0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0</v>
      </c>
      <c r="F351">
        <f>IF(E351="","",SUMIFS(RaceResults!$C:$C,RaceResults!$A:$A,A351,RaceResults!$D:$D,E351))</f>
        <v>0</v>
      </c>
      <c r="G351">
        <f>IF(E351="","",SUMIFS(RaceResults!$E:$E,RaceResults!$A:$A,A351,RaceResults!$D:$D,E351))</f>
        <v>0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0</v>
      </c>
      <c r="F352">
        <f>IF(E352="","",SUMIFS(RaceResults!$C:$C,RaceResults!$A:$A,A352,RaceResults!$D:$D,E352))</f>
        <v>0</v>
      </c>
      <c r="G352">
        <f>IF(E352="","",SUMIFS(RaceResults!$E:$E,RaceResults!$A:$A,A352,RaceResults!$D:$D,E352))</f>
        <v>0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0</v>
      </c>
      <c r="F356">
        <f>IF(E356="","",SUMIFS(RaceResults!$C:$C,RaceResults!$A:$A,A356,RaceResults!$D:$D,E356))</f>
        <v>0</v>
      </c>
      <c r="G356">
        <f>IF(E356="","",SUMIFS(RaceResults!$E:$E,RaceResults!$A:$A,A356,RaceResults!$D:$D,E356))</f>
        <v>0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0</v>
      </c>
      <c r="F357">
        <f>IF(E357="","",SUMIFS(RaceResults!$C:$C,RaceResults!$A:$A,A357,RaceResults!$D:$D,E357))</f>
        <v>0</v>
      </c>
      <c r="G357">
        <f>IF(E357="","",SUMIFS(RaceResults!$E:$E,RaceResults!$A:$A,A357,RaceResults!$D:$D,E357))</f>
        <v>0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0</v>
      </c>
      <c r="F358">
        <f>IF(E358="","",SUMIFS(RaceResults!$C:$C,RaceResults!$A:$A,A358,RaceResults!$D:$D,E358))</f>
        <v>0</v>
      </c>
      <c r="G358">
        <f>IF(E358="","",SUMIFS(RaceResults!$E:$E,RaceResults!$A:$A,A358,RaceResults!$D:$D,E358))</f>
        <v>0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0</v>
      </c>
      <c r="F359">
        <f>IF(E359="","",SUMIFS(RaceResults!$C:$C,RaceResults!$A:$A,A359,RaceResults!$D:$D,E359))</f>
        <v>0</v>
      </c>
      <c r="G359">
        <f>IF(E359="","",SUMIFS(RaceResults!$E:$E,RaceResults!$A:$A,A359,RaceResults!$D:$D,E359))</f>
        <v>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0</v>
      </c>
      <c r="F360">
        <f>IF(E360="","",SUMIFS(RaceResults!$C:$C,RaceResults!$A:$A,A360,RaceResults!$D:$D,E360))</f>
        <v>0</v>
      </c>
      <c r="G360">
        <f>IF(E360="","",SUMIFS(RaceResults!$E:$E,RaceResults!$A:$A,A360,RaceResults!$D:$D,E360))</f>
        <v>0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0</v>
      </c>
      <c r="F361">
        <f>IF(E361="","",SUMIFS(RaceResults!$C:$C,RaceResults!$A:$A,A361,RaceResults!$D:$D,E361))</f>
        <v>0</v>
      </c>
      <c r="G361">
        <f>IF(E361="","",SUMIFS(RaceResults!$E:$E,RaceResults!$A:$A,A361,RaceResults!$D:$D,E361))</f>
        <v>0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0</v>
      </c>
      <c r="F362">
        <f>IF(E362="","",SUMIFS(RaceResults!$C:$C,RaceResults!$A:$A,A362,RaceResults!$D:$D,E362))</f>
        <v>0</v>
      </c>
      <c r="G362">
        <f>IF(E362="","",SUMIFS(RaceResults!$E:$E,RaceResults!$A:$A,A362,RaceResults!$D:$D,E362))</f>
        <v>0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0</v>
      </c>
      <c r="F363">
        <f>IF(E363="","",SUMIFS(RaceResults!$C:$C,RaceResults!$A:$A,A363,RaceResults!$D:$D,E363))</f>
        <v>0</v>
      </c>
      <c r="G363">
        <f>IF(E363="","",SUMIFS(RaceResults!$E:$E,RaceResults!$A:$A,A363,RaceResults!$D:$D,E363))</f>
        <v>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0</v>
      </c>
      <c r="F364">
        <f>IF(E364="","",SUMIFS(RaceResults!$C:$C,RaceResults!$A:$A,A364,RaceResults!$D:$D,E364))</f>
        <v>0</v>
      </c>
      <c r="G364">
        <f>IF(E364="","",SUMIFS(RaceResults!$E:$E,RaceResults!$A:$A,A364,RaceResults!$D:$D,E364))</f>
        <v>0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0</v>
      </c>
      <c r="F365">
        <f>IF(E365="","",SUMIFS(RaceResults!$C:$C,RaceResults!$A:$A,A365,RaceResults!$D:$D,E365))</f>
        <v>0</v>
      </c>
      <c r="G365">
        <f>IF(E365="","",SUMIFS(RaceResults!$E:$E,RaceResults!$A:$A,A365,RaceResults!$D:$D,E365))</f>
        <v>0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0</v>
      </c>
      <c r="F366">
        <f>IF(E366="","",SUMIFS(RaceResults!$C:$C,RaceResults!$A:$A,A366,RaceResults!$D:$D,E366))</f>
        <v>0</v>
      </c>
      <c r="G366">
        <f>IF(E366="","",SUMIFS(RaceResults!$E:$E,RaceResults!$A:$A,A366,RaceResults!$D:$D,E366))</f>
        <v>0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0</v>
      </c>
      <c r="F367">
        <f>IF(E367="","",SUMIFS(RaceResults!$C:$C,RaceResults!$A:$A,A367,RaceResults!$D:$D,E367))</f>
        <v>0</v>
      </c>
      <c r="G367">
        <f>IF(E367="","",SUMIFS(RaceResults!$E:$E,RaceResults!$A:$A,A367,RaceResults!$D:$D,E367))</f>
        <v>0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0</v>
      </c>
      <c r="F368">
        <f>IF(E368="","",SUMIFS(RaceResults!$C:$C,RaceResults!$A:$A,A368,RaceResults!$D:$D,E368))</f>
        <v>0</v>
      </c>
      <c r="G368">
        <f>IF(E368="","",SUMIFS(RaceResults!$E:$E,RaceResults!$A:$A,A368,RaceResults!$D:$D,E368))</f>
        <v>0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0</v>
      </c>
      <c r="F369">
        <f>IF(E369="","",SUMIFS(RaceResults!$C:$C,RaceResults!$A:$A,A369,RaceResults!$D:$D,E369))</f>
        <v>0</v>
      </c>
      <c r="G369">
        <f>IF(E369="","",SUMIFS(RaceResults!$E:$E,RaceResults!$A:$A,A369,RaceResults!$D:$D,E369))</f>
        <v>0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0</v>
      </c>
      <c r="F370">
        <f>IF(E370="","",SUMIFS(RaceResults!$C:$C,RaceResults!$A:$A,A370,RaceResults!$D:$D,E370))</f>
        <v>0</v>
      </c>
      <c r="G370">
        <f>IF(E370="","",SUMIFS(RaceResults!$E:$E,RaceResults!$A:$A,A370,RaceResults!$D:$D,E370))</f>
        <v>0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0</v>
      </c>
      <c r="F371">
        <f>IF(E371="","",SUMIFS(RaceResults!$C:$C,RaceResults!$A:$A,A371,RaceResults!$D:$D,E371))</f>
        <v>0</v>
      </c>
      <c r="G371">
        <f>IF(E371="","",SUMIFS(RaceResults!$E:$E,RaceResults!$A:$A,A371,RaceResults!$D:$D,E371))</f>
        <v>0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0</v>
      </c>
      <c r="F372">
        <f>IF(E372="","",SUMIFS(RaceResults!$C:$C,RaceResults!$A:$A,A372,RaceResults!$D:$D,E372))</f>
        <v>0</v>
      </c>
      <c r="G372">
        <f>IF(E372="","",SUMIFS(RaceResults!$E:$E,RaceResults!$A:$A,A372,RaceResults!$D:$D,E372))</f>
        <v>0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0</v>
      </c>
      <c r="F373">
        <f>IF(E373="","",SUMIFS(RaceResults!$C:$C,RaceResults!$A:$A,A373,RaceResults!$D:$D,E373))</f>
        <v>0</v>
      </c>
      <c r="G373">
        <f>IF(E373="","",SUMIFS(RaceResults!$E:$E,RaceResults!$A:$A,A373,RaceResults!$D:$D,E373))</f>
        <v>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0</v>
      </c>
      <c r="F374">
        <f>IF(E374="","",SUMIFS(RaceResults!$C:$C,RaceResults!$A:$A,A374,RaceResults!$D:$D,E374))</f>
        <v>0</v>
      </c>
      <c r="G374">
        <f>IF(E374="","",SUMIFS(RaceResults!$E:$E,RaceResults!$A:$A,A374,RaceResults!$D:$D,E374))</f>
        <v>0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0</v>
      </c>
      <c r="F375">
        <f>IF(E375="","",SUMIFS(RaceResults!$C:$C,RaceResults!$A:$A,A375,RaceResults!$D:$D,E375))</f>
        <v>0</v>
      </c>
      <c r="G375">
        <f>IF(E375="","",SUMIFS(RaceResults!$E:$E,RaceResults!$A:$A,A375,RaceResults!$D:$D,E375))</f>
        <v>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0</v>
      </c>
      <c r="F376">
        <f>IF(E376="","",SUMIFS(RaceResults!$C:$C,RaceResults!$A:$A,A376,RaceResults!$D:$D,E376))</f>
        <v>0</v>
      </c>
      <c r="G376">
        <f>IF(E376="","",SUMIFS(RaceResults!$E:$E,RaceResults!$A:$A,A376,RaceResults!$D:$D,E376))</f>
        <v>0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0</v>
      </c>
      <c r="F377">
        <f>IF(E377="","",SUMIFS(RaceResults!$C:$C,RaceResults!$A:$A,A377,RaceResults!$D:$D,E377))</f>
        <v>0</v>
      </c>
      <c r="G377">
        <f>IF(E377="","",SUMIFS(RaceResults!$E:$E,RaceResults!$A:$A,A377,RaceResults!$D:$D,E377))</f>
        <v>0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0</v>
      </c>
      <c r="F378">
        <f>IF(E378="","",SUMIFS(RaceResults!$C:$C,RaceResults!$A:$A,A378,RaceResults!$D:$D,E378))</f>
        <v>0</v>
      </c>
      <c r="G378">
        <f>IF(E378="","",SUMIFS(RaceResults!$E:$E,RaceResults!$A:$A,A378,RaceResults!$D:$D,E378))</f>
        <v>0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0</v>
      </c>
      <c r="F379">
        <f>IF(E379="","",SUMIFS(RaceResults!$C:$C,RaceResults!$A:$A,A379,RaceResults!$D:$D,E379))</f>
        <v>0</v>
      </c>
      <c r="G379">
        <f>IF(E379="","",SUMIFS(RaceResults!$E:$E,RaceResults!$A:$A,A379,RaceResults!$D:$D,E379))</f>
        <v>0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0</v>
      </c>
      <c r="F380">
        <f>IF(E380="","",SUMIFS(RaceResults!$C:$C,RaceResults!$A:$A,A380,RaceResults!$D:$D,E380))</f>
        <v>0</v>
      </c>
      <c r="G380">
        <f>IF(E380="","",SUMIFS(RaceResults!$E:$E,RaceResults!$A:$A,A380,RaceResults!$D:$D,E380))</f>
        <v>0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0</v>
      </c>
      <c r="F381">
        <f>IF(E381="","",SUMIFS(RaceResults!$C:$C,RaceResults!$A:$A,A381,RaceResults!$D:$D,E381))</f>
        <v>0</v>
      </c>
      <c r="G381">
        <f>IF(E381="","",SUMIFS(RaceResults!$E:$E,RaceResults!$A:$A,A381,RaceResults!$D:$D,E381))</f>
        <v>0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0</v>
      </c>
      <c r="F382">
        <f>IF(E382="","",SUMIFS(RaceResults!$C:$C,RaceResults!$A:$A,A382,RaceResults!$D:$D,E382))</f>
        <v>0</v>
      </c>
      <c r="G382">
        <f>IF(E382="","",SUMIFS(RaceResults!$E:$E,RaceResults!$A:$A,A382,RaceResults!$D:$D,E382))</f>
        <v>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0</v>
      </c>
      <c r="F386">
        <f>IF(E386="","",SUMIFS(RaceResults!$C:$C,RaceResults!$A:$A,A386,RaceResults!$D:$D,E386))</f>
        <v>0</v>
      </c>
      <c r="G386">
        <f>IF(E386="","",SUMIFS(RaceResults!$E:$E,RaceResults!$A:$A,A386,RaceResults!$D:$D,E386))</f>
        <v>0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0</v>
      </c>
      <c r="F387">
        <f>IF(E387="","",SUMIFS(RaceResults!$C:$C,RaceResults!$A:$A,A387,RaceResults!$D:$D,E387))</f>
        <v>0</v>
      </c>
      <c r="G387">
        <f>IF(E387="","",SUMIFS(RaceResults!$E:$E,RaceResults!$A:$A,A387,RaceResults!$D:$D,E387))</f>
        <v>0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0</v>
      </c>
      <c r="F388">
        <f>IF(E388="","",SUMIFS(RaceResults!$C:$C,RaceResults!$A:$A,A388,RaceResults!$D:$D,E388))</f>
        <v>0</v>
      </c>
      <c r="G388">
        <f>IF(E388="","",SUMIFS(RaceResults!$E:$E,RaceResults!$A:$A,A388,RaceResults!$D:$D,E388))</f>
        <v>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0</v>
      </c>
      <c r="F389">
        <f>IF(E389="","",SUMIFS(RaceResults!$C:$C,RaceResults!$A:$A,A389,RaceResults!$D:$D,E389))</f>
        <v>0</v>
      </c>
      <c r="G389">
        <f>IF(E389="","",SUMIFS(RaceResults!$E:$E,RaceResults!$A:$A,A389,RaceResults!$D:$D,E389))</f>
        <v>0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0</v>
      </c>
      <c r="F390">
        <f>IF(E390="","",SUMIFS(RaceResults!$C:$C,RaceResults!$A:$A,A390,RaceResults!$D:$D,E390))</f>
        <v>0</v>
      </c>
      <c r="G390">
        <f>IF(E390="","",SUMIFS(RaceResults!$E:$E,RaceResults!$A:$A,A390,RaceResults!$D:$D,E390))</f>
        <v>0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0</v>
      </c>
      <c r="F391">
        <f>IF(E391="","",SUMIFS(RaceResults!$C:$C,RaceResults!$A:$A,A391,RaceResults!$D:$D,E391))</f>
        <v>0</v>
      </c>
      <c r="G391">
        <f>IF(E391="","",SUMIFS(RaceResults!$E:$E,RaceResults!$A:$A,A391,RaceResults!$D:$D,E391))</f>
        <v>0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0</v>
      </c>
      <c r="F392">
        <f>IF(E392="","",SUMIFS(RaceResults!$C:$C,RaceResults!$A:$A,A392,RaceResults!$D:$D,E392))</f>
        <v>0</v>
      </c>
      <c r="G392">
        <f>IF(E392="","",SUMIFS(RaceResults!$E:$E,RaceResults!$A:$A,A392,RaceResults!$D:$D,E392))</f>
        <v>0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0</v>
      </c>
      <c r="F393">
        <f>IF(E393="","",SUMIFS(RaceResults!$C:$C,RaceResults!$A:$A,A393,RaceResults!$D:$D,E393))</f>
        <v>0</v>
      </c>
      <c r="G393">
        <f>IF(E393="","",SUMIFS(RaceResults!$E:$E,RaceResults!$A:$A,A393,RaceResults!$D:$D,E393))</f>
        <v>0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0</v>
      </c>
      <c r="F394">
        <f>IF(E394="","",SUMIFS(RaceResults!$C:$C,RaceResults!$A:$A,A394,RaceResults!$D:$D,E394))</f>
        <v>0</v>
      </c>
      <c r="G394">
        <f>IF(E394="","",SUMIFS(RaceResults!$E:$E,RaceResults!$A:$A,A394,RaceResults!$D:$D,E394))</f>
        <v>0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0</v>
      </c>
      <c r="F395">
        <f>IF(E395="","",SUMIFS(RaceResults!$C:$C,RaceResults!$A:$A,A395,RaceResults!$D:$D,E395))</f>
        <v>0</v>
      </c>
      <c r="G395">
        <f>IF(E395="","",SUMIFS(RaceResults!$E:$E,RaceResults!$A:$A,A395,RaceResults!$D:$D,E395))</f>
        <v>0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0</v>
      </c>
      <c r="F396">
        <f>IF(E396="","",SUMIFS(RaceResults!$C:$C,RaceResults!$A:$A,A396,RaceResults!$D:$D,E396))</f>
        <v>0</v>
      </c>
      <c r="G396">
        <f>IF(E396="","",SUMIFS(RaceResults!$E:$E,RaceResults!$A:$A,A396,RaceResults!$D:$D,E396))</f>
        <v>0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0</v>
      </c>
      <c r="F397">
        <f>IF(E397="","",SUMIFS(RaceResults!$C:$C,RaceResults!$A:$A,A397,RaceResults!$D:$D,E397))</f>
        <v>0</v>
      </c>
      <c r="G397">
        <f>IF(E397="","",SUMIFS(RaceResults!$E:$E,RaceResults!$A:$A,A397,RaceResults!$D:$D,E397))</f>
        <v>0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0</v>
      </c>
      <c r="F398">
        <f>IF(E398="","",SUMIFS(RaceResults!$C:$C,RaceResults!$A:$A,A398,RaceResults!$D:$D,E398))</f>
        <v>0</v>
      </c>
      <c r="G398">
        <f>IF(E398="","",SUMIFS(RaceResults!$E:$E,RaceResults!$A:$A,A398,RaceResults!$D:$D,E398))</f>
        <v>0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0</v>
      </c>
      <c r="F399">
        <f>IF(E399="","",SUMIFS(RaceResults!$C:$C,RaceResults!$A:$A,A399,RaceResults!$D:$D,E399))</f>
        <v>0</v>
      </c>
      <c r="G399">
        <f>IF(E399="","",SUMIFS(RaceResults!$E:$E,RaceResults!$A:$A,A399,RaceResults!$D:$D,E399))</f>
        <v>0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0</v>
      </c>
      <c r="F400">
        <f>IF(E400="","",SUMIFS(RaceResults!$C:$C,RaceResults!$A:$A,A400,RaceResults!$D:$D,E400))</f>
        <v>0</v>
      </c>
      <c r="G400">
        <f>IF(E400="","",SUMIFS(RaceResults!$E:$E,RaceResults!$A:$A,A400,RaceResults!$D:$D,E400))</f>
        <v>0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0</v>
      </c>
      <c r="F401">
        <f>IF(E401="","",SUMIFS(RaceResults!$C:$C,RaceResults!$A:$A,A401,RaceResults!$D:$D,E401))</f>
        <v>0</v>
      </c>
      <c r="G401">
        <f>IF(E401="","",SUMIFS(RaceResults!$E:$E,RaceResults!$A:$A,A401,RaceResults!$D:$D,E401))</f>
        <v>0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0</v>
      </c>
      <c r="F402">
        <f>IF(E402="","",SUMIFS(RaceResults!$C:$C,RaceResults!$A:$A,A402,RaceResults!$D:$D,E402))</f>
        <v>0</v>
      </c>
      <c r="G402">
        <f>IF(E402="","",SUMIFS(RaceResults!$E:$E,RaceResults!$A:$A,A402,RaceResults!$D:$D,E402))</f>
        <v>0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0</v>
      </c>
      <c r="F403">
        <f>IF(E403="","",SUMIFS(RaceResults!$C:$C,RaceResults!$A:$A,A403,RaceResults!$D:$D,E403))</f>
        <v>0</v>
      </c>
      <c r="G403">
        <f>IF(E403="","",SUMIFS(RaceResults!$E:$E,RaceResults!$A:$A,A403,RaceResults!$D:$D,E403))</f>
        <v>0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0</v>
      </c>
      <c r="F404">
        <f>IF(E404="","",SUMIFS(RaceResults!$C:$C,RaceResults!$A:$A,A404,RaceResults!$D:$D,E404))</f>
        <v>0</v>
      </c>
      <c r="G404">
        <f>IF(E404="","",SUMIFS(RaceResults!$E:$E,RaceResults!$A:$A,A404,RaceResults!$D:$D,E404))</f>
        <v>0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0</v>
      </c>
      <c r="F405">
        <f>IF(E405="","",SUMIFS(RaceResults!$C:$C,RaceResults!$A:$A,A405,RaceResults!$D:$D,E405))</f>
        <v>0</v>
      </c>
      <c r="G405">
        <f>IF(E405="","",SUMIFS(RaceResults!$E:$E,RaceResults!$A:$A,A405,RaceResults!$D:$D,E405))</f>
        <v>0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0</v>
      </c>
      <c r="F406">
        <f>IF(E406="","",SUMIFS(RaceResults!$C:$C,RaceResults!$A:$A,A406,RaceResults!$D:$D,E406))</f>
        <v>0</v>
      </c>
      <c r="G406">
        <f>IF(E406="","",SUMIFS(RaceResults!$E:$E,RaceResults!$A:$A,A406,RaceResults!$D:$D,E406))</f>
        <v>0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0</v>
      </c>
      <c r="F407">
        <f>IF(E407="","",SUMIFS(RaceResults!$C:$C,RaceResults!$A:$A,A407,RaceResults!$D:$D,E407))</f>
        <v>0</v>
      </c>
      <c r="G407">
        <f>IF(E407="","",SUMIFS(RaceResults!$E:$E,RaceResults!$A:$A,A407,RaceResults!$D:$D,E407))</f>
        <v>0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0</v>
      </c>
      <c r="F408">
        <f>IF(E408="","",SUMIFS(RaceResults!$C:$C,RaceResults!$A:$A,A408,RaceResults!$D:$D,E408))</f>
        <v>0</v>
      </c>
      <c r="G408">
        <f>IF(E408="","",SUMIFS(RaceResults!$E:$E,RaceResults!$A:$A,A408,RaceResults!$D:$D,E408))</f>
        <v>0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0</v>
      </c>
      <c r="F409">
        <f>IF(E409="","",SUMIFS(RaceResults!$C:$C,RaceResults!$A:$A,A409,RaceResults!$D:$D,E409))</f>
        <v>0</v>
      </c>
      <c r="G409">
        <f>IF(E409="","",SUMIFS(RaceResults!$E:$E,RaceResults!$A:$A,A409,RaceResults!$D:$D,E409))</f>
        <v>0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0</v>
      </c>
      <c r="F416">
        <f>IF(E416="","",SUMIFS(RaceResults!$C:$C,RaceResults!$A:$A,A416,RaceResults!$D:$D,E416))</f>
        <v>0</v>
      </c>
      <c r="G416">
        <f>IF(E416="","",SUMIFS(RaceResults!$E:$E,RaceResults!$A:$A,A416,RaceResults!$D:$D,E416))</f>
        <v>0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0</v>
      </c>
      <c r="F417">
        <f>IF(E417="","",SUMIFS(RaceResults!$C:$C,RaceResults!$A:$A,A417,RaceResults!$D:$D,E417))</f>
        <v>0</v>
      </c>
      <c r="G417">
        <f>IF(E417="","",SUMIFS(RaceResults!$E:$E,RaceResults!$A:$A,A417,RaceResults!$D:$D,E417))</f>
        <v>0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0</v>
      </c>
      <c r="F418">
        <f>IF(E418="","",SUMIFS(RaceResults!$C:$C,RaceResults!$A:$A,A418,RaceResults!$D:$D,E418))</f>
        <v>0</v>
      </c>
      <c r="G418">
        <f>IF(E418="","",SUMIFS(RaceResults!$E:$E,RaceResults!$A:$A,A418,RaceResults!$D:$D,E418))</f>
        <v>0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0</v>
      </c>
      <c r="F419">
        <f>IF(E419="","",SUMIFS(RaceResults!$C:$C,RaceResults!$A:$A,A419,RaceResults!$D:$D,E419))</f>
        <v>0</v>
      </c>
      <c r="G419">
        <f>IF(E419="","",SUMIFS(RaceResults!$E:$E,RaceResults!$A:$A,A419,RaceResults!$D:$D,E419))</f>
        <v>0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0</v>
      </c>
      <c r="F420">
        <f>IF(E420="","",SUMIFS(RaceResults!$C:$C,RaceResults!$A:$A,A420,RaceResults!$D:$D,E420))</f>
        <v>0</v>
      </c>
      <c r="G420">
        <f>IF(E420="","",SUMIFS(RaceResults!$E:$E,RaceResults!$A:$A,A420,RaceResults!$D:$D,E420))</f>
        <v>0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0</v>
      </c>
      <c r="F421">
        <f>IF(E421="","",SUMIFS(RaceResults!$C:$C,RaceResults!$A:$A,A421,RaceResults!$D:$D,E421))</f>
        <v>0</v>
      </c>
      <c r="G421">
        <f>IF(E421="","",SUMIFS(RaceResults!$E:$E,RaceResults!$A:$A,A421,RaceResults!$D:$D,E421))</f>
        <v>0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2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3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8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3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1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1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5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1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1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2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4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3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6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1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2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1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4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3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8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1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4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5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1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1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2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5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5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1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1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1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4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2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2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4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4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0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0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0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0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0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0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0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0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0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0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0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0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0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0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0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0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0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0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0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0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0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0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0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0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0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0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0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0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0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0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0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0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0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0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0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0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0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0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0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0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0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0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0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0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0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7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1</v>
      </c>
      <c r="C2">
        <f>SUMIF(Calc!$E$2:$E$1081,A2,Calc!$G$2:$G$1081)</f>
        <v>9</v>
      </c>
      <c r="D2">
        <f>IF(B2=0,"",AVERAGEIF(Calc!$E$2:$E$1081,A2,Calc!$F$2:$F$1081))</f>
        <v>28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1</v>
      </c>
      <c r="C3">
        <f>SUMIF(Calc!$E$2:$E$1081,A3,Calc!$G$2:$G$1081)</f>
        <v>3</v>
      </c>
      <c r="D3">
        <f>IF(B3=0,"",AVERAGEIF(Calc!$E$2:$E$1081,A3,Calc!$F$2:$F$1081))</f>
        <v>34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29</v>
      </c>
      <c r="C6">
        <f>SUMIF(Calc!$E$2:$E$1081,A6,Calc!$G$2:$G$1081)</f>
        <v>680</v>
      </c>
      <c r="D6">
        <f>IF(B6=0,"",AVERAGEIF(Calc!$E$2:$E$1081,A6,Calc!$F$2:$F$1081))</f>
        <v>7.1724137931034484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1</v>
      </c>
      <c r="C7">
        <f>SUMIF(Calc!$E$2:$E$1081,A7,Calc!$G$2:$G$1081)</f>
        <v>0</v>
      </c>
      <c r="D7">
        <f>IF(B7=0,"",AVERAGEIF(Calc!$E$2:$E$1081,A7,Calc!$F$2:$F$1081))</f>
        <v>0</v>
      </c>
      <c r="E7" t="e">
        <f ca="1">IF(B7=0,"",_xludf.minifs(Calc!$F$2:$F$1081,Calc!$E$2:$E$1081,A7))</f>
        <v>#NAME?</v>
      </c>
    </row>
    <row r="8" spans="1:5" x14ac:dyDescent="0.3">
      <c r="A8">
        <v>7</v>
      </c>
      <c r="B8">
        <f>COUNTIF(Calc!$E$2:$E$1081,A8)</f>
        <v>1</v>
      </c>
      <c r="C8">
        <f>SUMIF(Calc!$E$2:$E$1081,A8,Calc!$G$2:$G$1081)</f>
        <v>7</v>
      </c>
      <c r="D8">
        <f>IF(B8=0,"",AVERAGEIF(Calc!$E$2:$E$1081,A8,Calc!$F$2:$F$1081))</f>
        <v>30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0</v>
      </c>
      <c r="C9">
        <f>SUMIF(Calc!$E$2:$E$1081,A9,Calc!$G$2:$G$1081)</f>
        <v>0</v>
      </c>
      <c r="D9" t="str">
        <f>IF(B9=0,"",AVERAGEIF(Calc!$E$2:$E$1081,A9,Calc!$F$2:$F$1081))</f>
        <v/>
      </c>
      <c r="E9" t="str">
        <f>IF(B9=0,"",_xludf.minifs(Calc!$F$2:$F$1081,Calc!$E$2:$E$1081,A9))</f>
        <v/>
      </c>
    </row>
    <row r="10" spans="1:5" x14ac:dyDescent="0.3">
      <c r="A10">
        <v>9</v>
      </c>
      <c r="B10">
        <f>COUNTIF(Calc!$E$2:$E$1081,A10)</f>
        <v>8</v>
      </c>
      <c r="C10">
        <f>SUMIF(Calc!$E$2:$E$1081,A10,Calc!$G$2:$G$1081)</f>
        <v>281</v>
      </c>
      <c r="D10">
        <f>IF(B10=0,"",AVERAGEIF(Calc!$E$2:$E$1081,A10,Calc!$F$2:$F$1081))</f>
        <v>4.375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30</v>
      </c>
      <c r="C12">
        <f>SUMIF(Calc!$E$2:$E$1081,A12,Calc!$G$2:$G$1081)</f>
        <v>984</v>
      </c>
      <c r="D12">
        <f>IF(B12=0,"",AVERAGEIF(Calc!$E$2:$E$1081,A12,Calc!$F$2:$F$1081))</f>
        <v>5.5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27</v>
      </c>
      <c r="C13">
        <f>SUMIF(Calc!$E$2:$E$1081,A13,Calc!$G$2:$G$1081)</f>
        <v>706</v>
      </c>
      <c r="D13">
        <f>IF(B13=0,"",AVERAGEIF(Calc!$E$2:$E$1081,A13,Calc!$F$2:$F$1081))</f>
        <v>7.4814814814814818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2</v>
      </c>
      <c r="C18">
        <f>SUMIF(Calc!$E$2:$E$1081,A18,Calc!$G$2:$G$1081)</f>
        <v>52</v>
      </c>
      <c r="D18">
        <f>IF(B18=0,"",AVERAGEIF(Calc!$E$2:$E$1081,A18,Calc!$F$2:$F$1081))</f>
        <v>11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3</v>
      </c>
      <c r="C20">
        <f>SUMIF(Calc!$E$2:$E$1081,A20,Calc!$G$2:$G$1081)</f>
        <v>3</v>
      </c>
      <c r="D20">
        <f>IF(B20=0,"",AVERAGEIF(Calc!$E$2:$E$1081,A20,Calc!$F$2:$F$1081))</f>
        <v>37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9</v>
      </c>
      <c r="C21">
        <f>SUMIF(Calc!$E$2:$E$1081,A21,Calc!$G$2:$G$1081)</f>
        <v>234</v>
      </c>
      <c r="D21">
        <f>IF(B21=0,"",AVERAGEIF(Calc!$E$2:$E$1081,A21,Calc!$F$2:$F$1081))</f>
        <v>11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5</v>
      </c>
      <c r="C23">
        <f>SUMIF(Calc!$E$2:$E$1081,A23,Calc!$G$2:$G$1081)</f>
        <v>40</v>
      </c>
      <c r="D23">
        <f>IF(B23=0,"",AVERAGEIF(Calc!$E$2:$E$1081,A23,Calc!$F$2:$F$1081))</f>
        <v>14.2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6</v>
      </c>
      <c r="C24">
        <f>SUMIF(Calc!$E$2:$E$1081,A24,Calc!$G$2:$G$1081)</f>
        <v>85</v>
      </c>
      <c r="D24">
        <f>IF(B24=0,"",AVERAGEIF(Calc!$E$2:$E$1081,A24,Calc!$F$2:$F$1081))</f>
        <v>10.5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14</v>
      </c>
      <c r="C25">
        <f>SUMIF(Calc!$E$2:$E$1081,A25,Calc!$G$2:$G$1081)</f>
        <v>307</v>
      </c>
      <c r="D25">
        <f>IF(B25=0,"",AVERAGEIF(Calc!$E$2:$E$1081,A25,Calc!$F$2:$F$1081))</f>
        <v>4.5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22</v>
      </c>
      <c r="C46">
        <f>SUMIF(Calc!$E$2:$E$1081,A46,Calc!$G$2:$G$1081)</f>
        <v>724</v>
      </c>
      <c r="D46">
        <f>IF(B46=0,"",AVERAGEIF(Calc!$E$2:$E$1081,A46,Calc!$F$2:$F$1081))</f>
        <v>4.2727272727272725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0</v>
      </c>
      <c r="C49">
        <f>SUMIF(Calc!$E$2:$E$1081,A49,Calc!$G$2:$G$1081)</f>
        <v>0</v>
      </c>
      <c r="D49" t="str">
        <f>IF(B49=0,"",AVERAGEIF(Calc!$E$2:$E$1081,A49,Calc!$F$2:$F$1081))</f>
        <v/>
      </c>
      <c r="E49" t="str">
        <f>IF(B49=0,"",_xludf.minifs(Calc!$F$2:$F$1081,Calc!$E$2:$E$1081,A49))</f>
        <v/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9</v>
      </c>
      <c r="C55">
        <f>SUMIF(Calc!$E$2:$E$1081,A55,Calc!$G$2:$G$1081)</f>
        <v>336</v>
      </c>
      <c r="D55">
        <f>IF(B55=0,"",AVERAGEIF(Calc!$E$2:$E$1081,A55,Calc!$F$2:$F$1081))</f>
        <v>6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1</v>
      </c>
      <c r="C78">
        <f>SUMIF(Calc!$E$2:$E$1081,A78,Calc!$G$2:$G$1081)</f>
        <v>20</v>
      </c>
      <c r="D78">
        <f>IF(B78=0,"",AVERAGEIF(Calc!$E$2:$E$1081,A78,Calc!$F$2:$F$1081))</f>
        <v>17</v>
      </c>
      <c r="E78" t="e">
        <f ca="1">IF(B78=0,"",_xludf.minifs(Calc!$F$2:$F$1081,Calc!$E$2:$E$1081,A78))</f>
        <v>#NAME?</v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4</v>
      </c>
      <c r="C98">
        <f>SUMIF(Calc!$E$2:$E$1081,A98,Calc!$G$2:$G$1081)</f>
        <v>122</v>
      </c>
      <c r="D98">
        <f>IF(B98=0,"",AVERAGEIF(Calc!$E$2:$E$1081,A98,Calc!$F$2:$F$1081))</f>
        <v>6.5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14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19" t="s">
        <v>142</v>
      </c>
      <c r="B1" s="19"/>
      <c r="C1" s="19"/>
      <c r="D1" s="19"/>
      <c r="E1" s="19"/>
      <c r="F1" s="19"/>
      <c r="G1" s="19"/>
      <c r="I1" s="20" t="s">
        <v>143</v>
      </c>
      <c r="J1" s="20"/>
      <c r="K1" s="20"/>
      <c r="L1" s="20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1</v>
      </c>
      <c r="B4" t="s">
        <v>21</v>
      </c>
      <c r="C4">
        <f>SUMIF(WeeklyPicks!$C:$C,B4,WeeklyPicks!$M:$M)</f>
        <v>678</v>
      </c>
      <c r="D4">
        <f>COUNTIF(RaceSummary!$C:$C,B4)</f>
        <v>2</v>
      </c>
      <c r="E4">
        <f>IF(COUNTIF(WeeklyPicks!$C:$C,B4)=0,"",AVERAGEIF(WeeklyPicks!$C:$C,B4,WeeklyPicks!$M:$M))</f>
        <v>18.833333333333332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3</v>
      </c>
      <c r="B5" t="s">
        <v>22</v>
      </c>
      <c r="C5">
        <f>SUMIF(WeeklyPicks!$C:$C,B5,WeeklyPicks!$M:$M)</f>
        <v>639</v>
      </c>
      <c r="D5">
        <f>COUNTIF(RaceSummary!$C:$C,B5)</f>
        <v>1</v>
      </c>
      <c r="E5">
        <f>IF(COUNTIF(WeeklyPicks!$C:$C,B5)=0,"",AVERAGEIF(WeeklyPicks!$C:$C,B5,WeeklyPicks!$M:$M))</f>
        <v>17.75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4</v>
      </c>
      <c r="B6" t="s">
        <v>25</v>
      </c>
      <c r="C6">
        <f>SUMIF(WeeklyPicks!$C:$C,B6,WeeklyPicks!$M:$M)</f>
        <v>589</v>
      </c>
      <c r="D6">
        <f>COUNTIF(RaceSummary!$C:$C,B6)</f>
        <v>1</v>
      </c>
      <c r="E6">
        <f>IF(COUNTIF(WeeklyPicks!$C:$C,B6)=0,"",AVERAGEIF(WeeklyPicks!$C:$C,B6,WeeklyPicks!$M:$M))</f>
        <v>16.361111111111111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2</v>
      </c>
      <c r="B7" t="s">
        <v>26</v>
      </c>
      <c r="C7">
        <f>SUMIF(WeeklyPicks!$C:$C,B7,WeeklyPicks!$M:$M)</f>
        <v>662</v>
      </c>
      <c r="D7">
        <f>COUNTIF(RaceSummary!$C:$C,B7)</f>
        <v>1</v>
      </c>
      <c r="E7">
        <f>IF(COUNTIF(WeeklyPicks!$C:$C,B7)=0,"",AVERAGEIF(WeeklyPicks!$C:$C,B7,WeeklyPicks!$M:$M))</f>
        <v>18.388888888888889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5</v>
      </c>
      <c r="B8" t="s">
        <v>27</v>
      </c>
      <c r="C8">
        <f>SUMIF(WeeklyPicks!$C:$C,B8,WeeklyPicks!$M:$M)</f>
        <v>534</v>
      </c>
      <c r="D8">
        <f>COUNTIF(RaceSummary!$C:$C,B8)</f>
        <v>1</v>
      </c>
      <c r="E8">
        <f>IF(COUNTIF(WeeklyPicks!$C:$C,B8)=0,"",AVERAGEIF(WeeklyPicks!$C:$C,B8,WeeklyPicks!$M:$M))</f>
        <v>14.833333333333334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6</v>
      </c>
      <c r="B9" t="s">
        <v>28</v>
      </c>
      <c r="C9">
        <f>SUMIF(WeeklyPicks!$C:$C,B9,WeeklyPicks!$M:$M)</f>
        <v>471</v>
      </c>
      <c r="D9">
        <f>COUNTIF(RaceSummary!$C:$C,B9)</f>
        <v>0</v>
      </c>
      <c r="E9">
        <f>IF(COUNTIF(WeeklyPicks!$C:$C,B9)=0,"",AVERAGEIF(WeeklyPicks!$C:$C,B9,WeeklyPicks!$M:$M))</f>
        <v>13.083333333333334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1">
        <f t="shared" si="0"/>
        <v>9</v>
      </c>
      <c r="B10" s="21" t="s">
        <v>29</v>
      </c>
      <c r="C10" s="21">
        <f>SUMIF(WeeklyPicks!$C:$C,B10,WeeklyPicks!$M:$M)</f>
        <v>209</v>
      </c>
      <c r="D10" s="21">
        <f>COUNTIF(RaceSummary!$C:$C,B10)</f>
        <v>0</v>
      </c>
      <c r="E10" s="21">
        <f>IF(COUNTIF(WeeklyPicks!$C:$C,B10)=0,"",AVERAGEIF(WeeklyPicks!$C:$C,B10,WeeklyPicks!$M:$M))</f>
        <v>5.8055555555555554</v>
      </c>
      <c r="F10" s="21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10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8</v>
      </c>
      <c r="B12" t="s">
        <v>31</v>
      </c>
      <c r="C12">
        <f>SUMIF(WeeklyPicks!$C:$C,B12,WeeklyPicks!$M:$M)</f>
        <v>357</v>
      </c>
      <c r="D12">
        <f>COUNTIF(RaceSummary!$C:$C,B12)</f>
        <v>0</v>
      </c>
      <c r="E12">
        <f>IF(COUNTIF(WeeklyPicks!$C:$C,B12)=0,"",AVERAGEIF(WeeklyPicks!$C:$C,B12,WeeklyPicks!$M:$M))</f>
        <v>9.9166666666666661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7</v>
      </c>
      <c r="B13" t="s">
        <v>32</v>
      </c>
      <c r="C13">
        <f>SUMIF(WeeklyPicks!$C:$C,B13,WeeklyPicks!$M:$M)</f>
        <v>459</v>
      </c>
      <c r="D13">
        <f>COUNTIF(RaceSummary!$C:$C,B13)</f>
        <v>1</v>
      </c>
      <c r="E13">
        <f>IF(COUNTIF(WeeklyPicks!$C:$C,B13)=0,"",AVERAGEIF(WeeklyPicks!$C:$C,B13,WeeklyPicks!$M:$M))</f>
        <v>12.75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370</v>
      </c>
      <c r="D22">
        <f>SUMIFS(WeeklyPicks!$M:$M,WeeklyPicks!$A:$A,"&lt;="&amp;$A22,WeeklyPicks!$C:$C,D$16)</f>
        <v>328</v>
      </c>
      <c r="E22">
        <f>SUMIFS(WeeklyPicks!$M:$M,WeeklyPicks!$A:$A,"&lt;="&amp;$A22,WeeklyPicks!$C:$C,E$16)</f>
        <v>277</v>
      </c>
      <c r="F22">
        <f>SUMIFS(WeeklyPicks!$M:$M,WeeklyPicks!$A:$A,"&lt;="&amp;$A22,WeeklyPicks!$C:$C,F$16)</f>
        <v>376</v>
      </c>
      <c r="G22">
        <f>SUMIFS(WeeklyPicks!$M:$M,WeeklyPicks!$A:$A,"&lt;="&amp;$A22,WeeklyPicks!$C:$C,G$16)</f>
        <v>263</v>
      </c>
      <c r="H22">
        <f>SUMIFS(WeeklyPicks!$M:$M,WeeklyPicks!$A:$A,"&lt;="&amp;$A22,WeeklyPicks!$C:$C,H$16)</f>
        <v>221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86</v>
      </c>
      <c r="L22">
        <f>SUMIFS(WeeklyPicks!$M:$M,WeeklyPicks!$A:$A,"&lt;="&amp;$A22,WeeklyPicks!$C:$C,L$16)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453</v>
      </c>
      <c r="D23">
        <f>SUMIFS(WeeklyPicks!$M:$M,WeeklyPicks!$A:$A,"&lt;="&amp;$A23,WeeklyPicks!$C:$C,D$16)</f>
        <v>421</v>
      </c>
      <c r="E23">
        <f>SUMIFS(WeeklyPicks!$M:$M,WeeklyPicks!$A:$A,"&lt;="&amp;$A23,WeeklyPicks!$C:$C,E$16)</f>
        <v>399</v>
      </c>
      <c r="F23">
        <f>SUMIFS(WeeklyPicks!$M:$M,WeeklyPicks!$A:$A,"&lt;="&amp;$A23,WeeklyPicks!$C:$C,F$16)</f>
        <v>468</v>
      </c>
      <c r="G23">
        <f>SUMIFS(WeeklyPicks!$M:$M,WeeklyPicks!$A:$A,"&lt;="&amp;$A23,WeeklyPicks!$C:$C,G$16)</f>
        <v>375</v>
      </c>
      <c r="H23">
        <f>SUMIFS(WeeklyPicks!$M:$M,WeeklyPicks!$A:$A,"&lt;="&amp;$A23,WeeklyPicks!$C:$C,H$16)</f>
        <v>317</v>
      </c>
      <c r="I23">
        <f>SUMIFS(WeeklyPicks!$M:$M,WeeklyPicks!$A:$A,"&lt;="&amp;$A23,WeeklyPicks!$C:$C,I$16)</f>
        <v>115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184</v>
      </c>
      <c r="L23">
        <f>SUMIFS(WeeklyPicks!$M:$M,WeeklyPicks!$A:$A,"&lt;="&amp;$A23,WeeklyPicks!$C:$C,L$16)</f>
        <v>262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555</v>
      </c>
      <c r="D24">
        <f>SUMIFS(WeeklyPicks!$M:$M,WeeklyPicks!$A:$A,"&lt;="&amp;$A24,WeeklyPicks!$C:$C,D$16)</f>
        <v>516</v>
      </c>
      <c r="E24">
        <f>SUMIFS(WeeklyPicks!$M:$M,WeeklyPicks!$A:$A,"&lt;="&amp;$A24,WeeklyPicks!$C:$C,E$16)</f>
        <v>513</v>
      </c>
      <c r="F24">
        <f>SUMIFS(WeeklyPicks!$M:$M,WeeklyPicks!$A:$A,"&lt;="&amp;$A24,WeeklyPicks!$C:$C,F$16)</f>
        <v>586</v>
      </c>
      <c r="G24">
        <f>SUMIFS(WeeklyPicks!$M:$M,WeeklyPicks!$A:$A,"&lt;="&amp;$A24,WeeklyPicks!$C:$C,G$16)</f>
        <v>449</v>
      </c>
      <c r="H24">
        <f>SUMIFS(WeeklyPicks!$M:$M,WeeklyPicks!$A:$A,"&lt;="&amp;$A24,WeeklyPicks!$C:$C,H$16)</f>
        <v>395</v>
      </c>
      <c r="I24">
        <f>SUMIFS(WeeklyPicks!$M:$M,WeeklyPicks!$A:$A,"&lt;="&amp;$A24,WeeklyPicks!$C:$C,I$16)</f>
        <v>115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281</v>
      </c>
      <c r="L24">
        <f>SUMIFS(WeeklyPicks!$M:$M,WeeklyPicks!$A:$A,"&lt;="&amp;$A24,WeeklyPicks!$C:$C,L$16)</f>
        <v>385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678</v>
      </c>
      <c r="D25">
        <f>SUMIFS(WeeklyPicks!$M:$M,WeeklyPicks!$A:$A,"&lt;="&amp;$A25,WeeklyPicks!$C:$C,D$16)</f>
        <v>639</v>
      </c>
      <c r="E25">
        <f>SUMIFS(WeeklyPicks!$M:$M,WeeklyPicks!$A:$A,"&lt;="&amp;$A25,WeeklyPicks!$C:$C,E$16)</f>
        <v>589</v>
      </c>
      <c r="F25">
        <f>SUMIFS(WeeklyPicks!$M:$M,WeeklyPicks!$A:$A,"&lt;="&amp;$A25,WeeklyPicks!$C:$C,F$16)</f>
        <v>662</v>
      </c>
      <c r="G25">
        <f>SUMIFS(WeeklyPicks!$M:$M,WeeklyPicks!$A:$A,"&lt;="&amp;$A25,WeeklyPicks!$C:$C,G$16)</f>
        <v>534</v>
      </c>
      <c r="H25">
        <f>SUMIFS(WeeklyPicks!$M:$M,WeeklyPicks!$A:$A,"&lt;="&amp;$A25,WeeklyPicks!$C:$C,H$16)</f>
        <v>471</v>
      </c>
      <c r="I25">
        <f>SUMIFS(WeeklyPicks!$M:$M,WeeklyPicks!$A:$A,"&lt;="&amp;$A25,WeeklyPicks!$C:$C,I$16)</f>
        <v>209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357</v>
      </c>
      <c r="L25">
        <f>SUMIFS(WeeklyPicks!$M:$M,WeeklyPicks!$A:$A,"&lt;="&amp;$A25,WeeklyPicks!$C:$C,L$16)</f>
        <v>459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678</v>
      </c>
      <c r="D26">
        <f>SUMIFS(WeeklyPicks!$M:$M,WeeklyPicks!$A:$A,"&lt;="&amp;$A26,WeeklyPicks!$C:$C,D$16)</f>
        <v>639</v>
      </c>
      <c r="E26">
        <f>SUMIFS(WeeklyPicks!$M:$M,WeeklyPicks!$A:$A,"&lt;="&amp;$A26,WeeklyPicks!$C:$C,E$16)</f>
        <v>589</v>
      </c>
      <c r="F26">
        <f>SUMIFS(WeeklyPicks!$M:$M,WeeklyPicks!$A:$A,"&lt;="&amp;$A26,WeeklyPicks!$C:$C,F$16)</f>
        <v>662</v>
      </c>
      <c r="G26">
        <f>SUMIFS(WeeklyPicks!$M:$M,WeeklyPicks!$A:$A,"&lt;="&amp;$A26,WeeklyPicks!$C:$C,G$16)</f>
        <v>534</v>
      </c>
      <c r="H26">
        <f>SUMIFS(WeeklyPicks!$M:$M,WeeklyPicks!$A:$A,"&lt;="&amp;$A26,WeeklyPicks!$C:$C,H$16)</f>
        <v>471</v>
      </c>
      <c r="I26">
        <f>SUMIFS(WeeklyPicks!$M:$M,WeeklyPicks!$A:$A,"&lt;="&amp;$A26,WeeklyPicks!$C:$C,I$16)</f>
        <v>209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357</v>
      </c>
      <c r="L26">
        <f>SUMIFS(WeeklyPicks!$M:$M,WeeklyPicks!$A:$A,"&lt;="&amp;$A26,WeeklyPicks!$C:$C,L$16)</f>
        <v>459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678</v>
      </c>
      <c r="D27">
        <f>SUMIFS(WeeklyPicks!$M:$M,WeeklyPicks!$A:$A,"&lt;="&amp;$A27,WeeklyPicks!$C:$C,D$16)</f>
        <v>639</v>
      </c>
      <c r="E27">
        <f>SUMIFS(WeeklyPicks!$M:$M,WeeklyPicks!$A:$A,"&lt;="&amp;$A27,WeeklyPicks!$C:$C,E$16)</f>
        <v>589</v>
      </c>
      <c r="F27">
        <f>SUMIFS(WeeklyPicks!$M:$M,WeeklyPicks!$A:$A,"&lt;="&amp;$A27,WeeklyPicks!$C:$C,F$16)</f>
        <v>662</v>
      </c>
      <c r="G27">
        <f>SUMIFS(WeeklyPicks!$M:$M,WeeklyPicks!$A:$A,"&lt;="&amp;$A27,WeeklyPicks!$C:$C,G$16)</f>
        <v>534</v>
      </c>
      <c r="H27">
        <f>SUMIFS(WeeklyPicks!$M:$M,WeeklyPicks!$A:$A,"&lt;="&amp;$A27,WeeklyPicks!$C:$C,H$16)</f>
        <v>471</v>
      </c>
      <c r="I27">
        <f>SUMIFS(WeeklyPicks!$M:$M,WeeklyPicks!$A:$A,"&lt;="&amp;$A27,WeeklyPicks!$C:$C,I$16)</f>
        <v>209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357</v>
      </c>
      <c r="L27">
        <f>SUMIFS(WeeklyPicks!$M:$M,WeeklyPicks!$A:$A,"&lt;="&amp;$A27,WeeklyPicks!$C:$C,L$16)</f>
        <v>459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678</v>
      </c>
      <c r="D28">
        <f>SUMIFS(WeeklyPicks!$M:$M,WeeklyPicks!$A:$A,"&lt;="&amp;$A28,WeeklyPicks!$C:$C,D$16)</f>
        <v>639</v>
      </c>
      <c r="E28">
        <f>SUMIFS(WeeklyPicks!$M:$M,WeeklyPicks!$A:$A,"&lt;="&amp;$A28,WeeklyPicks!$C:$C,E$16)</f>
        <v>589</v>
      </c>
      <c r="F28">
        <f>SUMIFS(WeeklyPicks!$M:$M,WeeklyPicks!$A:$A,"&lt;="&amp;$A28,WeeklyPicks!$C:$C,F$16)</f>
        <v>662</v>
      </c>
      <c r="G28">
        <f>SUMIFS(WeeklyPicks!$M:$M,WeeklyPicks!$A:$A,"&lt;="&amp;$A28,WeeklyPicks!$C:$C,G$16)</f>
        <v>534</v>
      </c>
      <c r="H28">
        <f>SUMIFS(WeeklyPicks!$M:$M,WeeklyPicks!$A:$A,"&lt;="&amp;$A28,WeeklyPicks!$C:$C,H$16)</f>
        <v>471</v>
      </c>
      <c r="I28">
        <f>SUMIFS(WeeklyPicks!$M:$M,WeeklyPicks!$A:$A,"&lt;="&amp;$A28,WeeklyPicks!$C:$C,I$16)</f>
        <v>209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357</v>
      </c>
      <c r="L28">
        <f>SUMIFS(WeeklyPicks!$M:$M,WeeklyPicks!$A:$A,"&lt;="&amp;$A28,WeeklyPicks!$C:$C,L$16)</f>
        <v>459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678</v>
      </c>
      <c r="D29">
        <f>SUMIFS(WeeklyPicks!$M:$M,WeeklyPicks!$A:$A,"&lt;="&amp;$A29,WeeklyPicks!$C:$C,D$16)</f>
        <v>639</v>
      </c>
      <c r="E29">
        <f>SUMIFS(WeeklyPicks!$M:$M,WeeklyPicks!$A:$A,"&lt;="&amp;$A29,WeeklyPicks!$C:$C,E$16)</f>
        <v>589</v>
      </c>
      <c r="F29">
        <f>SUMIFS(WeeklyPicks!$M:$M,WeeklyPicks!$A:$A,"&lt;="&amp;$A29,WeeklyPicks!$C:$C,F$16)</f>
        <v>662</v>
      </c>
      <c r="G29">
        <f>SUMIFS(WeeklyPicks!$M:$M,WeeklyPicks!$A:$A,"&lt;="&amp;$A29,WeeklyPicks!$C:$C,G$16)</f>
        <v>534</v>
      </c>
      <c r="H29">
        <f>SUMIFS(WeeklyPicks!$M:$M,WeeklyPicks!$A:$A,"&lt;="&amp;$A29,WeeklyPicks!$C:$C,H$16)</f>
        <v>471</v>
      </c>
      <c r="I29">
        <f>SUMIFS(WeeklyPicks!$M:$M,WeeklyPicks!$A:$A,"&lt;="&amp;$A29,WeeklyPicks!$C:$C,I$16)</f>
        <v>209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357</v>
      </c>
      <c r="L29">
        <f>SUMIFS(WeeklyPicks!$M:$M,WeeklyPicks!$A:$A,"&lt;="&amp;$A29,WeeklyPicks!$C:$C,L$16)</f>
        <v>459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678</v>
      </c>
      <c r="D30">
        <f>SUMIFS(WeeklyPicks!$M:$M,WeeklyPicks!$A:$A,"&lt;="&amp;$A30,WeeklyPicks!$C:$C,D$16)</f>
        <v>639</v>
      </c>
      <c r="E30">
        <f>SUMIFS(WeeklyPicks!$M:$M,WeeklyPicks!$A:$A,"&lt;="&amp;$A30,WeeklyPicks!$C:$C,E$16)</f>
        <v>589</v>
      </c>
      <c r="F30">
        <f>SUMIFS(WeeklyPicks!$M:$M,WeeklyPicks!$A:$A,"&lt;="&amp;$A30,WeeklyPicks!$C:$C,F$16)</f>
        <v>662</v>
      </c>
      <c r="G30">
        <f>SUMIFS(WeeklyPicks!$M:$M,WeeklyPicks!$A:$A,"&lt;="&amp;$A30,WeeklyPicks!$C:$C,G$16)</f>
        <v>534</v>
      </c>
      <c r="H30">
        <f>SUMIFS(WeeklyPicks!$M:$M,WeeklyPicks!$A:$A,"&lt;="&amp;$A30,WeeklyPicks!$C:$C,H$16)</f>
        <v>471</v>
      </c>
      <c r="I30">
        <f>SUMIFS(WeeklyPicks!$M:$M,WeeklyPicks!$A:$A,"&lt;="&amp;$A30,WeeklyPicks!$C:$C,I$16)</f>
        <v>209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357</v>
      </c>
      <c r="L30">
        <f>SUMIFS(WeeklyPicks!$M:$M,WeeklyPicks!$A:$A,"&lt;="&amp;$A30,WeeklyPicks!$C:$C,L$16)</f>
        <v>459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678</v>
      </c>
      <c r="D31">
        <f>SUMIFS(WeeklyPicks!$M:$M,WeeklyPicks!$A:$A,"&lt;="&amp;$A31,WeeklyPicks!$C:$C,D$16)</f>
        <v>639</v>
      </c>
      <c r="E31">
        <f>SUMIFS(WeeklyPicks!$M:$M,WeeklyPicks!$A:$A,"&lt;="&amp;$A31,WeeklyPicks!$C:$C,E$16)</f>
        <v>589</v>
      </c>
      <c r="F31">
        <f>SUMIFS(WeeklyPicks!$M:$M,WeeklyPicks!$A:$A,"&lt;="&amp;$A31,WeeklyPicks!$C:$C,F$16)</f>
        <v>662</v>
      </c>
      <c r="G31">
        <f>SUMIFS(WeeklyPicks!$M:$M,WeeklyPicks!$A:$A,"&lt;="&amp;$A31,WeeklyPicks!$C:$C,G$16)</f>
        <v>534</v>
      </c>
      <c r="H31">
        <f>SUMIFS(WeeklyPicks!$M:$M,WeeklyPicks!$A:$A,"&lt;="&amp;$A31,WeeklyPicks!$C:$C,H$16)</f>
        <v>471</v>
      </c>
      <c r="I31">
        <f>SUMIFS(WeeklyPicks!$M:$M,WeeklyPicks!$A:$A,"&lt;="&amp;$A31,WeeklyPicks!$C:$C,I$16)</f>
        <v>209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357</v>
      </c>
      <c r="L31">
        <f>SUMIFS(WeeklyPicks!$M:$M,WeeklyPicks!$A:$A,"&lt;="&amp;$A31,WeeklyPicks!$C:$C,L$16)</f>
        <v>459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678</v>
      </c>
      <c r="D32">
        <f>SUMIFS(WeeklyPicks!$M:$M,WeeklyPicks!$A:$A,"&lt;="&amp;$A32,WeeklyPicks!$C:$C,D$16)</f>
        <v>639</v>
      </c>
      <c r="E32">
        <f>SUMIFS(WeeklyPicks!$M:$M,WeeklyPicks!$A:$A,"&lt;="&amp;$A32,WeeklyPicks!$C:$C,E$16)</f>
        <v>589</v>
      </c>
      <c r="F32">
        <f>SUMIFS(WeeklyPicks!$M:$M,WeeklyPicks!$A:$A,"&lt;="&amp;$A32,WeeklyPicks!$C:$C,F$16)</f>
        <v>662</v>
      </c>
      <c r="G32">
        <f>SUMIFS(WeeklyPicks!$M:$M,WeeklyPicks!$A:$A,"&lt;="&amp;$A32,WeeklyPicks!$C:$C,G$16)</f>
        <v>534</v>
      </c>
      <c r="H32">
        <f>SUMIFS(WeeklyPicks!$M:$M,WeeklyPicks!$A:$A,"&lt;="&amp;$A32,WeeklyPicks!$C:$C,H$16)</f>
        <v>471</v>
      </c>
      <c r="I32">
        <f>SUMIFS(WeeklyPicks!$M:$M,WeeklyPicks!$A:$A,"&lt;="&amp;$A32,WeeklyPicks!$C:$C,I$16)</f>
        <v>209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357</v>
      </c>
      <c r="L32">
        <f>SUMIFS(WeeklyPicks!$M:$M,WeeklyPicks!$A:$A,"&lt;="&amp;$A32,WeeklyPicks!$C:$C,L$16)</f>
        <v>459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678</v>
      </c>
      <c r="D33">
        <f>SUMIFS(WeeklyPicks!$M:$M,WeeklyPicks!$A:$A,"&lt;="&amp;$A33,WeeklyPicks!$C:$C,D$16)</f>
        <v>639</v>
      </c>
      <c r="E33">
        <f>SUMIFS(WeeklyPicks!$M:$M,WeeklyPicks!$A:$A,"&lt;="&amp;$A33,WeeklyPicks!$C:$C,E$16)</f>
        <v>589</v>
      </c>
      <c r="F33">
        <f>SUMIFS(WeeklyPicks!$M:$M,WeeklyPicks!$A:$A,"&lt;="&amp;$A33,WeeklyPicks!$C:$C,F$16)</f>
        <v>662</v>
      </c>
      <c r="G33">
        <f>SUMIFS(WeeklyPicks!$M:$M,WeeklyPicks!$A:$A,"&lt;="&amp;$A33,WeeklyPicks!$C:$C,G$16)</f>
        <v>534</v>
      </c>
      <c r="H33">
        <f>SUMIFS(WeeklyPicks!$M:$M,WeeklyPicks!$A:$A,"&lt;="&amp;$A33,WeeklyPicks!$C:$C,H$16)</f>
        <v>471</v>
      </c>
      <c r="I33">
        <f>SUMIFS(WeeklyPicks!$M:$M,WeeklyPicks!$A:$A,"&lt;="&amp;$A33,WeeklyPicks!$C:$C,I$16)</f>
        <v>209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357</v>
      </c>
      <c r="L33">
        <f>SUMIFS(WeeklyPicks!$M:$M,WeeklyPicks!$A:$A,"&lt;="&amp;$A33,WeeklyPicks!$C:$C,L$16)</f>
        <v>459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678</v>
      </c>
      <c r="D34">
        <f>SUMIFS(WeeklyPicks!$M:$M,WeeklyPicks!$A:$A,"&lt;="&amp;$A34,WeeklyPicks!$C:$C,D$16)</f>
        <v>639</v>
      </c>
      <c r="E34">
        <f>SUMIFS(WeeklyPicks!$M:$M,WeeklyPicks!$A:$A,"&lt;="&amp;$A34,WeeklyPicks!$C:$C,E$16)</f>
        <v>589</v>
      </c>
      <c r="F34">
        <f>SUMIFS(WeeklyPicks!$M:$M,WeeklyPicks!$A:$A,"&lt;="&amp;$A34,WeeklyPicks!$C:$C,F$16)</f>
        <v>662</v>
      </c>
      <c r="G34">
        <f>SUMIFS(WeeklyPicks!$M:$M,WeeklyPicks!$A:$A,"&lt;="&amp;$A34,WeeklyPicks!$C:$C,G$16)</f>
        <v>534</v>
      </c>
      <c r="H34">
        <f>SUMIFS(WeeklyPicks!$M:$M,WeeklyPicks!$A:$A,"&lt;="&amp;$A34,WeeklyPicks!$C:$C,H$16)</f>
        <v>471</v>
      </c>
      <c r="I34">
        <f>SUMIFS(WeeklyPicks!$M:$M,WeeklyPicks!$A:$A,"&lt;="&amp;$A34,WeeklyPicks!$C:$C,I$16)</f>
        <v>209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357</v>
      </c>
      <c r="L34">
        <f>SUMIFS(WeeklyPicks!$M:$M,WeeklyPicks!$A:$A,"&lt;="&amp;$A34,WeeklyPicks!$C:$C,L$16)</f>
        <v>459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678</v>
      </c>
      <c r="D35">
        <f>SUMIFS(WeeklyPicks!$M:$M,WeeklyPicks!$A:$A,"&lt;="&amp;$A35,WeeklyPicks!$C:$C,D$16)</f>
        <v>639</v>
      </c>
      <c r="E35">
        <f>SUMIFS(WeeklyPicks!$M:$M,WeeklyPicks!$A:$A,"&lt;="&amp;$A35,WeeklyPicks!$C:$C,E$16)</f>
        <v>589</v>
      </c>
      <c r="F35">
        <f>SUMIFS(WeeklyPicks!$M:$M,WeeklyPicks!$A:$A,"&lt;="&amp;$A35,WeeklyPicks!$C:$C,F$16)</f>
        <v>662</v>
      </c>
      <c r="G35">
        <f>SUMIFS(WeeklyPicks!$M:$M,WeeklyPicks!$A:$A,"&lt;="&amp;$A35,WeeklyPicks!$C:$C,G$16)</f>
        <v>534</v>
      </c>
      <c r="H35">
        <f>SUMIFS(WeeklyPicks!$M:$M,WeeklyPicks!$A:$A,"&lt;="&amp;$A35,WeeklyPicks!$C:$C,H$16)</f>
        <v>471</v>
      </c>
      <c r="I35">
        <f>SUMIFS(WeeklyPicks!$M:$M,WeeklyPicks!$A:$A,"&lt;="&amp;$A35,WeeklyPicks!$C:$C,I$16)</f>
        <v>209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357</v>
      </c>
      <c r="L35">
        <f>SUMIFS(WeeklyPicks!$M:$M,WeeklyPicks!$A:$A,"&lt;="&amp;$A35,WeeklyPicks!$C:$C,L$16)</f>
        <v>459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678</v>
      </c>
      <c r="D36">
        <f>SUMIFS(WeeklyPicks!$M:$M,WeeklyPicks!$A:$A,"&lt;="&amp;$A36,WeeklyPicks!$C:$C,D$16)</f>
        <v>639</v>
      </c>
      <c r="E36">
        <f>SUMIFS(WeeklyPicks!$M:$M,WeeklyPicks!$A:$A,"&lt;="&amp;$A36,WeeklyPicks!$C:$C,E$16)</f>
        <v>589</v>
      </c>
      <c r="F36">
        <f>SUMIFS(WeeklyPicks!$M:$M,WeeklyPicks!$A:$A,"&lt;="&amp;$A36,WeeklyPicks!$C:$C,F$16)</f>
        <v>662</v>
      </c>
      <c r="G36">
        <f>SUMIFS(WeeklyPicks!$M:$M,WeeklyPicks!$A:$A,"&lt;="&amp;$A36,WeeklyPicks!$C:$C,G$16)</f>
        <v>534</v>
      </c>
      <c r="H36">
        <f>SUMIFS(WeeklyPicks!$M:$M,WeeklyPicks!$A:$A,"&lt;="&amp;$A36,WeeklyPicks!$C:$C,H$16)</f>
        <v>471</v>
      </c>
      <c r="I36">
        <f>SUMIFS(WeeklyPicks!$M:$M,WeeklyPicks!$A:$A,"&lt;="&amp;$A36,WeeklyPicks!$C:$C,I$16)</f>
        <v>209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357</v>
      </c>
      <c r="L36">
        <f>SUMIFS(WeeklyPicks!$M:$M,WeeklyPicks!$A:$A,"&lt;="&amp;$A36,WeeklyPicks!$C:$C,L$16)</f>
        <v>459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678</v>
      </c>
      <c r="D37">
        <f>SUMIFS(WeeklyPicks!$M:$M,WeeklyPicks!$A:$A,"&lt;="&amp;$A37,WeeklyPicks!$C:$C,D$16)</f>
        <v>639</v>
      </c>
      <c r="E37">
        <f>SUMIFS(WeeklyPicks!$M:$M,WeeklyPicks!$A:$A,"&lt;="&amp;$A37,WeeklyPicks!$C:$C,E$16)</f>
        <v>589</v>
      </c>
      <c r="F37">
        <f>SUMIFS(WeeklyPicks!$M:$M,WeeklyPicks!$A:$A,"&lt;="&amp;$A37,WeeklyPicks!$C:$C,F$16)</f>
        <v>662</v>
      </c>
      <c r="G37">
        <f>SUMIFS(WeeklyPicks!$M:$M,WeeklyPicks!$A:$A,"&lt;="&amp;$A37,WeeklyPicks!$C:$C,G$16)</f>
        <v>534</v>
      </c>
      <c r="H37">
        <f>SUMIFS(WeeklyPicks!$M:$M,WeeklyPicks!$A:$A,"&lt;="&amp;$A37,WeeklyPicks!$C:$C,H$16)</f>
        <v>471</v>
      </c>
      <c r="I37">
        <f>SUMIFS(WeeklyPicks!$M:$M,WeeklyPicks!$A:$A,"&lt;="&amp;$A37,WeeklyPicks!$C:$C,I$16)</f>
        <v>209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357</v>
      </c>
      <c r="L37">
        <f>SUMIFS(WeeklyPicks!$M:$M,WeeklyPicks!$A:$A,"&lt;="&amp;$A37,WeeklyPicks!$C:$C,L$16)</f>
        <v>459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678</v>
      </c>
      <c r="D38">
        <f>SUMIFS(WeeklyPicks!$M:$M,WeeklyPicks!$A:$A,"&lt;="&amp;$A38,WeeklyPicks!$C:$C,D$16)</f>
        <v>639</v>
      </c>
      <c r="E38">
        <f>SUMIFS(WeeklyPicks!$M:$M,WeeklyPicks!$A:$A,"&lt;="&amp;$A38,WeeklyPicks!$C:$C,E$16)</f>
        <v>589</v>
      </c>
      <c r="F38">
        <f>SUMIFS(WeeklyPicks!$M:$M,WeeklyPicks!$A:$A,"&lt;="&amp;$A38,WeeklyPicks!$C:$C,F$16)</f>
        <v>662</v>
      </c>
      <c r="G38">
        <f>SUMIFS(WeeklyPicks!$M:$M,WeeklyPicks!$A:$A,"&lt;="&amp;$A38,WeeklyPicks!$C:$C,G$16)</f>
        <v>534</v>
      </c>
      <c r="H38">
        <f>SUMIFS(WeeklyPicks!$M:$M,WeeklyPicks!$A:$A,"&lt;="&amp;$A38,WeeklyPicks!$C:$C,H$16)</f>
        <v>471</v>
      </c>
      <c r="I38">
        <f>SUMIFS(WeeklyPicks!$M:$M,WeeklyPicks!$A:$A,"&lt;="&amp;$A38,WeeklyPicks!$C:$C,I$16)</f>
        <v>209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357</v>
      </c>
      <c r="L38">
        <f>SUMIFS(WeeklyPicks!$M:$M,WeeklyPicks!$A:$A,"&lt;="&amp;$A38,WeeklyPicks!$C:$C,L$16)</f>
        <v>459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678</v>
      </c>
      <c r="D39">
        <f>SUMIFS(WeeklyPicks!$M:$M,WeeklyPicks!$A:$A,"&lt;="&amp;$A39,WeeklyPicks!$C:$C,D$16)</f>
        <v>639</v>
      </c>
      <c r="E39">
        <f>SUMIFS(WeeklyPicks!$M:$M,WeeklyPicks!$A:$A,"&lt;="&amp;$A39,WeeklyPicks!$C:$C,E$16)</f>
        <v>589</v>
      </c>
      <c r="F39">
        <f>SUMIFS(WeeklyPicks!$M:$M,WeeklyPicks!$A:$A,"&lt;="&amp;$A39,WeeklyPicks!$C:$C,F$16)</f>
        <v>662</v>
      </c>
      <c r="G39">
        <f>SUMIFS(WeeklyPicks!$M:$M,WeeklyPicks!$A:$A,"&lt;="&amp;$A39,WeeklyPicks!$C:$C,G$16)</f>
        <v>534</v>
      </c>
      <c r="H39">
        <f>SUMIFS(WeeklyPicks!$M:$M,WeeklyPicks!$A:$A,"&lt;="&amp;$A39,WeeklyPicks!$C:$C,H$16)</f>
        <v>471</v>
      </c>
      <c r="I39">
        <f>SUMIFS(WeeklyPicks!$M:$M,WeeklyPicks!$A:$A,"&lt;="&amp;$A39,WeeklyPicks!$C:$C,I$16)</f>
        <v>209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357</v>
      </c>
      <c r="L39">
        <f>SUMIFS(WeeklyPicks!$M:$M,WeeklyPicks!$A:$A,"&lt;="&amp;$A39,WeeklyPicks!$C:$C,L$16)</f>
        <v>459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678</v>
      </c>
      <c r="D40">
        <f>SUMIFS(WeeklyPicks!$M:$M,WeeklyPicks!$A:$A,"&lt;="&amp;$A40,WeeklyPicks!$C:$C,D$16)</f>
        <v>639</v>
      </c>
      <c r="E40">
        <f>SUMIFS(WeeklyPicks!$M:$M,WeeklyPicks!$A:$A,"&lt;="&amp;$A40,WeeklyPicks!$C:$C,E$16)</f>
        <v>589</v>
      </c>
      <c r="F40">
        <f>SUMIFS(WeeklyPicks!$M:$M,WeeklyPicks!$A:$A,"&lt;="&amp;$A40,WeeklyPicks!$C:$C,F$16)</f>
        <v>662</v>
      </c>
      <c r="G40">
        <f>SUMIFS(WeeklyPicks!$M:$M,WeeklyPicks!$A:$A,"&lt;="&amp;$A40,WeeklyPicks!$C:$C,G$16)</f>
        <v>534</v>
      </c>
      <c r="H40">
        <f>SUMIFS(WeeklyPicks!$M:$M,WeeklyPicks!$A:$A,"&lt;="&amp;$A40,WeeklyPicks!$C:$C,H$16)</f>
        <v>471</v>
      </c>
      <c r="I40">
        <f>SUMIFS(WeeklyPicks!$M:$M,WeeklyPicks!$A:$A,"&lt;="&amp;$A40,WeeklyPicks!$C:$C,I$16)</f>
        <v>209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357</v>
      </c>
      <c r="L40">
        <f>SUMIFS(WeeklyPicks!$M:$M,WeeklyPicks!$A:$A,"&lt;="&amp;$A40,WeeklyPicks!$C:$C,L$16)</f>
        <v>459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678</v>
      </c>
      <c r="D41">
        <f>SUMIFS(WeeklyPicks!$M:$M,WeeklyPicks!$A:$A,"&lt;="&amp;$A41,WeeklyPicks!$C:$C,D$16)</f>
        <v>639</v>
      </c>
      <c r="E41">
        <f>SUMIFS(WeeklyPicks!$M:$M,WeeklyPicks!$A:$A,"&lt;="&amp;$A41,WeeklyPicks!$C:$C,E$16)</f>
        <v>589</v>
      </c>
      <c r="F41">
        <f>SUMIFS(WeeklyPicks!$M:$M,WeeklyPicks!$A:$A,"&lt;="&amp;$A41,WeeklyPicks!$C:$C,F$16)</f>
        <v>662</v>
      </c>
      <c r="G41">
        <f>SUMIFS(WeeklyPicks!$M:$M,WeeklyPicks!$A:$A,"&lt;="&amp;$A41,WeeklyPicks!$C:$C,G$16)</f>
        <v>534</v>
      </c>
      <c r="H41">
        <f>SUMIFS(WeeklyPicks!$M:$M,WeeklyPicks!$A:$A,"&lt;="&amp;$A41,WeeklyPicks!$C:$C,H$16)</f>
        <v>471</v>
      </c>
      <c r="I41">
        <f>SUMIFS(WeeklyPicks!$M:$M,WeeklyPicks!$A:$A,"&lt;="&amp;$A41,WeeklyPicks!$C:$C,I$16)</f>
        <v>209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357</v>
      </c>
      <c r="L41">
        <f>SUMIFS(WeeklyPicks!$M:$M,WeeklyPicks!$A:$A,"&lt;="&amp;$A41,WeeklyPicks!$C:$C,L$16)</f>
        <v>459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678</v>
      </c>
      <c r="D42">
        <f>SUMIFS(WeeklyPicks!$M:$M,WeeklyPicks!$A:$A,"&lt;="&amp;$A42,WeeklyPicks!$C:$C,D$16)</f>
        <v>639</v>
      </c>
      <c r="E42">
        <f>SUMIFS(WeeklyPicks!$M:$M,WeeklyPicks!$A:$A,"&lt;="&amp;$A42,WeeklyPicks!$C:$C,E$16)</f>
        <v>589</v>
      </c>
      <c r="F42">
        <f>SUMIFS(WeeklyPicks!$M:$M,WeeklyPicks!$A:$A,"&lt;="&amp;$A42,WeeklyPicks!$C:$C,F$16)</f>
        <v>662</v>
      </c>
      <c r="G42">
        <f>SUMIFS(WeeklyPicks!$M:$M,WeeklyPicks!$A:$A,"&lt;="&amp;$A42,WeeklyPicks!$C:$C,G$16)</f>
        <v>534</v>
      </c>
      <c r="H42">
        <f>SUMIFS(WeeklyPicks!$M:$M,WeeklyPicks!$A:$A,"&lt;="&amp;$A42,WeeklyPicks!$C:$C,H$16)</f>
        <v>471</v>
      </c>
      <c r="I42">
        <f>SUMIFS(WeeklyPicks!$M:$M,WeeklyPicks!$A:$A,"&lt;="&amp;$A42,WeeklyPicks!$C:$C,I$16)</f>
        <v>209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357</v>
      </c>
      <c r="L42">
        <f>SUMIFS(WeeklyPicks!$M:$M,WeeklyPicks!$A:$A,"&lt;="&amp;$A42,WeeklyPicks!$C:$C,L$16)</f>
        <v>459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678</v>
      </c>
      <c r="D43">
        <f>SUMIFS(WeeklyPicks!$M:$M,WeeklyPicks!$A:$A,"&lt;="&amp;$A43,WeeklyPicks!$C:$C,D$16)</f>
        <v>639</v>
      </c>
      <c r="E43">
        <f>SUMIFS(WeeklyPicks!$M:$M,WeeklyPicks!$A:$A,"&lt;="&amp;$A43,WeeklyPicks!$C:$C,E$16)</f>
        <v>589</v>
      </c>
      <c r="F43">
        <f>SUMIFS(WeeklyPicks!$M:$M,WeeklyPicks!$A:$A,"&lt;="&amp;$A43,WeeklyPicks!$C:$C,F$16)</f>
        <v>662</v>
      </c>
      <c r="G43">
        <f>SUMIFS(WeeklyPicks!$M:$M,WeeklyPicks!$A:$A,"&lt;="&amp;$A43,WeeklyPicks!$C:$C,G$16)</f>
        <v>534</v>
      </c>
      <c r="H43">
        <f>SUMIFS(WeeklyPicks!$M:$M,WeeklyPicks!$A:$A,"&lt;="&amp;$A43,WeeklyPicks!$C:$C,H$16)</f>
        <v>471</v>
      </c>
      <c r="I43">
        <f>SUMIFS(WeeklyPicks!$M:$M,WeeklyPicks!$A:$A,"&lt;="&amp;$A43,WeeklyPicks!$C:$C,I$16)</f>
        <v>209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357</v>
      </c>
      <c r="L43">
        <f>SUMIFS(WeeklyPicks!$M:$M,WeeklyPicks!$A:$A,"&lt;="&amp;$A43,WeeklyPicks!$C:$C,L$16)</f>
        <v>459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678</v>
      </c>
      <c r="D44">
        <f>SUMIFS(WeeklyPicks!$M:$M,WeeklyPicks!$A:$A,"&lt;="&amp;$A44,WeeklyPicks!$C:$C,D$16)</f>
        <v>639</v>
      </c>
      <c r="E44">
        <f>SUMIFS(WeeklyPicks!$M:$M,WeeklyPicks!$A:$A,"&lt;="&amp;$A44,WeeklyPicks!$C:$C,E$16)</f>
        <v>589</v>
      </c>
      <c r="F44">
        <f>SUMIFS(WeeklyPicks!$M:$M,WeeklyPicks!$A:$A,"&lt;="&amp;$A44,WeeklyPicks!$C:$C,F$16)</f>
        <v>662</v>
      </c>
      <c r="G44">
        <f>SUMIFS(WeeklyPicks!$M:$M,WeeklyPicks!$A:$A,"&lt;="&amp;$A44,WeeklyPicks!$C:$C,G$16)</f>
        <v>534</v>
      </c>
      <c r="H44">
        <f>SUMIFS(WeeklyPicks!$M:$M,WeeklyPicks!$A:$A,"&lt;="&amp;$A44,WeeklyPicks!$C:$C,H$16)</f>
        <v>471</v>
      </c>
      <c r="I44">
        <f>SUMIFS(WeeklyPicks!$M:$M,WeeklyPicks!$A:$A,"&lt;="&amp;$A44,WeeklyPicks!$C:$C,I$16)</f>
        <v>209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357</v>
      </c>
      <c r="L44">
        <f>SUMIFS(WeeklyPicks!$M:$M,WeeklyPicks!$A:$A,"&lt;="&amp;$A44,WeeklyPicks!$C:$C,L$16)</f>
        <v>459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678</v>
      </c>
      <c r="D45">
        <f>SUMIFS(WeeklyPicks!$M:$M,WeeklyPicks!$A:$A,"&lt;="&amp;$A45,WeeklyPicks!$C:$C,D$16)</f>
        <v>639</v>
      </c>
      <c r="E45">
        <f>SUMIFS(WeeklyPicks!$M:$M,WeeklyPicks!$A:$A,"&lt;="&amp;$A45,WeeklyPicks!$C:$C,E$16)</f>
        <v>589</v>
      </c>
      <c r="F45">
        <f>SUMIFS(WeeklyPicks!$M:$M,WeeklyPicks!$A:$A,"&lt;="&amp;$A45,WeeklyPicks!$C:$C,F$16)</f>
        <v>662</v>
      </c>
      <c r="G45">
        <f>SUMIFS(WeeklyPicks!$M:$M,WeeklyPicks!$A:$A,"&lt;="&amp;$A45,WeeklyPicks!$C:$C,G$16)</f>
        <v>534</v>
      </c>
      <c r="H45">
        <f>SUMIFS(WeeklyPicks!$M:$M,WeeklyPicks!$A:$A,"&lt;="&amp;$A45,WeeklyPicks!$C:$C,H$16)</f>
        <v>471</v>
      </c>
      <c r="I45">
        <f>SUMIFS(WeeklyPicks!$M:$M,WeeklyPicks!$A:$A,"&lt;="&amp;$A45,WeeklyPicks!$C:$C,I$16)</f>
        <v>209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357</v>
      </c>
      <c r="L45">
        <f>SUMIFS(WeeklyPicks!$M:$M,WeeklyPicks!$A:$A,"&lt;="&amp;$A45,WeeklyPicks!$C:$C,L$16)</f>
        <v>459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678</v>
      </c>
      <c r="D46">
        <f>SUMIFS(WeeklyPicks!$M:$M,WeeklyPicks!$A:$A,"&lt;="&amp;$A46,WeeklyPicks!$C:$C,D$16)</f>
        <v>639</v>
      </c>
      <c r="E46">
        <f>SUMIFS(WeeklyPicks!$M:$M,WeeklyPicks!$A:$A,"&lt;="&amp;$A46,WeeklyPicks!$C:$C,E$16)</f>
        <v>589</v>
      </c>
      <c r="F46">
        <f>SUMIFS(WeeklyPicks!$M:$M,WeeklyPicks!$A:$A,"&lt;="&amp;$A46,WeeklyPicks!$C:$C,F$16)</f>
        <v>662</v>
      </c>
      <c r="G46">
        <f>SUMIFS(WeeklyPicks!$M:$M,WeeklyPicks!$A:$A,"&lt;="&amp;$A46,WeeklyPicks!$C:$C,G$16)</f>
        <v>534</v>
      </c>
      <c r="H46">
        <f>SUMIFS(WeeklyPicks!$M:$M,WeeklyPicks!$A:$A,"&lt;="&amp;$A46,WeeklyPicks!$C:$C,H$16)</f>
        <v>471</v>
      </c>
      <c r="I46">
        <f>SUMIFS(WeeklyPicks!$M:$M,WeeklyPicks!$A:$A,"&lt;="&amp;$A46,WeeklyPicks!$C:$C,I$16)</f>
        <v>209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357</v>
      </c>
      <c r="L46">
        <f>SUMIFS(WeeklyPicks!$M:$M,WeeklyPicks!$A:$A,"&lt;="&amp;$A46,WeeklyPicks!$C:$C,L$16)</f>
        <v>459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678</v>
      </c>
      <c r="D47">
        <f>SUMIFS(WeeklyPicks!$M:$M,WeeklyPicks!$A:$A,"&lt;="&amp;$A47,WeeklyPicks!$C:$C,D$16)</f>
        <v>639</v>
      </c>
      <c r="E47">
        <f>SUMIFS(WeeklyPicks!$M:$M,WeeklyPicks!$A:$A,"&lt;="&amp;$A47,WeeklyPicks!$C:$C,E$16)</f>
        <v>589</v>
      </c>
      <c r="F47">
        <f>SUMIFS(WeeklyPicks!$M:$M,WeeklyPicks!$A:$A,"&lt;="&amp;$A47,WeeklyPicks!$C:$C,F$16)</f>
        <v>662</v>
      </c>
      <c r="G47">
        <f>SUMIFS(WeeklyPicks!$M:$M,WeeklyPicks!$A:$A,"&lt;="&amp;$A47,WeeklyPicks!$C:$C,G$16)</f>
        <v>534</v>
      </c>
      <c r="H47">
        <f>SUMIFS(WeeklyPicks!$M:$M,WeeklyPicks!$A:$A,"&lt;="&amp;$A47,WeeklyPicks!$C:$C,H$16)</f>
        <v>471</v>
      </c>
      <c r="I47">
        <f>SUMIFS(WeeklyPicks!$M:$M,WeeklyPicks!$A:$A,"&lt;="&amp;$A47,WeeklyPicks!$C:$C,I$16)</f>
        <v>209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357</v>
      </c>
      <c r="L47">
        <f>SUMIFS(WeeklyPicks!$M:$M,WeeklyPicks!$A:$A,"&lt;="&amp;$A47,WeeklyPicks!$C:$C,L$16)</f>
        <v>459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678</v>
      </c>
      <c r="D48">
        <f>SUMIFS(WeeklyPicks!$M:$M,WeeklyPicks!$A:$A,"&lt;="&amp;$A48,WeeklyPicks!$C:$C,D$16)</f>
        <v>639</v>
      </c>
      <c r="E48">
        <f>SUMIFS(WeeklyPicks!$M:$M,WeeklyPicks!$A:$A,"&lt;="&amp;$A48,WeeklyPicks!$C:$C,E$16)</f>
        <v>589</v>
      </c>
      <c r="F48">
        <f>SUMIFS(WeeklyPicks!$M:$M,WeeklyPicks!$A:$A,"&lt;="&amp;$A48,WeeklyPicks!$C:$C,F$16)</f>
        <v>662</v>
      </c>
      <c r="G48">
        <f>SUMIFS(WeeklyPicks!$M:$M,WeeklyPicks!$A:$A,"&lt;="&amp;$A48,WeeklyPicks!$C:$C,G$16)</f>
        <v>534</v>
      </c>
      <c r="H48">
        <f>SUMIFS(WeeklyPicks!$M:$M,WeeklyPicks!$A:$A,"&lt;="&amp;$A48,WeeklyPicks!$C:$C,H$16)</f>
        <v>471</v>
      </c>
      <c r="I48">
        <f>SUMIFS(WeeklyPicks!$M:$M,WeeklyPicks!$A:$A,"&lt;="&amp;$A48,WeeklyPicks!$C:$C,I$16)</f>
        <v>209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357</v>
      </c>
      <c r="L48">
        <f>SUMIFS(WeeklyPicks!$M:$M,WeeklyPicks!$A:$A,"&lt;="&amp;$A48,WeeklyPicks!$C:$C,L$16)</f>
        <v>459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678</v>
      </c>
      <c r="D49">
        <f>SUMIFS(WeeklyPicks!$M:$M,WeeklyPicks!$A:$A,"&lt;="&amp;$A49,WeeklyPicks!$C:$C,D$16)</f>
        <v>639</v>
      </c>
      <c r="E49">
        <f>SUMIFS(WeeklyPicks!$M:$M,WeeklyPicks!$A:$A,"&lt;="&amp;$A49,WeeklyPicks!$C:$C,E$16)</f>
        <v>589</v>
      </c>
      <c r="F49">
        <f>SUMIFS(WeeklyPicks!$M:$M,WeeklyPicks!$A:$A,"&lt;="&amp;$A49,WeeklyPicks!$C:$C,F$16)</f>
        <v>662</v>
      </c>
      <c r="G49">
        <f>SUMIFS(WeeklyPicks!$M:$M,WeeklyPicks!$A:$A,"&lt;="&amp;$A49,WeeklyPicks!$C:$C,G$16)</f>
        <v>534</v>
      </c>
      <c r="H49">
        <f>SUMIFS(WeeklyPicks!$M:$M,WeeklyPicks!$A:$A,"&lt;="&amp;$A49,WeeklyPicks!$C:$C,H$16)</f>
        <v>471</v>
      </c>
      <c r="I49">
        <f>SUMIFS(WeeklyPicks!$M:$M,WeeklyPicks!$A:$A,"&lt;="&amp;$A49,WeeklyPicks!$C:$C,I$16)</f>
        <v>209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357</v>
      </c>
      <c r="L49">
        <f>SUMIFS(WeeklyPicks!$M:$M,WeeklyPicks!$A:$A,"&lt;="&amp;$A49,WeeklyPicks!$C:$C,L$16)</f>
        <v>459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678</v>
      </c>
      <c r="D50">
        <f>SUMIFS(WeeklyPicks!$M:$M,WeeklyPicks!$A:$A,"&lt;="&amp;$A50,WeeklyPicks!$C:$C,D$16)</f>
        <v>639</v>
      </c>
      <c r="E50">
        <f>SUMIFS(WeeklyPicks!$M:$M,WeeklyPicks!$A:$A,"&lt;="&amp;$A50,WeeklyPicks!$C:$C,E$16)</f>
        <v>589</v>
      </c>
      <c r="F50">
        <f>SUMIFS(WeeklyPicks!$M:$M,WeeklyPicks!$A:$A,"&lt;="&amp;$A50,WeeklyPicks!$C:$C,F$16)</f>
        <v>662</v>
      </c>
      <c r="G50">
        <f>SUMIFS(WeeklyPicks!$M:$M,WeeklyPicks!$A:$A,"&lt;="&amp;$A50,WeeklyPicks!$C:$C,G$16)</f>
        <v>534</v>
      </c>
      <c r="H50">
        <f>SUMIFS(WeeklyPicks!$M:$M,WeeklyPicks!$A:$A,"&lt;="&amp;$A50,WeeklyPicks!$C:$C,H$16)</f>
        <v>471</v>
      </c>
      <c r="I50">
        <f>SUMIFS(WeeklyPicks!$M:$M,WeeklyPicks!$A:$A,"&lt;="&amp;$A50,WeeklyPicks!$C:$C,I$16)</f>
        <v>209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357</v>
      </c>
      <c r="L50">
        <f>SUMIFS(WeeklyPicks!$M:$M,WeeklyPicks!$A:$A,"&lt;="&amp;$A50,WeeklyPicks!$C:$C,L$16)</f>
        <v>459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678</v>
      </c>
      <c r="D51">
        <f>SUMIFS(WeeklyPicks!$M:$M,WeeklyPicks!$A:$A,"&lt;="&amp;$A51,WeeklyPicks!$C:$C,D$16)</f>
        <v>639</v>
      </c>
      <c r="E51">
        <f>SUMIFS(WeeklyPicks!$M:$M,WeeklyPicks!$A:$A,"&lt;="&amp;$A51,WeeklyPicks!$C:$C,E$16)</f>
        <v>589</v>
      </c>
      <c r="F51">
        <f>SUMIFS(WeeklyPicks!$M:$M,WeeklyPicks!$A:$A,"&lt;="&amp;$A51,WeeklyPicks!$C:$C,F$16)</f>
        <v>662</v>
      </c>
      <c r="G51">
        <f>SUMIFS(WeeklyPicks!$M:$M,WeeklyPicks!$A:$A,"&lt;="&amp;$A51,WeeklyPicks!$C:$C,G$16)</f>
        <v>534</v>
      </c>
      <c r="H51">
        <f>SUMIFS(WeeklyPicks!$M:$M,WeeklyPicks!$A:$A,"&lt;="&amp;$A51,WeeklyPicks!$C:$C,H$16)</f>
        <v>471</v>
      </c>
      <c r="I51">
        <f>SUMIFS(WeeklyPicks!$M:$M,WeeklyPicks!$A:$A,"&lt;="&amp;$A51,WeeklyPicks!$C:$C,I$16)</f>
        <v>209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357</v>
      </c>
      <c r="L51">
        <f>SUMIFS(WeeklyPicks!$M:$M,WeeklyPicks!$A:$A,"&lt;="&amp;$A51,WeeklyPicks!$C:$C,L$16)</f>
        <v>459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678</v>
      </c>
      <c r="D52">
        <f>SUMIFS(WeeklyPicks!$M:$M,WeeklyPicks!$A:$A,"&lt;="&amp;$A52,WeeklyPicks!$C:$C,D$16)</f>
        <v>639</v>
      </c>
      <c r="E52">
        <f>SUMIFS(WeeklyPicks!$M:$M,WeeklyPicks!$A:$A,"&lt;="&amp;$A52,WeeklyPicks!$C:$C,E$16)</f>
        <v>589</v>
      </c>
      <c r="F52">
        <f>SUMIFS(WeeklyPicks!$M:$M,WeeklyPicks!$A:$A,"&lt;="&amp;$A52,WeeklyPicks!$C:$C,F$16)</f>
        <v>662</v>
      </c>
      <c r="G52">
        <f>SUMIFS(WeeklyPicks!$M:$M,WeeklyPicks!$A:$A,"&lt;="&amp;$A52,WeeklyPicks!$C:$C,G$16)</f>
        <v>534</v>
      </c>
      <c r="H52">
        <f>SUMIFS(WeeklyPicks!$M:$M,WeeklyPicks!$A:$A,"&lt;="&amp;$A52,WeeklyPicks!$C:$C,H$16)</f>
        <v>471</v>
      </c>
      <c r="I52">
        <f>SUMIFS(WeeklyPicks!$M:$M,WeeklyPicks!$A:$A,"&lt;="&amp;$A52,WeeklyPicks!$C:$C,I$16)</f>
        <v>209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357</v>
      </c>
      <c r="L52">
        <f>SUMIFS(WeeklyPicks!$M:$M,WeeklyPicks!$A:$A,"&lt;="&amp;$A52,WeeklyPicks!$C:$C,L$16)</f>
        <v>459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22" t="s">
        <v>153</v>
      </c>
      <c r="B1" s="22"/>
      <c r="C1" s="22"/>
      <c r="D1" s="22"/>
      <c r="E1" s="22"/>
      <c r="F1" s="22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1</v>
      </c>
      <c r="B5" s="16" t="str">
        <f>Dashboard!B4</f>
        <v>Pat</v>
      </c>
      <c r="C5" s="16">
        <f>Dashboard!C4</f>
        <v>678</v>
      </c>
      <c r="D5" s="16">
        <f>Dashboard!D4</f>
        <v>2</v>
      </c>
      <c r="E5" s="16">
        <f>Dashboard!G4</f>
        <v>82</v>
      </c>
    </row>
    <row r="6" spans="1:6" ht="18" customHeight="1" x14ac:dyDescent="0.3">
      <c r="A6" s="16">
        <f>Dashboard!A5</f>
        <v>3</v>
      </c>
      <c r="B6" s="16" t="str">
        <f>Dashboard!B5</f>
        <v>Meg</v>
      </c>
      <c r="C6" s="16">
        <f>Dashboard!C5</f>
        <v>639</v>
      </c>
      <c r="D6" s="16">
        <f>Dashboard!D5</f>
        <v>1</v>
      </c>
      <c r="E6" s="16">
        <f>Dashboard!G5</f>
        <v>111</v>
      </c>
    </row>
    <row r="7" spans="1:6" ht="18" customHeight="1" x14ac:dyDescent="0.3">
      <c r="A7" s="16">
        <f>Dashboard!A6</f>
        <v>4</v>
      </c>
      <c r="B7" s="16" t="str">
        <f>Dashboard!B6</f>
        <v>Darin</v>
      </c>
      <c r="C7" s="16">
        <f>Dashboard!C6</f>
        <v>589</v>
      </c>
      <c r="D7" s="16">
        <f>Dashboard!D6</f>
        <v>1</v>
      </c>
      <c r="E7" s="16">
        <f>Dashboard!G6</f>
        <v>95</v>
      </c>
    </row>
    <row r="8" spans="1:6" ht="18" customHeight="1" x14ac:dyDescent="0.3">
      <c r="A8" s="16">
        <f>Dashboard!A7</f>
        <v>2</v>
      </c>
      <c r="B8" s="16" t="str">
        <f>Dashboard!B7</f>
        <v>Alz</v>
      </c>
      <c r="C8" s="16">
        <f>Dashboard!C7</f>
        <v>662</v>
      </c>
      <c r="D8" s="16">
        <f>Dashboard!D7</f>
        <v>1</v>
      </c>
      <c r="E8" s="16">
        <f>Dashboard!G7</f>
        <v>106</v>
      </c>
    </row>
    <row r="9" spans="1:6" ht="18" customHeight="1" x14ac:dyDescent="0.3">
      <c r="A9" s="16">
        <f>Dashboard!A8</f>
        <v>5</v>
      </c>
      <c r="B9" s="16" t="str">
        <f>Dashboard!B8</f>
        <v>Joe</v>
      </c>
      <c r="C9" s="16">
        <f>Dashboard!C8</f>
        <v>534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6</v>
      </c>
      <c r="B10" s="16" t="str">
        <f>Dashboard!B9</f>
        <v>Evelyn</v>
      </c>
      <c r="C10" s="16">
        <f>Dashboard!C9</f>
        <v>471</v>
      </c>
      <c r="D10" s="16">
        <f>Dashboard!D9</f>
        <v>0</v>
      </c>
      <c r="E10" s="16">
        <f>Dashboard!G9</f>
        <v>112</v>
      </c>
    </row>
    <row r="11" spans="1:6" ht="18" customHeight="1" x14ac:dyDescent="0.3">
      <c r="A11" s="16">
        <f>Dashboard!A10</f>
        <v>9</v>
      </c>
      <c r="B11" s="16" t="str">
        <f>Dashboard!B10</f>
        <v>Deric</v>
      </c>
      <c r="C11" s="16">
        <f>Dashboard!C10</f>
        <v>209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10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8</v>
      </c>
      <c r="B13" s="16" t="str">
        <f>Dashboard!B12</f>
        <v>Jay</v>
      </c>
      <c r="C13" s="16">
        <f>Dashboard!C12</f>
        <v>357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7</v>
      </c>
      <c r="B14" s="16" t="str">
        <f>Dashboard!B13</f>
        <v>Ryan</v>
      </c>
      <c r="C14" s="16">
        <f>Dashboard!C13</f>
        <v>459</v>
      </c>
      <c r="D14" s="16">
        <f>Dashboard!D13</f>
        <v>1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2026-04-26T16:20:40Z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