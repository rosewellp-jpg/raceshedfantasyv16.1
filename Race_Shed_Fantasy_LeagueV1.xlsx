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399" documentId="8_{64ED620B-E9CD-47B3-A172-B982AAA909D5}" xr6:coauthVersionLast="47" xr6:coauthVersionMax="47" xr10:uidLastSave="{5D730FBC-59D5-4370-84C2-7F6000D5E3CE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G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C3" i="10" s="1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C49" i="10" s="1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C9" i="10" s="1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C2" i="10" s="1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78" i="10" l="1"/>
  <c r="C18" i="10"/>
  <c r="C8" i="10"/>
  <c r="M47" i="5"/>
  <c r="C55" i="10"/>
  <c r="C23" i="10"/>
  <c r="M51" i="5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2" i="11"/>
  <c r="L20" i="11"/>
  <c r="L19" i="11"/>
  <c r="C20" i="10"/>
  <c r="H20" i="11"/>
  <c r="D29" i="6"/>
  <c r="D37" i="6"/>
  <c r="G26" i="11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D52" i="11"/>
  <c r="G14" i="6"/>
  <c r="G19" i="6"/>
  <c r="E5" i="11"/>
  <c r="J29" i="11"/>
  <c r="K37" i="11"/>
  <c r="C12" i="6"/>
  <c r="K33" i="11"/>
  <c r="K21" i="11"/>
  <c r="B17" i="12"/>
  <c r="J7" i="11"/>
  <c r="D23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H26" i="11" l="1"/>
  <c r="C9" i="11"/>
  <c r="C10" i="12" s="1"/>
  <c r="H39" i="11"/>
  <c r="H21" i="11"/>
  <c r="H48" i="11"/>
  <c r="H24" i="11"/>
  <c r="H49" i="11"/>
  <c r="H41" i="11"/>
  <c r="H27" i="11"/>
  <c r="H35" i="11"/>
  <c r="L32" i="11"/>
  <c r="L41" i="11"/>
  <c r="L46" i="11"/>
  <c r="H38" i="1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<sst xmlns="http://schemas.openxmlformats.org/spreadsheetml/2006/main" count="8285" uniqueCount="159">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</sst>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" fillId="2" borderId="0" xfId="0" applyFont="1" applyFill="1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433</c:v>
                </c:pt>
                <c:pt idx="1">
                  <c:v>517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771</c:v>
                </c:pt>
                <c:pt idx="16">
                  <c:v>771</c:v>
                </c:pt>
                <c:pt idx="17">
                  <c:v>771</c:v>
                </c:pt>
                <c:pt idx="18">
                  <c:v>771</c:v>
                </c:pt>
                <c:pt idx="19">
                  <c:v>771</c:v>
                </c:pt>
                <c:pt idx="20">
                  <c:v>771</c:v>
                </c:pt>
                <c:pt idx="21">
                  <c:v>771</c:v>
                </c:pt>
                <c:pt idx="22">
                  <c:v>771</c:v>
                </c:pt>
                <c:pt idx="23">
                  <c:v>771</c:v>
                </c:pt>
                <c:pt idx="24">
                  <c:v>771</c:v>
                </c:pt>
                <c:pt idx="25">
                  <c:v>771</c:v>
                </c:pt>
                <c:pt idx="26">
                  <c:v>771</c:v>
                </c:pt>
                <c:pt idx="27">
                  <c:v>771</c:v>
                </c:pt>
                <c:pt idx="28">
                  <c:v>771</c:v>
                </c:pt>
                <c:pt idx="29">
                  <c:v>771</c:v>
                </c:pt>
                <c:pt idx="30">
                  <c:v>771</c:v>
                </c:pt>
                <c:pt idx="31">
                  <c:v>771</c:v>
                </c:pt>
                <c:pt idx="32">
                  <c:v>771</c:v>
                </c:pt>
                <c:pt idx="33">
                  <c:v>771</c:v>
                </c:pt>
                <c:pt idx="34">
                  <c:v>771</c:v>
                </c:pt>
                <c:pt idx="35">
                  <c:v>771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784</c:v>
                </c:pt>
                <c:pt idx="16">
                  <c:v>784</c:v>
                </c:pt>
                <c:pt idx="17">
                  <c:v>784</c:v>
                </c:pt>
                <c:pt idx="18">
                  <c:v>784</c:v>
                </c:pt>
                <c:pt idx="19">
                  <c:v>784</c:v>
                </c:pt>
                <c:pt idx="20">
                  <c:v>784</c:v>
                </c:pt>
                <c:pt idx="21">
                  <c:v>784</c:v>
                </c:pt>
                <c:pt idx="22">
                  <c:v>784</c:v>
                </c:pt>
                <c:pt idx="23">
                  <c:v>784</c:v>
                </c:pt>
                <c:pt idx="24">
                  <c:v>784</c:v>
                </c:pt>
                <c:pt idx="25">
                  <c:v>784</c:v>
                </c:pt>
                <c:pt idx="26">
                  <c:v>784</c:v>
                </c:pt>
                <c:pt idx="27">
                  <c:v>784</c:v>
                </c:pt>
                <c:pt idx="28">
                  <c:v>784</c:v>
                </c:pt>
                <c:pt idx="29">
                  <c:v>784</c:v>
                </c:pt>
                <c:pt idx="30">
                  <c:v>784</c:v>
                </c:pt>
                <c:pt idx="31">
                  <c:v>784</c:v>
                </c:pt>
                <c:pt idx="32">
                  <c:v>784</c:v>
                </c:pt>
                <c:pt idx="33">
                  <c:v>784</c:v>
                </c:pt>
                <c:pt idx="34">
                  <c:v>784</c:v>
                </c:pt>
                <c:pt idx="35">
                  <c:v>784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12.027777777777779</c:v>
                </c:pt>
                <c:pt idx="1">
                  <c:v>14.361111111111111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640</c:v>
                </c:pt>
                <c:pt idx="16">
                  <c:v>640</c:v>
                </c:pt>
                <c:pt idx="17">
                  <c:v>640</c:v>
                </c:pt>
                <c:pt idx="18">
                  <c:v>640</c:v>
                </c:pt>
                <c:pt idx="19">
                  <c:v>640</c:v>
                </c:pt>
                <c:pt idx="20">
                  <c:v>640</c:v>
                </c:pt>
                <c:pt idx="21">
                  <c:v>640</c:v>
                </c:pt>
                <c:pt idx="22">
                  <c:v>640</c:v>
                </c:pt>
                <c:pt idx="23">
                  <c:v>640</c:v>
                </c:pt>
                <c:pt idx="24">
                  <c:v>640</c:v>
                </c:pt>
                <c:pt idx="25">
                  <c:v>640</c:v>
                </c:pt>
                <c:pt idx="26">
                  <c:v>640</c:v>
                </c:pt>
                <c:pt idx="27">
                  <c:v>640</c:v>
                </c:pt>
                <c:pt idx="28">
                  <c:v>640</c:v>
                </c:pt>
                <c:pt idx="29">
                  <c:v>640</c:v>
                </c:pt>
                <c:pt idx="30">
                  <c:v>640</c:v>
                </c:pt>
                <c:pt idx="31">
                  <c:v>640</c:v>
                </c:pt>
                <c:pt idx="32">
                  <c:v>640</c:v>
                </c:pt>
                <c:pt idx="33">
                  <c:v>640</c:v>
                </c:pt>
                <c:pt idx="34">
                  <c:v>640</c:v>
                </c:pt>
                <c:pt idx="35">
                  <c:v>640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8</c:v>
                </c:pt>
                <c:pt idx="1">
                  <c:v>7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779</c:v>
                </c:pt>
                <c:pt idx="16">
                  <c:v>779</c:v>
                </c:pt>
                <c:pt idx="17">
                  <c:v>779</c:v>
                </c:pt>
                <c:pt idx="18">
                  <c:v>779</c:v>
                </c:pt>
                <c:pt idx="19">
                  <c:v>779</c:v>
                </c:pt>
                <c:pt idx="20">
                  <c:v>779</c:v>
                </c:pt>
                <c:pt idx="21">
                  <c:v>779</c:v>
                </c:pt>
                <c:pt idx="22">
                  <c:v>779</c:v>
                </c:pt>
                <c:pt idx="23">
                  <c:v>779</c:v>
                </c:pt>
                <c:pt idx="24">
                  <c:v>779</c:v>
                </c:pt>
                <c:pt idx="25">
                  <c:v>779</c:v>
                </c:pt>
                <c:pt idx="26">
                  <c:v>779</c:v>
                </c:pt>
                <c:pt idx="27">
                  <c:v>779</c:v>
                </c:pt>
                <c:pt idx="28">
                  <c:v>779</c:v>
                </c:pt>
                <c:pt idx="29">
                  <c:v>779</c:v>
                </c:pt>
                <c:pt idx="30">
                  <c:v>779</c:v>
                </c:pt>
                <c:pt idx="31">
                  <c:v>779</c:v>
                </c:pt>
                <c:pt idx="32">
                  <c:v>779</c:v>
                </c:pt>
                <c:pt idx="33">
                  <c:v>779</c:v>
                </c:pt>
                <c:pt idx="34">
                  <c:v>779</c:v>
                </c:pt>
                <c:pt idx="35">
                  <c:v>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21" t="s">
        <v>0</v>
      </c>
      <c r="B1" s="21"/>
      <c r="C1" s="21"/>
      <c r="D1" s="21"/>
      <c r="E1" s="21"/>
      <c r="F1" s="21"/>
      <c r="G1" s="21"/>
      <c r="H1" s="21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8" t="s">
        <v>15</v>
      </c>
      <c r="B1" s="18"/>
      <c r="C1" s="18"/>
      <c r="D1" s="18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101" activePane="bottomLeft" state="frozen"/>
      <selection pane="bottomLeft" activeCell="F114" sqref="F114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11">
        <f>IF(D102="","",SUMIFS(RaceResults!$C:$C,RaceResults!$A:$A,$A102,RaceResults!$D:$D,D102))</f>
        <v>34</v>
      </c>
      <c r="H102" s="11">
        <f>IF(E102="","",SUMIFS(RaceResults!$C:$C,RaceResults!$A:$A,$A102,RaceResults!$D:$D,E102))</f>
        <v>7</v>
      </c>
      <c r="I102" s="11">
        <f>IF(F102="","",SUMIFS(RaceResults!$C:$C,RaceResults!$A:$A,$A102,RaceResults!$D:$D,F102))</f>
        <v>2</v>
      </c>
      <c r="J102" s="11">
        <f>IF(D102="","",SUMIFS(RaceResults!$E:$E,RaceResults!$A:$A,$A102,RaceResults!$D:$D,D102))</f>
        <v>3</v>
      </c>
      <c r="K102" s="11">
        <f>IF(E102="","",SUMIFS(RaceResults!$E:$E,RaceResults!$A:$A,$A102,RaceResults!$D:$D,E102))</f>
        <v>30</v>
      </c>
      <c r="L102" s="11">
        <f>IF(F102="","",SUMIFS(RaceResults!$E:$E,RaceResults!$A:$A,$A102,RaceResults!$D:$D,F102))</f>
        <v>35</v>
      </c>
      <c r="M102" s="11">
        <f t="shared" si="1"/>
        <v>68</v>
      </c>
    </row>
    <row r="103" spans="1:13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11">
        <f>IF(D103="","",SUMIFS(RaceResults!$C:$C,RaceResults!$A:$A,$A103,RaceResults!$D:$D,D103))</f>
        <v>2</v>
      </c>
      <c r="H103" s="11">
        <f>IF(E103="","",SUMIFS(RaceResults!$C:$C,RaceResults!$A:$A,$A103,RaceResults!$D:$D,E103))</f>
        <v>6</v>
      </c>
      <c r="I103" s="11">
        <f>IF(F103="","",SUMIFS(RaceResults!$C:$C,RaceResults!$A:$A,$A103,RaceResults!$D:$D,F103))</f>
        <v>4</v>
      </c>
      <c r="J103" s="11">
        <f>IF(D103="","",SUMIFS(RaceResults!$E:$E,RaceResults!$A:$A,$A103,RaceResults!$D:$D,D103))</f>
        <v>35</v>
      </c>
      <c r="K103" s="11">
        <f>IF(E103="","",SUMIFS(RaceResults!$E:$E,RaceResults!$A:$A,$A103,RaceResults!$D:$D,E103))</f>
        <v>31</v>
      </c>
      <c r="L103" s="11">
        <f>IF(F103="","",SUMIFS(RaceResults!$E:$E,RaceResults!$A:$A,$A103,RaceResults!$D:$D,F103))</f>
        <v>33</v>
      </c>
      <c r="M103" s="11">
        <f t="shared" si="1"/>
        <v>99</v>
      </c>
    </row>
    <row r="104" spans="1:13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11">
        <f>IF(D104="","",SUMIFS(RaceResults!$C:$C,RaceResults!$A:$A,$A104,RaceResults!$D:$D,D104))</f>
        <v>5</v>
      </c>
      <c r="H104" s="11">
        <f>IF(E104="","",SUMIFS(RaceResults!$C:$C,RaceResults!$A:$A,$A104,RaceResults!$D:$D,E104))</f>
        <v>23</v>
      </c>
      <c r="I104" s="11">
        <f>IF(F104="","",SUMIFS(RaceResults!$C:$C,RaceResults!$A:$A,$A104,RaceResults!$D:$D,F104))</f>
        <v>38</v>
      </c>
      <c r="J104" s="11">
        <f>IF(D104="","",SUMIFS(RaceResults!$E:$E,RaceResults!$A:$A,$A104,RaceResults!$D:$D,D104))</f>
        <v>32</v>
      </c>
      <c r="K104" s="11">
        <f>IF(E104="","",SUMIFS(RaceResults!$E:$E,RaceResults!$A:$A,$A104,RaceResults!$D:$D,E104))</f>
        <v>14</v>
      </c>
      <c r="L104" s="11">
        <f>IF(F104="","",SUMIFS(RaceResults!$E:$E,RaceResults!$A:$A,$A104,RaceResults!$D:$D,F104))</f>
        <v>1</v>
      </c>
      <c r="M104" s="11">
        <f t="shared" si="1"/>
        <v>47</v>
      </c>
    </row>
    <row r="105" spans="1:13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11">
        <f>IF(D105="","",SUMIFS(RaceResults!$C:$C,RaceResults!$A:$A,$A105,RaceResults!$D:$D,D105))</f>
        <v>2</v>
      </c>
      <c r="H105" s="11">
        <f>IF(E105="","",SUMIFS(RaceResults!$C:$C,RaceResults!$A:$A,$A105,RaceResults!$D:$D,E105))</f>
        <v>7</v>
      </c>
      <c r="I105" s="11">
        <f>IF(F105="","",SUMIFS(RaceResults!$C:$C,RaceResults!$A:$A,$A105,RaceResults!$D:$D,F105))</f>
        <v>10</v>
      </c>
      <c r="J105" s="11">
        <f>IF(D105="","",SUMIFS(RaceResults!$E:$E,RaceResults!$A:$A,$A105,RaceResults!$D:$D,D105))</f>
        <v>35</v>
      </c>
      <c r="K105" s="11">
        <f>IF(E105="","",SUMIFS(RaceResults!$E:$E,RaceResults!$A:$A,$A105,RaceResults!$D:$D,E105))</f>
        <v>30</v>
      </c>
      <c r="L105" s="11">
        <f>IF(F105="","",SUMIFS(RaceResults!$E:$E,RaceResults!$A:$A,$A105,RaceResults!$D:$D,F105))</f>
        <v>27</v>
      </c>
      <c r="M105" s="11">
        <f t="shared" si="1"/>
        <v>92</v>
      </c>
    </row>
    <row r="106" spans="1:13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11">
        <f>IF(D106="","",SUMIFS(RaceResults!$C:$C,RaceResults!$A:$A,$A106,RaceResults!$D:$D,D106))</f>
        <v>38</v>
      </c>
      <c r="H106" s="11">
        <f>IF(E106="","",SUMIFS(RaceResults!$C:$C,RaceResults!$A:$A,$A106,RaceResults!$D:$D,E106))</f>
        <v>2</v>
      </c>
      <c r="I106" s="11">
        <f>IF(F106="","",SUMIFS(RaceResults!$C:$C,RaceResults!$A:$A,$A106,RaceResults!$D:$D,F106))</f>
        <v>37</v>
      </c>
      <c r="J106" s="11">
        <f>IF(D106="","",SUMIFS(RaceResults!$E:$E,RaceResults!$A:$A,$A106,RaceResults!$D:$D,D106))</f>
        <v>1</v>
      </c>
      <c r="K106" s="11">
        <f>IF(E106="","",SUMIFS(RaceResults!$E:$E,RaceResults!$A:$A,$A106,RaceResults!$D:$D,E106))</f>
        <v>35</v>
      </c>
      <c r="L106" s="11">
        <f>IF(F106="","",SUMIFS(RaceResults!$E:$E,RaceResults!$A:$A,$A106,RaceResults!$D:$D,F106))</f>
        <v>1</v>
      </c>
      <c r="M106" s="11">
        <f t="shared" si="1"/>
        <v>37</v>
      </c>
    </row>
    <row r="107" spans="1:13" x14ac:dyDescent="0.3">
      <c r="A107" s="9">
        <v>11</v>
      </c>
      <c r="B107" s="9" t="s">
        <v>69</v>
      </c>
      <c r="C107" s="10" t="s">
        <v>28</v>
      </c>
      <c r="D107" s="3">
        <v>19</v>
      </c>
      <c r="E107" s="3">
        <v>77</v>
      </c>
      <c r="F107" s="3">
        <v>45</v>
      </c>
      <c r="G107" s="11">
        <f>IF(D107="","",SUMIFS(RaceResults!$C:$C,RaceResults!$A:$A,$A107,RaceResults!$D:$D,D107))</f>
        <v>23</v>
      </c>
      <c r="H107" s="11">
        <f>IF(E107="","",SUMIFS(RaceResults!$C:$C,RaceResults!$A:$A,$A107,RaceResults!$D:$D,E107))</f>
        <v>7</v>
      </c>
      <c r="I107" s="11">
        <f>IF(F107="","",SUMIFS(RaceResults!$C:$C,RaceResults!$A:$A,$A107,RaceResults!$D:$D,F107))</f>
        <v>4</v>
      </c>
      <c r="J107" s="11">
        <f>IF(D107="","",SUMIFS(RaceResults!$E:$E,RaceResults!$A:$A,$A107,RaceResults!$D:$D,D107))</f>
        <v>14</v>
      </c>
      <c r="K107" s="11">
        <f>IF(E107="","",SUMIFS(RaceResults!$E:$E,RaceResults!$A:$A,$A107,RaceResults!$D:$D,E107))</f>
        <v>30</v>
      </c>
      <c r="L107" s="11">
        <f>IF(F107="","",SUMIFS(RaceResults!$E:$E,RaceResults!$A:$A,$A107,RaceResults!$D:$D,F107))</f>
        <v>33</v>
      </c>
      <c r="M107" s="11">
        <f t="shared" si="1"/>
        <v>77</v>
      </c>
    </row>
    <row r="108" spans="1:13" x14ac:dyDescent="0.3">
      <c r="A108" s="9">
        <v>11</v>
      </c>
      <c r="B108" s="9" t="s">
        <v>69</v>
      </c>
      <c r="C108" s="10" t="s">
        <v>29</v>
      </c>
      <c r="D108" s="3">
        <v>48</v>
      </c>
      <c r="E108" s="3">
        <v>5</v>
      </c>
      <c r="F108" s="3">
        <v>9</v>
      </c>
      <c r="G108" s="11">
        <f>IF(D108="","",SUMIFS(RaceResults!$C:$C,RaceResults!$A:$A,$A108,RaceResults!$D:$D,D108))</f>
        <v>3</v>
      </c>
      <c r="H108" s="11">
        <f>IF(E108="","",SUMIFS(RaceResults!$C:$C,RaceResults!$A:$A,$A108,RaceResults!$D:$D,E108))</f>
        <v>34</v>
      </c>
      <c r="I108" s="11">
        <f>IF(F108="","",SUMIFS(RaceResults!$C:$C,RaceResults!$A:$A,$A108,RaceResults!$D:$D,F108))</f>
        <v>1</v>
      </c>
      <c r="J108" s="11">
        <f>IF(D108="","",SUMIFS(RaceResults!$E:$E,RaceResults!$A:$A,$A108,RaceResults!$D:$D,D108))</f>
        <v>34</v>
      </c>
      <c r="K108" s="11">
        <f>IF(E108="","",SUMIFS(RaceResults!$E:$E,RaceResults!$A:$A,$A108,RaceResults!$D:$D,E108))</f>
        <v>3</v>
      </c>
      <c r="L108" s="11">
        <f>IF(F108="","",SUMIFS(RaceResults!$E:$E,RaceResults!$A:$A,$A108,RaceResults!$D:$D,F108))</f>
        <v>55</v>
      </c>
      <c r="M108" s="11">
        <f t="shared" si="1"/>
        <v>92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11">
        <f>IF(D110="","",SUMIFS(RaceResults!$C:$C,RaceResults!$A:$A,$A110,RaceResults!$D:$D,D110))</f>
        <v>34</v>
      </c>
      <c r="H110" s="11">
        <f>IF(E110="","",SUMIFS(RaceResults!$C:$C,RaceResults!$A:$A,$A110,RaceResults!$D:$D,E110))</f>
        <v>2</v>
      </c>
      <c r="I110" s="11">
        <f>IF(F110="","",SUMIFS(RaceResults!$C:$C,RaceResults!$A:$A,$A110,RaceResults!$D:$D,F110))</f>
        <v>7</v>
      </c>
      <c r="J110" s="11">
        <f>IF(D110="","",SUMIFS(RaceResults!$E:$E,RaceResults!$A:$A,$A110,RaceResults!$D:$D,D110))</f>
        <v>3</v>
      </c>
      <c r="K110" s="11">
        <f>IF(E110="","",SUMIFS(RaceResults!$E:$E,RaceResults!$A:$A,$A110,RaceResults!$D:$D,E110))</f>
        <v>35</v>
      </c>
      <c r="L110" s="11">
        <f>IF(F110="","",SUMIFS(RaceResults!$E:$E,RaceResults!$A:$A,$A110,RaceResults!$D:$D,F110))</f>
        <v>30</v>
      </c>
      <c r="M110" s="11">
        <f t="shared" si="1"/>
        <v>68</v>
      </c>
    </row>
    <row r="111" spans="1:13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11">
        <f>IF(D111="","",SUMIFS(RaceResults!$C:$C,RaceResults!$A:$A,$A111,RaceResults!$D:$D,D111))</f>
        <v>2</v>
      </c>
      <c r="H111" s="11">
        <f>IF(E111="","",SUMIFS(RaceResults!$C:$C,RaceResults!$A:$A,$A111,RaceResults!$D:$D,E111))</f>
        <v>20</v>
      </c>
      <c r="I111" s="11">
        <f>IF(F111="","",SUMIFS(RaceResults!$C:$C,RaceResults!$A:$A,$A111,RaceResults!$D:$D,F111))</f>
        <v>36</v>
      </c>
      <c r="J111" s="11">
        <f>IF(D111="","",SUMIFS(RaceResults!$E:$E,RaceResults!$A:$A,$A111,RaceResults!$D:$D,D111))</f>
        <v>35</v>
      </c>
      <c r="K111" s="11">
        <f>IF(E111="","",SUMIFS(RaceResults!$E:$E,RaceResults!$A:$A,$A111,RaceResults!$D:$D,E111))</f>
        <v>17</v>
      </c>
      <c r="L111" s="11">
        <f>IF(F111="","",SUMIFS(RaceResults!$E:$E,RaceResults!$A:$A,$A111,RaceResults!$D:$D,F111))</f>
        <v>1</v>
      </c>
      <c r="M111" s="11">
        <f t="shared" si="1"/>
        <v>53</v>
      </c>
    </row>
    <row r="112" spans="1:13" x14ac:dyDescent="0.3">
      <c r="A112" s="9">
        <v>12</v>
      </c>
      <c r="B112" s="9" t="s">
        <v>71</v>
      </c>
      <c r="C112" s="10" t="s">
        <v>21</v>
      </c>
      <c r="D112" s="3">
        <v>97</v>
      </c>
      <c r="E112" s="3">
        <v>17</v>
      </c>
      <c r="F112" s="3">
        <v>11</v>
      </c>
      <c r="G112" s="11">
        <f>IF(D112="","",SUMIFS(RaceResults!$C:$C,RaceResults!$A:$A,$A112,RaceResults!$D:$D,D112))</f>
        <v>0</v>
      </c>
      <c r="H112" s="11">
        <f>IF(E112="","",SUMIFS(RaceResults!$C:$C,RaceResults!$A:$A,$A112,RaceResults!$D:$D,E112))</f>
        <v>0</v>
      </c>
      <c r="I112" s="11">
        <f>IF(F112="","",SUMIFS(RaceResults!$C:$C,RaceResults!$A:$A,$A112,RaceResults!$D:$D,F112))</f>
        <v>0</v>
      </c>
      <c r="J112" s="11">
        <f>IF(D112="","",SUMIFS(RaceResults!$E:$E,RaceResults!$A:$A,$A112,RaceResults!$D:$D,D112))</f>
        <v>0</v>
      </c>
      <c r="K112" s="11">
        <f>IF(E112="","",SUMIFS(RaceResults!$E:$E,RaceResults!$A:$A,$A112,RaceResults!$D:$D,E112))</f>
        <v>0</v>
      </c>
      <c r="L112" s="11">
        <f>IF(F112="","",SUMIFS(RaceResults!$E:$E,RaceResults!$A:$A,$A112,RaceResults!$D:$D,F112))</f>
        <v>0</v>
      </c>
      <c r="M112" s="11">
        <f t="shared" si="1"/>
        <v>0</v>
      </c>
    </row>
    <row r="113" spans="1:13" x14ac:dyDescent="0.3">
      <c r="A113" s="9">
        <v>12</v>
      </c>
      <c r="B113" s="9" t="s">
        <v>71</v>
      </c>
      <c r="C113" s="10" t="s">
        <v>22</v>
      </c>
      <c r="D113" s="3"/>
      <c r="E113" s="3"/>
      <c r="F113" s="3"/>
      <c r="G113" s="11" t="str">
        <f>IF(D113="","",SUMIFS(RaceResults!$C:$C,RaceResults!$A:$A,$A113,RaceResults!$D:$D,D113))</f>
        <v/>
      </c>
      <c r="H113" s="11" t="str">
        <f>IF(E113="","",SUMIFS(RaceResults!$C:$C,RaceResults!$A:$A,$A113,RaceResults!$D:$D,E113))</f>
        <v/>
      </c>
      <c r="I113" s="11" t="str">
        <f>IF(F113="","",SUMIFS(RaceResults!$C:$C,RaceResults!$A:$A,$A113,RaceResults!$D:$D,F113))</f>
        <v/>
      </c>
      <c r="J113" s="11" t="str">
        <f>IF(D113="","",SUMIFS(RaceResults!$E:$E,RaceResults!$A:$A,$A113,RaceResults!$D:$D,D113))</f>
        <v/>
      </c>
      <c r="K113" s="11" t="str">
        <f>IF(E113="","",SUMIFS(RaceResults!$E:$E,RaceResults!$A:$A,$A113,RaceResults!$D:$D,E113))</f>
        <v/>
      </c>
      <c r="L113" s="11" t="str">
        <f>IF(F113="","",SUMIFS(RaceResults!$E:$E,RaceResults!$A:$A,$A113,RaceResults!$D:$D,F113))</f>
        <v/>
      </c>
      <c r="M113" s="11">
        <f t="shared" si="1"/>
        <v>0</v>
      </c>
    </row>
    <row r="114" spans="1:13" x14ac:dyDescent="0.3">
      <c r="A114" s="9">
        <v>12</v>
      </c>
      <c r="B114" s="9" t="s">
        <v>71</v>
      </c>
      <c r="C114" s="10" t="s">
        <v>25</v>
      </c>
      <c r="D114" s="3"/>
      <c r="E114" s="3"/>
      <c r="F114" s="3"/>
      <c r="G114" s="11" t="str">
        <f>IF(D114="","",SUMIFS(RaceResults!$C:$C,RaceResults!$A:$A,$A114,RaceResults!$D:$D,D114))</f>
        <v/>
      </c>
      <c r="H114" s="11" t="str">
        <f>IF(E114="","",SUMIFS(RaceResults!$C:$C,RaceResults!$A:$A,$A114,RaceResults!$D:$D,E114))</f>
        <v/>
      </c>
      <c r="I114" s="11" t="str">
        <f>IF(F114="","",SUMIFS(RaceResults!$C:$C,RaceResults!$A:$A,$A114,RaceResults!$D:$D,F114))</f>
        <v/>
      </c>
      <c r="J114" s="11" t="str">
        <f>IF(D114="","",SUMIFS(RaceResults!$E:$E,RaceResults!$A:$A,$A114,RaceResults!$D:$D,D114))</f>
        <v/>
      </c>
      <c r="K114" s="11" t="str">
        <f>IF(E114="","",SUMIFS(RaceResults!$E:$E,RaceResults!$A:$A,$A114,RaceResults!$D:$D,E114))</f>
        <v/>
      </c>
      <c r="L114" s="11" t="str">
        <f>IF(F114="","",SUMIFS(RaceResults!$E:$E,RaceResults!$A:$A,$A114,RaceResults!$D:$D,F114))</f>
        <v/>
      </c>
      <c r="M114" s="11">
        <f t="shared" si="1"/>
        <v>0</v>
      </c>
    </row>
    <row r="115" spans="1:13" x14ac:dyDescent="0.3">
      <c r="A115" s="9">
        <v>12</v>
      </c>
      <c r="B115" s="9" t="s">
        <v>71</v>
      </c>
      <c r="C115" s="10" t="s">
        <v>26</v>
      </c>
      <c r="D115" s="3"/>
      <c r="E115" s="3"/>
      <c r="F115" s="3"/>
      <c r="G115" s="11" t="str">
        <f>IF(D115="","",SUMIFS(RaceResults!$C:$C,RaceResults!$A:$A,$A115,RaceResults!$D:$D,D115))</f>
        <v/>
      </c>
      <c r="H115" s="11" t="str">
        <f>IF(E115="","",SUMIFS(RaceResults!$C:$C,RaceResults!$A:$A,$A115,RaceResults!$D:$D,E115))</f>
        <v/>
      </c>
      <c r="I115" s="11" t="str">
        <f>IF(F115="","",SUMIFS(RaceResults!$C:$C,RaceResults!$A:$A,$A115,RaceResults!$D:$D,F115))</f>
        <v/>
      </c>
      <c r="J115" s="11" t="str">
        <f>IF(D115="","",SUMIFS(RaceResults!$E:$E,RaceResults!$A:$A,$A115,RaceResults!$D:$D,D115))</f>
        <v/>
      </c>
      <c r="K115" s="11" t="str">
        <f>IF(E115="","",SUMIFS(RaceResults!$E:$E,RaceResults!$A:$A,$A115,RaceResults!$D:$D,E115))</f>
        <v/>
      </c>
      <c r="L115" s="11" t="str">
        <f>IF(F115="","",SUMIFS(RaceResults!$E:$E,RaceResults!$A:$A,$A115,RaceResults!$D:$D,F115))</f>
        <v/>
      </c>
      <c r="M115" s="11">
        <f t="shared" si="1"/>
        <v>0</v>
      </c>
    </row>
    <row r="116" spans="1:13" x14ac:dyDescent="0.3">
      <c r="A116" s="9">
        <v>12</v>
      </c>
      <c r="B116" s="9" t="s">
        <v>71</v>
      </c>
      <c r="C116" s="10" t="s">
        <v>27</v>
      </c>
      <c r="D116" s="3"/>
      <c r="E116" s="3"/>
      <c r="F116" s="3"/>
      <c r="G116" s="11" t="str">
        <f>IF(D116="","",SUMIFS(RaceResults!$C:$C,RaceResults!$A:$A,$A116,RaceResults!$D:$D,D116))</f>
        <v/>
      </c>
      <c r="H116" s="11" t="str">
        <f>IF(E116="","",SUMIFS(RaceResults!$C:$C,RaceResults!$A:$A,$A116,RaceResults!$D:$D,E116))</f>
        <v/>
      </c>
      <c r="I116" s="11" t="str">
        <f>IF(F116="","",SUMIFS(RaceResults!$C:$C,RaceResults!$A:$A,$A116,RaceResults!$D:$D,F116))</f>
        <v/>
      </c>
      <c r="J116" s="11" t="str">
        <f>IF(D116="","",SUMIFS(RaceResults!$E:$E,RaceResults!$A:$A,$A116,RaceResults!$D:$D,D116))</f>
        <v/>
      </c>
      <c r="K116" s="11" t="str">
        <f>IF(E116="","",SUMIFS(RaceResults!$E:$E,RaceResults!$A:$A,$A116,RaceResults!$D:$D,E116))</f>
        <v/>
      </c>
      <c r="L116" s="11" t="str">
        <f>IF(F116="","",SUMIFS(RaceResults!$E:$E,RaceResults!$A:$A,$A116,RaceResults!$D:$D,F116))</f>
        <v/>
      </c>
      <c r="M116" s="11">
        <f t="shared" si="1"/>
        <v>0</v>
      </c>
    </row>
    <row r="117" spans="1:13" x14ac:dyDescent="0.3">
      <c r="A117" s="9">
        <v>12</v>
      </c>
      <c r="B117" s="9" t="s">
        <v>71</v>
      </c>
      <c r="C117" s="10" t="s">
        <v>28</v>
      </c>
      <c r="D117" s="3"/>
      <c r="E117" s="3"/>
      <c r="F117" s="3"/>
      <c r="G117" s="11" t="str">
        <f>IF(D117="","",SUMIFS(RaceResults!$C:$C,RaceResults!$A:$A,$A117,RaceResults!$D:$D,D117))</f>
        <v/>
      </c>
      <c r="H117" s="11" t="str">
        <f>IF(E117="","",SUMIFS(RaceResults!$C:$C,RaceResults!$A:$A,$A117,RaceResults!$D:$D,E117))</f>
        <v/>
      </c>
      <c r="I117" s="11" t="str">
        <f>IF(F117="","",SUMIFS(RaceResults!$C:$C,RaceResults!$A:$A,$A117,RaceResults!$D:$D,F117))</f>
        <v/>
      </c>
      <c r="J117" s="11" t="str">
        <f>IF(D117="","",SUMIFS(RaceResults!$E:$E,RaceResults!$A:$A,$A117,RaceResults!$D:$D,D117))</f>
        <v/>
      </c>
      <c r="K117" s="11" t="str">
        <f>IF(E117="","",SUMIFS(RaceResults!$E:$E,RaceResults!$A:$A,$A117,RaceResults!$D:$D,E117))</f>
        <v/>
      </c>
      <c r="L117" s="11" t="str">
        <f>IF(F117="","",SUMIFS(RaceResults!$E:$E,RaceResults!$A:$A,$A117,RaceResults!$D:$D,F117))</f>
        <v/>
      </c>
      <c r="M117" s="11">
        <f t="shared" si="1"/>
        <v>0</v>
      </c>
    </row>
    <row r="118" spans="1:13" x14ac:dyDescent="0.3">
      <c r="A118" s="9">
        <v>12</v>
      </c>
      <c r="B118" s="9" t="s">
        <v>71</v>
      </c>
      <c r="C118" s="10" t="s">
        <v>29</v>
      </c>
      <c r="D118" s="3"/>
      <c r="E118" s="3"/>
      <c r="F118" s="3"/>
      <c r="G118" s="11" t="str">
        <f>IF(D118="","",SUMIFS(RaceResults!$C:$C,RaceResults!$A:$A,$A118,RaceResults!$D:$D,D118))</f>
        <v/>
      </c>
      <c r="H118" s="11" t="str">
        <f>IF(E118="","",SUMIFS(RaceResults!$C:$C,RaceResults!$A:$A,$A118,RaceResults!$D:$D,E118))</f>
        <v/>
      </c>
      <c r="I118" s="11" t="str">
        <f>IF(F118="","",SUMIFS(RaceResults!$C:$C,RaceResults!$A:$A,$A118,RaceResults!$D:$D,F118))</f>
        <v/>
      </c>
      <c r="J118" s="11" t="str">
        <f>IF(D118="","",SUMIFS(RaceResults!$E:$E,RaceResults!$A:$A,$A118,RaceResults!$D:$D,D118))</f>
        <v/>
      </c>
      <c r="K118" s="11" t="str">
        <f>IF(E118="","",SUMIFS(RaceResults!$E:$E,RaceResults!$A:$A,$A118,RaceResults!$D:$D,E118))</f>
        <v/>
      </c>
      <c r="L118" s="11" t="str">
        <f>IF(F118="","",SUMIFS(RaceResults!$E:$E,RaceResults!$A:$A,$A118,RaceResults!$D:$D,F118))</f>
        <v/>
      </c>
      <c r="M118" s="11">
        <f t="shared" si="1"/>
        <v>0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/>
      <c r="E120" s="3"/>
      <c r="F120" s="3"/>
      <c r="G120" s="11" t="str">
        <f>IF(D120="","",SUMIFS(RaceResults!$C:$C,RaceResults!$A:$A,$A120,RaceResults!$D:$D,D120))</f>
        <v/>
      </c>
      <c r="H120" s="11" t="str">
        <f>IF(E120="","",SUMIFS(RaceResults!$C:$C,RaceResults!$A:$A,$A120,RaceResults!$D:$D,E120))</f>
        <v/>
      </c>
      <c r="I120" s="11" t="str">
        <f>IF(F120="","",SUMIFS(RaceResults!$C:$C,RaceResults!$A:$A,$A120,RaceResults!$D:$D,F120))</f>
        <v/>
      </c>
      <c r="J120" s="11" t="str">
        <f>IF(D120="","",SUMIFS(RaceResults!$E:$E,RaceResults!$A:$A,$A120,RaceResults!$D:$D,D120))</f>
        <v/>
      </c>
      <c r="K120" s="11" t="str">
        <f>IF(E120="","",SUMIFS(RaceResults!$E:$E,RaceResults!$A:$A,$A120,RaceResults!$D:$D,E120))</f>
        <v/>
      </c>
      <c r="L120" s="11" t="str">
        <f>IF(F120="","",SUMIFS(RaceResults!$E:$E,RaceResults!$A:$A,$A120,RaceResults!$D:$D,F120))</f>
        <v/>
      </c>
      <c r="M120" s="11">
        <f t="shared" si="1"/>
        <v>0</v>
      </c>
    </row>
    <row r="121" spans="1:13" x14ac:dyDescent="0.3">
      <c r="A121" s="9">
        <v>12</v>
      </c>
      <c r="B121" s="9" t="s">
        <v>71</v>
      </c>
      <c r="C121" s="10" t="s">
        <v>32</v>
      </c>
      <c r="D121" s="3"/>
      <c r="E121" s="3"/>
      <c r="F121" s="3"/>
      <c r="G121" s="11" t="str">
        <f>IF(D121="","",SUMIFS(RaceResults!$C:$C,RaceResults!$A:$A,$A121,RaceResults!$D:$D,D121))</f>
        <v/>
      </c>
      <c r="H121" s="11" t="str">
        <f>IF(E121="","",SUMIFS(RaceResults!$C:$C,RaceResults!$A:$A,$A121,RaceResults!$D:$D,E121))</f>
        <v/>
      </c>
      <c r="I121" s="11" t="str">
        <f>IF(F121="","",SUMIFS(RaceResults!$C:$C,RaceResults!$A:$A,$A121,RaceResults!$D:$D,F121))</f>
        <v/>
      </c>
      <c r="J121" s="11" t="str">
        <f>IF(D121="","",SUMIFS(RaceResults!$E:$E,RaceResults!$A:$A,$A121,RaceResults!$D:$D,D121))</f>
        <v/>
      </c>
      <c r="K121" s="11" t="str">
        <f>IF(E121="","",SUMIFS(RaceResults!$E:$E,RaceResults!$A:$A,$A121,RaceResults!$D:$D,E121))</f>
        <v/>
      </c>
      <c r="L121" s="11" t="str">
        <f>IF(F121="","",SUMIFS(RaceResults!$E:$E,RaceResults!$A:$A,$A121,RaceResults!$D:$D,F121))</f>
        <v/>
      </c>
      <c r="M121" s="11">
        <f t="shared" si="1"/>
        <v>0</v>
      </c>
    </row>
    <row r="122" spans="1:13" x14ac:dyDescent="0.3">
      <c r="A122" s="9">
        <v>13</v>
      </c>
      <c r="B122" s="9" t="s">
        <v>73</v>
      </c>
      <c r="C122" s="10" t="s">
        <v>21</v>
      </c>
      <c r="D122" s="3"/>
      <c r="E122" s="3"/>
      <c r="F122" s="3"/>
      <c r="G122" s="11" t="str">
        <f>IF(D122="","",SUMIFS(RaceResults!$C:$C,RaceResults!$A:$A,$A122,RaceResults!$D:$D,D122))</f>
        <v/>
      </c>
      <c r="H122" s="11" t="str">
        <f>IF(E122="","",SUMIFS(RaceResults!$C:$C,RaceResults!$A:$A,$A122,RaceResults!$D:$D,E122))</f>
        <v/>
      </c>
      <c r="I122" s="11" t="str">
        <f>IF(F122="","",SUMIFS(RaceResults!$C:$C,RaceResults!$A:$A,$A122,RaceResults!$D:$D,F122))</f>
        <v/>
      </c>
      <c r="J122" s="11" t="str">
        <f>IF(D122="","",SUMIFS(RaceResults!$E:$E,RaceResults!$A:$A,$A122,RaceResults!$D:$D,D122))</f>
        <v/>
      </c>
      <c r="K122" s="11" t="str">
        <f>IF(E122="","",SUMIFS(RaceResults!$E:$E,RaceResults!$A:$A,$A122,RaceResults!$D:$D,E122))</f>
        <v/>
      </c>
      <c r="L122" s="11" t="str">
        <f>IF(F122="","",SUMIFS(RaceResults!$E:$E,RaceResults!$A:$A,$A122,RaceResults!$D:$D,F122))</f>
        <v/>
      </c>
      <c r="M122" s="11">
        <f t="shared" si="1"/>
        <v>0</v>
      </c>
    </row>
    <row r="123" spans="1:13" x14ac:dyDescent="0.3">
      <c r="A123" s="9">
        <v>13</v>
      </c>
      <c r="B123" s="9" t="s">
        <v>73</v>
      </c>
      <c r="C123" s="10" t="s">
        <v>22</v>
      </c>
      <c r="D123" s="3"/>
      <c r="E123" s="3"/>
      <c r="F123" s="3"/>
      <c r="G123" s="11" t="str">
        <f>IF(D123="","",SUMIFS(RaceResults!$C:$C,RaceResults!$A:$A,$A123,RaceResults!$D:$D,D123))</f>
        <v/>
      </c>
      <c r="H123" s="11" t="str">
        <f>IF(E123="","",SUMIFS(RaceResults!$C:$C,RaceResults!$A:$A,$A123,RaceResults!$D:$D,E123))</f>
        <v/>
      </c>
      <c r="I123" s="11" t="str">
        <f>IF(F123="","",SUMIFS(RaceResults!$C:$C,RaceResults!$A:$A,$A123,RaceResults!$D:$D,F123))</f>
        <v/>
      </c>
      <c r="J123" s="11" t="str">
        <f>IF(D123="","",SUMIFS(RaceResults!$E:$E,RaceResults!$A:$A,$A123,RaceResults!$D:$D,D123))</f>
        <v/>
      </c>
      <c r="K123" s="11" t="str">
        <f>IF(E123="","",SUMIFS(RaceResults!$E:$E,RaceResults!$A:$A,$A123,RaceResults!$D:$D,E123))</f>
        <v/>
      </c>
      <c r="L123" s="11" t="str">
        <f>IF(F123="","",SUMIFS(RaceResults!$E:$E,RaceResults!$A:$A,$A123,RaceResults!$D:$D,F123))</f>
        <v/>
      </c>
      <c r="M123" s="11">
        <f t="shared" si="1"/>
        <v>0</v>
      </c>
    </row>
    <row r="124" spans="1:13" x14ac:dyDescent="0.3">
      <c r="A124" s="9">
        <v>13</v>
      </c>
      <c r="B124" s="9" t="s">
        <v>73</v>
      </c>
      <c r="C124" s="10" t="s">
        <v>25</v>
      </c>
      <c r="D124" s="3"/>
      <c r="E124" s="3"/>
      <c r="F124" s="3"/>
      <c r="G124" s="11" t="str">
        <f>IF(D124="","",SUMIFS(RaceResults!$C:$C,RaceResults!$A:$A,$A124,RaceResults!$D:$D,D124))</f>
        <v/>
      </c>
      <c r="H124" s="11" t="str">
        <f>IF(E124="","",SUMIFS(RaceResults!$C:$C,RaceResults!$A:$A,$A124,RaceResults!$D:$D,E124))</f>
        <v/>
      </c>
      <c r="I124" s="11" t="str">
        <f>IF(F124="","",SUMIFS(RaceResults!$C:$C,RaceResults!$A:$A,$A124,RaceResults!$D:$D,F124))</f>
        <v/>
      </c>
      <c r="J124" s="11" t="str">
        <f>IF(D124="","",SUMIFS(RaceResults!$E:$E,RaceResults!$A:$A,$A124,RaceResults!$D:$D,D124))</f>
        <v/>
      </c>
      <c r="K124" s="11" t="str">
        <f>IF(E124="","",SUMIFS(RaceResults!$E:$E,RaceResults!$A:$A,$A124,RaceResults!$D:$D,E124))</f>
        <v/>
      </c>
      <c r="L124" s="11" t="str">
        <f>IF(F124="","",SUMIFS(RaceResults!$E:$E,RaceResults!$A:$A,$A124,RaceResults!$D:$D,F124))</f>
        <v/>
      </c>
      <c r="M124" s="11">
        <f t="shared" si="1"/>
        <v>0</v>
      </c>
    </row>
    <row r="125" spans="1:13" x14ac:dyDescent="0.3">
      <c r="A125" s="9">
        <v>13</v>
      </c>
      <c r="B125" s="9" t="s">
        <v>73</v>
      </c>
      <c r="C125" s="10" t="s">
        <v>26</v>
      </c>
      <c r="D125" s="3"/>
      <c r="E125" s="3"/>
      <c r="F125" s="3"/>
      <c r="G125" s="11" t="str">
        <f>IF(D125="","",SUMIFS(RaceResults!$C:$C,RaceResults!$A:$A,$A125,RaceResults!$D:$D,D125))</f>
        <v/>
      </c>
      <c r="H125" s="11" t="str">
        <f>IF(E125="","",SUMIFS(RaceResults!$C:$C,RaceResults!$A:$A,$A125,RaceResults!$D:$D,E125))</f>
        <v/>
      </c>
      <c r="I125" s="11" t="str">
        <f>IF(F125="","",SUMIFS(RaceResults!$C:$C,RaceResults!$A:$A,$A125,RaceResults!$D:$D,F125))</f>
        <v/>
      </c>
      <c r="J125" s="11" t="str">
        <f>IF(D125="","",SUMIFS(RaceResults!$E:$E,RaceResults!$A:$A,$A125,RaceResults!$D:$D,D125))</f>
        <v/>
      </c>
      <c r="K125" s="11" t="str">
        <f>IF(E125="","",SUMIFS(RaceResults!$E:$E,RaceResults!$A:$A,$A125,RaceResults!$D:$D,E125))</f>
        <v/>
      </c>
      <c r="L125" s="11" t="str">
        <f>IF(F125="","",SUMIFS(RaceResults!$E:$E,RaceResults!$A:$A,$A125,RaceResults!$D:$D,F125))</f>
        <v/>
      </c>
      <c r="M125" s="11">
        <f t="shared" si="1"/>
        <v>0</v>
      </c>
    </row>
    <row r="126" spans="1:13" x14ac:dyDescent="0.3">
      <c r="A126" s="9">
        <v>13</v>
      </c>
      <c r="B126" s="9" t="s">
        <v>73</v>
      </c>
      <c r="C126" s="10" t="s">
        <v>27</v>
      </c>
      <c r="D126" s="3"/>
      <c r="E126" s="3"/>
      <c r="F126" s="3"/>
      <c r="G126" s="11" t="str">
        <f>IF(D126="","",SUMIFS(RaceResults!$C:$C,RaceResults!$A:$A,$A126,RaceResults!$D:$D,D126))</f>
        <v/>
      </c>
      <c r="H126" s="11" t="str">
        <f>IF(E126="","",SUMIFS(RaceResults!$C:$C,RaceResults!$A:$A,$A126,RaceResults!$D:$D,E126))</f>
        <v/>
      </c>
      <c r="I126" s="11" t="str">
        <f>IF(F126="","",SUMIFS(RaceResults!$C:$C,RaceResults!$A:$A,$A126,RaceResults!$D:$D,F126))</f>
        <v/>
      </c>
      <c r="J126" s="11" t="str">
        <f>IF(D126="","",SUMIFS(RaceResults!$E:$E,RaceResults!$A:$A,$A126,RaceResults!$D:$D,D126))</f>
        <v/>
      </c>
      <c r="K126" s="11" t="str">
        <f>IF(E126="","",SUMIFS(RaceResults!$E:$E,RaceResults!$A:$A,$A126,RaceResults!$D:$D,E126))</f>
        <v/>
      </c>
      <c r="L126" s="11" t="str">
        <f>IF(F126="","",SUMIFS(RaceResults!$E:$E,RaceResults!$A:$A,$A126,RaceResults!$D:$D,F126))</f>
        <v/>
      </c>
      <c r="M126" s="11">
        <f t="shared" si="1"/>
        <v>0</v>
      </c>
    </row>
    <row r="127" spans="1:13" x14ac:dyDescent="0.3">
      <c r="A127" s="9">
        <v>13</v>
      </c>
      <c r="B127" s="9" t="s">
        <v>73</v>
      </c>
      <c r="C127" s="10" t="s">
        <v>28</v>
      </c>
      <c r="D127" s="3"/>
      <c r="E127" s="3"/>
      <c r="F127" s="3"/>
      <c r="G127" s="11" t="str">
        <f>IF(D127="","",SUMIFS(RaceResults!$C:$C,RaceResults!$A:$A,$A127,RaceResults!$D:$D,D127))</f>
        <v/>
      </c>
      <c r="H127" s="11" t="str">
        <f>IF(E127="","",SUMIFS(RaceResults!$C:$C,RaceResults!$A:$A,$A127,RaceResults!$D:$D,E127))</f>
        <v/>
      </c>
      <c r="I127" s="11" t="str">
        <f>IF(F127="","",SUMIFS(RaceResults!$C:$C,RaceResults!$A:$A,$A127,RaceResults!$D:$D,F127))</f>
        <v/>
      </c>
      <c r="J127" s="11" t="str">
        <f>IF(D127="","",SUMIFS(RaceResults!$E:$E,RaceResults!$A:$A,$A127,RaceResults!$D:$D,D127))</f>
        <v/>
      </c>
      <c r="K127" s="11" t="str">
        <f>IF(E127="","",SUMIFS(RaceResults!$E:$E,RaceResults!$A:$A,$A127,RaceResults!$D:$D,E127))</f>
        <v/>
      </c>
      <c r="L127" s="11" t="str">
        <f>IF(F127="","",SUMIFS(RaceResults!$E:$E,RaceResults!$A:$A,$A127,RaceResults!$D:$D,F127))</f>
        <v/>
      </c>
      <c r="M127" s="11">
        <f t="shared" si="1"/>
        <v>0</v>
      </c>
    </row>
    <row r="128" spans="1:13" x14ac:dyDescent="0.3">
      <c r="A128" s="9">
        <v>13</v>
      </c>
      <c r="B128" s="9" t="s">
        <v>73</v>
      </c>
      <c r="C128" s="10" t="s">
        <v>29</v>
      </c>
      <c r="D128" s="3"/>
      <c r="E128" s="3"/>
      <c r="F128" s="3"/>
      <c r="G128" s="11" t="str">
        <f>IF(D128="","",SUMIFS(RaceResults!$C:$C,RaceResults!$A:$A,$A128,RaceResults!$D:$D,D128))</f>
        <v/>
      </c>
      <c r="H128" s="11" t="str">
        <f>IF(E128="","",SUMIFS(RaceResults!$C:$C,RaceResults!$A:$A,$A128,RaceResults!$D:$D,E128))</f>
        <v/>
      </c>
      <c r="I128" s="11" t="str">
        <f>IF(F128="","",SUMIFS(RaceResults!$C:$C,RaceResults!$A:$A,$A128,RaceResults!$D:$D,F128))</f>
        <v/>
      </c>
      <c r="J128" s="11" t="str">
        <f>IF(D128="","",SUMIFS(RaceResults!$E:$E,RaceResults!$A:$A,$A128,RaceResults!$D:$D,D128))</f>
        <v/>
      </c>
      <c r="K128" s="11" t="str">
        <f>IF(E128="","",SUMIFS(RaceResults!$E:$E,RaceResults!$A:$A,$A128,RaceResults!$D:$D,E128))</f>
        <v/>
      </c>
      <c r="L128" s="11" t="str">
        <f>IF(F128="","",SUMIFS(RaceResults!$E:$E,RaceResults!$A:$A,$A128,RaceResults!$D:$D,F128))</f>
        <v/>
      </c>
      <c r="M128" s="11">
        <f t="shared" si="1"/>
        <v>0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/>
      <c r="E130" s="3"/>
      <c r="F130" s="3"/>
      <c r="G130" s="11" t="str">
        <f>IF(D130="","",SUMIFS(RaceResults!$C:$C,RaceResults!$A:$A,$A130,RaceResults!$D:$D,D130))</f>
        <v/>
      </c>
      <c r="H130" s="11" t="str">
        <f>IF(E130="","",SUMIFS(RaceResults!$C:$C,RaceResults!$A:$A,$A130,RaceResults!$D:$D,E130))</f>
        <v/>
      </c>
      <c r="I130" s="11" t="str">
        <f>IF(F130="","",SUMIFS(RaceResults!$C:$C,RaceResults!$A:$A,$A130,RaceResults!$D:$D,F130))</f>
        <v/>
      </c>
      <c r="J130" s="11" t="str">
        <f>IF(D130="","",SUMIFS(RaceResults!$E:$E,RaceResults!$A:$A,$A130,RaceResults!$D:$D,D130))</f>
        <v/>
      </c>
      <c r="K130" s="11" t="str">
        <f>IF(E130="","",SUMIFS(RaceResults!$E:$E,RaceResults!$A:$A,$A130,RaceResults!$D:$D,E130))</f>
        <v/>
      </c>
      <c r="L130" s="11" t="str">
        <f>IF(F130="","",SUMIFS(RaceResults!$E:$E,RaceResults!$A:$A,$A130,RaceResults!$D:$D,F130))</f>
        <v/>
      </c>
      <c r="M130" s="11">
        <f t="shared" ref="M130:M193" si="2">SUM(J130:L130)</f>
        <v>0</v>
      </c>
    </row>
    <row r="131" spans="1:13" x14ac:dyDescent="0.3">
      <c r="A131" s="9">
        <v>13</v>
      </c>
      <c r="B131" s="9" t="s">
        <v>73</v>
      </c>
      <c r="C131" s="10" t="s">
        <v>32</v>
      </c>
      <c r="D131" s="3"/>
      <c r="E131" s="3"/>
      <c r="F131" s="3"/>
      <c r="G131" s="11" t="str">
        <f>IF(D131="","",SUMIFS(RaceResults!$C:$C,RaceResults!$A:$A,$A131,RaceResults!$D:$D,D131))</f>
        <v/>
      </c>
      <c r="H131" s="11" t="str">
        <f>IF(E131="","",SUMIFS(RaceResults!$C:$C,RaceResults!$A:$A,$A131,RaceResults!$D:$D,E131))</f>
        <v/>
      </c>
      <c r="I131" s="11" t="str">
        <f>IF(F131="","",SUMIFS(RaceResults!$C:$C,RaceResults!$A:$A,$A131,RaceResults!$D:$D,F131))</f>
        <v/>
      </c>
      <c r="J131" s="11" t="str">
        <f>IF(D131="","",SUMIFS(RaceResults!$E:$E,RaceResults!$A:$A,$A131,RaceResults!$D:$D,D131))</f>
        <v/>
      </c>
      <c r="K131" s="11" t="str">
        <f>IF(E131="","",SUMIFS(RaceResults!$E:$E,RaceResults!$A:$A,$A131,RaceResults!$D:$D,E131))</f>
        <v/>
      </c>
      <c r="L131" s="11" t="str">
        <f>IF(F131="","",SUMIFS(RaceResults!$E:$E,RaceResults!$A:$A,$A131,RaceResults!$D:$D,F131))</f>
        <v/>
      </c>
      <c r="M131" s="11">
        <f t="shared" si="2"/>
        <v>0</v>
      </c>
    </row>
    <row r="132" spans="1:13" x14ac:dyDescent="0.3">
      <c r="A132" s="9">
        <v>14</v>
      </c>
      <c r="B132" s="9" t="s">
        <v>76</v>
      </c>
      <c r="C132" s="10" t="s">
        <v>21</v>
      </c>
      <c r="D132" s="3"/>
      <c r="E132" s="3"/>
      <c r="F132" s="3"/>
      <c r="G132" s="11" t="str">
        <f>IF(D132="","",SUMIFS(RaceResults!$C:$C,RaceResults!$A:$A,$A132,RaceResults!$D:$D,D132))</f>
        <v/>
      </c>
      <c r="H132" s="11" t="str">
        <f>IF(E132="","",SUMIFS(RaceResults!$C:$C,RaceResults!$A:$A,$A132,RaceResults!$D:$D,E132))</f>
        <v/>
      </c>
      <c r="I132" s="11" t="str">
        <f>IF(F132="","",SUMIFS(RaceResults!$C:$C,RaceResults!$A:$A,$A132,RaceResults!$D:$D,F132))</f>
        <v/>
      </c>
      <c r="J132" s="11" t="str">
        <f>IF(D132="","",SUMIFS(RaceResults!$E:$E,RaceResults!$A:$A,$A132,RaceResults!$D:$D,D132))</f>
        <v/>
      </c>
      <c r="K132" s="11" t="str">
        <f>IF(E132="","",SUMIFS(RaceResults!$E:$E,RaceResults!$A:$A,$A132,RaceResults!$D:$D,E132))</f>
        <v/>
      </c>
      <c r="L132" s="11" t="str">
        <f>IF(F132="","",SUMIFS(RaceResults!$E:$E,RaceResults!$A:$A,$A132,RaceResults!$D:$D,F132))</f>
        <v/>
      </c>
      <c r="M132" s="11">
        <f t="shared" si="2"/>
        <v>0</v>
      </c>
    </row>
    <row r="133" spans="1:13" x14ac:dyDescent="0.3">
      <c r="A133" s="9">
        <v>14</v>
      </c>
      <c r="B133" s="9" t="s">
        <v>76</v>
      </c>
      <c r="C133" s="10" t="s">
        <v>22</v>
      </c>
      <c r="D133" s="3"/>
      <c r="E133" s="3"/>
      <c r="F133" s="3"/>
      <c r="G133" s="11" t="str">
        <f>IF(D133="","",SUMIFS(RaceResults!$C:$C,RaceResults!$A:$A,$A133,RaceResults!$D:$D,D133))</f>
        <v/>
      </c>
      <c r="H133" s="11" t="str">
        <f>IF(E133="","",SUMIFS(RaceResults!$C:$C,RaceResults!$A:$A,$A133,RaceResults!$D:$D,E133))</f>
        <v/>
      </c>
      <c r="I133" s="11" t="str">
        <f>IF(F133="","",SUMIFS(RaceResults!$C:$C,RaceResults!$A:$A,$A133,RaceResults!$D:$D,F133))</f>
        <v/>
      </c>
      <c r="J133" s="11" t="str">
        <f>IF(D133="","",SUMIFS(RaceResults!$E:$E,RaceResults!$A:$A,$A133,RaceResults!$D:$D,D133))</f>
        <v/>
      </c>
      <c r="K133" s="11" t="str">
        <f>IF(E133="","",SUMIFS(RaceResults!$E:$E,RaceResults!$A:$A,$A133,RaceResults!$D:$D,E133))</f>
        <v/>
      </c>
      <c r="L133" s="11" t="str">
        <f>IF(F133="","",SUMIFS(RaceResults!$E:$E,RaceResults!$A:$A,$A133,RaceResults!$D:$D,F133))</f>
        <v/>
      </c>
      <c r="M133" s="11">
        <f t="shared" si="2"/>
        <v>0</v>
      </c>
    </row>
    <row r="134" spans="1:13" x14ac:dyDescent="0.3">
      <c r="A134" s="9">
        <v>14</v>
      </c>
      <c r="B134" s="9" t="s">
        <v>76</v>
      </c>
      <c r="C134" s="10" t="s">
        <v>25</v>
      </c>
      <c r="D134" s="3"/>
      <c r="E134" s="3"/>
      <c r="F134" s="3"/>
      <c r="G134" s="11" t="str">
        <f>IF(D134="","",SUMIFS(RaceResults!$C:$C,RaceResults!$A:$A,$A134,RaceResults!$D:$D,D134))</f>
        <v/>
      </c>
      <c r="H134" s="11" t="str">
        <f>IF(E134="","",SUMIFS(RaceResults!$C:$C,RaceResults!$A:$A,$A134,RaceResults!$D:$D,E134))</f>
        <v/>
      </c>
      <c r="I134" s="11" t="str">
        <f>IF(F134="","",SUMIFS(RaceResults!$C:$C,RaceResults!$A:$A,$A134,RaceResults!$D:$D,F134))</f>
        <v/>
      </c>
      <c r="J134" s="11" t="str">
        <f>IF(D134="","",SUMIFS(RaceResults!$E:$E,RaceResults!$A:$A,$A134,RaceResults!$D:$D,D134))</f>
        <v/>
      </c>
      <c r="K134" s="11" t="str">
        <f>IF(E134="","",SUMIFS(RaceResults!$E:$E,RaceResults!$A:$A,$A134,RaceResults!$D:$D,E134))</f>
        <v/>
      </c>
      <c r="L134" s="11" t="str">
        <f>IF(F134="","",SUMIFS(RaceResults!$E:$E,RaceResults!$A:$A,$A134,RaceResults!$D:$D,F134))</f>
        <v/>
      </c>
      <c r="M134" s="11">
        <f t="shared" si="2"/>
        <v>0</v>
      </c>
    </row>
    <row r="135" spans="1:13" x14ac:dyDescent="0.3">
      <c r="A135" s="9">
        <v>14</v>
      </c>
      <c r="B135" s="9" t="s">
        <v>76</v>
      </c>
      <c r="C135" s="10" t="s">
        <v>26</v>
      </c>
      <c r="D135" s="3"/>
      <c r="E135" s="3"/>
      <c r="F135" s="3"/>
      <c r="G135" s="11" t="str">
        <f>IF(D135="","",SUMIFS(RaceResults!$C:$C,RaceResults!$A:$A,$A135,RaceResults!$D:$D,D135))</f>
        <v/>
      </c>
      <c r="H135" s="11" t="str">
        <f>IF(E135="","",SUMIFS(RaceResults!$C:$C,RaceResults!$A:$A,$A135,RaceResults!$D:$D,E135))</f>
        <v/>
      </c>
      <c r="I135" s="11" t="str">
        <f>IF(F135="","",SUMIFS(RaceResults!$C:$C,RaceResults!$A:$A,$A135,RaceResults!$D:$D,F135))</f>
        <v/>
      </c>
      <c r="J135" s="11" t="str">
        <f>IF(D135="","",SUMIFS(RaceResults!$E:$E,RaceResults!$A:$A,$A135,RaceResults!$D:$D,D135))</f>
        <v/>
      </c>
      <c r="K135" s="11" t="str">
        <f>IF(E135="","",SUMIFS(RaceResults!$E:$E,RaceResults!$A:$A,$A135,RaceResults!$D:$D,E135))</f>
        <v/>
      </c>
      <c r="L135" s="11" t="str">
        <f>IF(F135="","",SUMIFS(RaceResults!$E:$E,RaceResults!$A:$A,$A135,RaceResults!$D:$D,F135))</f>
        <v/>
      </c>
      <c r="M135" s="11">
        <f t="shared" si="2"/>
        <v>0</v>
      </c>
    </row>
    <row r="136" spans="1:13" x14ac:dyDescent="0.3">
      <c r="A136" s="9">
        <v>14</v>
      </c>
      <c r="B136" s="9" t="s">
        <v>76</v>
      </c>
      <c r="C136" s="10" t="s">
        <v>27</v>
      </c>
      <c r="D136" s="3"/>
      <c r="E136" s="3"/>
      <c r="F136" s="3"/>
      <c r="G136" s="11" t="str">
        <f>IF(D136="","",SUMIFS(RaceResults!$C:$C,RaceResults!$A:$A,$A136,RaceResults!$D:$D,D136))</f>
        <v/>
      </c>
      <c r="H136" s="11" t="str">
        <f>IF(E136="","",SUMIFS(RaceResults!$C:$C,RaceResults!$A:$A,$A136,RaceResults!$D:$D,E136))</f>
        <v/>
      </c>
      <c r="I136" s="11" t="str">
        <f>IF(F136="","",SUMIFS(RaceResults!$C:$C,RaceResults!$A:$A,$A136,RaceResults!$D:$D,F136))</f>
        <v/>
      </c>
      <c r="J136" s="11" t="str">
        <f>IF(D136="","",SUMIFS(RaceResults!$E:$E,RaceResults!$A:$A,$A136,RaceResults!$D:$D,D136))</f>
        <v/>
      </c>
      <c r="K136" s="11" t="str">
        <f>IF(E136="","",SUMIFS(RaceResults!$E:$E,RaceResults!$A:$A,$A136,RaceResults!$D:$D,E136))</f>
        <v/>
      </c>
      <c r="L136" s="11" t="str">
        <f>IF(F136="","",SUMIFS(RaceResults!$E:$E,RaceResults!$A:$A,$A136,RaceResults!$D:$D,F136))</f>
        <v/>
      </c>
      <c r="M136" s="11">
        <f t="shared" si="2"/>
        <v>0</v>
      </c>
    </row>
    <row r="137" spans="1:13" x14ac:dyDescent="0.3">
      <c r="A137" s="9">
        <v>14</v>
      </c>
      <c r="B137" s="9" t="s">
        <v>76</v>
      </c>
      <c r="C137" s="10" t="s">
        <v>28</v>
      </c>
      <c r="D137" s="3"/>
      <c r="E137" s="3"/>
      <c r="F137" s="3"/>
      <c r="G137" s="11" t="str">
        <f>IF(D137="","",SUMIFS(RaceResults!$C:$C,RaceResults!$A:$A,$A137,RaceResults!$D:$D,D137))</f>
        <v/>
      </c>
      <c r="H137" s="11" t="str">
        <f>IF(E137="","",SUMIFS(RaceResults!$C:$C,RaceResults!$A:$A,$A137,RaceResults!$D:$D,E137))</f>
        <v/>
      </c>
      <c r="I137" s="11" t="str">
        <f>IF(F137="","",SUMIFS(RaceResults!$C:$C,RaceResults!$A:$A,$A137,RaceResults!$D:$D,F137))</f>
        <v/>
      </c>
      <c r="J137" s="11" t="str">
        <f>IF(D137="","",SUMIFS(RaceResults!$E:$E,RaceResults!$A:$A,$A137,RaceResults!$D:$D,D137))</f>
        <v/>
      </c>
      <c r="K137" s="11" t="str">
        <f>IF(E137="","",SUMIFS(RaceResults!$E:$E,RaceResults!$A:$A,$A137,RaceResults!$D:$D,E137))</f>
        <v/>
      </c>
      <c r="L137" s="11" t="str">
        <f>IF(F137="","",SUMIFS(RaceResults!$E:$E,RaceResults!$A:$A,$A137,RaceResults!$D:$D,F137))</f>
        <v/>
      </c>
      <c r="M137" s="11">
        <f t="shared" si="2"/>
        <v>0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/>
      <c r="E140" s="3"/>
      <c r="F140" s="3"/>
      <c r="G140" s="11" t="str">
        <f>IF(D140="","",SUMIFS(RaceResults!$C:$C,RaceResults!$A:$A,$A140,RaceResults!$D:$D,D140))</f>
        <v/>
      </c>
      <c r="H140" s="11" t="str">
        <f>IF(E140="","",SUMIFS(RaceResults!$C:$C,RaceResults!$A:$A,$A140,RaceResults!$D:$D,E140))</f>
        <v/>
      </c>
      <c r="I140" s="11" t="str">
        <f>IF(F140="","",SUMIFS(RaceResults!$C:$C,RaceResults!$A:$A,$A140,RaceResults!$D:$D,F140))</f>
        <v/>
      </c>
      <c r="J140" s="11" t="str">
        <f>IF(D140="","",SUMIFS(RaceResults!$E:$E,RaceResults!$A:$A,$A140,RaceResults!$D:$D,D140))</f>
        <v/>
      </c>
      <c r="K140" s="11" t="str">
        <f>IF(E140="","",SUMIFS(RaceResults!$E:$E,RaceResults!$A:$A,$A140,RaceResults!$D:$D,E140))</f>
        <v/>
      </c>
      <c r="L140" s="11" t="str">
        <f>IF(F140="","",SUMIFS(RaceResults!$E:$E,RaceResults!$A:$A,$A140,RaceResults!$D:$D,F140))</f>
        <v/>
      </c>
      <c r="M140" s="11">
        <f t="shared" si="2"/>
        <v>0</v>
      </c>
    </row>
    <row r="141" spans="1:13" x14ac:dyDescent="0.3">
      <c r="A141" s="9">
        <v>14</v>
      </c>
      <c r="B141" s="9" t="s">
        <v>76</v>
      </c>
      <c r="C141" s="10" t="s">
        <v>32</v>
      </c>
      <c r="D141" s="3"/>
      <c r="E141" s="3"/>
      <c r="F141" s="3"/>
      <c r="G141" s="11" t="str">
        <f>IF(D141="","",SUMIFS(RaceResults!$C:$C,RaceResults!$A:$A,$A141,RaceResults!$D:$D,D141))</f>
        <v/>
      </c>
      <c r="H141" s="11" t="str">
        <f>IF(E141="","",SUMIFS(RaceResults!$C:$C,RaceResults!$A:$A,$A141,RaceResults!$D:$D,E141))</f>
        <v/>
      </c>
      <c r="I141" s="11" t="str">
        <f>IF(F141="","",SUMIFS(RaceResults!$C:$C,RaceResults!$A:$A,$A141,RaceResults!$D:$D,F141))</f>
        <v/>
      </c>
      <c r="J141" s="11" t="str">
        <f>IF(D141="","",SUMIFS(RaceResults!$E:$E,RaceResults!$A:$A,$A141,RaceResults!$D:$D,D141))</f>
        <v/>
      </c>
      <c r="K141" s="11" t="str">
        <f>IF(E141="","",SUMIFS(RaceResults!$E:$E,RaceResults!$A:$A,$A141,RaceResults!$D:$D,E141))</f>
        <v/>
      </c>
      <c r="L141" s="11" t="str">
        <f>IF(F141="","",SUMIFS(RaceResults!$E:$E,RaceResults!$A:$A,$A141,RaceResults!$D:$D,F141))</f>
        <v/>
      </c>
      <c r="M141" s="11">
        <f t="shared" si="2"/>
        <v>0</v>
      </c>
    </row>
    <row r="142" spans="1:13" x14ac:dyDescent="0.3">
      <c r="A142" s="9">
        <v>15</v>
      </c>
      <c r="B142" s="9" t="s">
        <v>78</v>
      </c>
      <c r="C142" s="10" t="s">
        <v>21</v>
      </c>
      <c r="D142" s="3"/>
      <c r="E142" s="3"/>
      <c r="F142" s="3"/>
      <c r="G142" s="11" t="str">
        <f>IF(D142="","",SUMIFS(RaceResults!$C:$C,RaceResults!$A:$A,$A142,RaceResults!$D:$D,D142))</f>
        <v/>
      </c>
      <c r="H142" s="11" t="str">
        <f>IF(E142="","",SUMIFS(RaceResults!$C:$C,RaceResults!$A:$A,$A142,RaceResults!$D:$D,E142))</f>
        <v/>
      </c>
      <c r="I142" s="11" t="str">
        <f>IF(F142="","",SUMIFS(RaceResults!$C:$C,RaceResults!$A:$A,$A142,RaceResults!$D:$D,F142))</f>
        <v/>
      </c>
      <c r="J142" s="11" t="str">
        <f>IF(D142="","",SUMIFS(RaceResults!$E:$E,RaceResults!$A:$A,$A142,RaceResults!$D:$D,D142))</f>
        <v/>
      </c>
      <c r="K142" s="11" t="str">
        <f>IF(E142="","",SUMIFS(RaceResults!$E:$E,RaceResults!$A:$A,$A142,RaceResults!$D:$D,E142))</f>
        <v/>
      </c>
      <c r="L142" s="11" t="str">
        <f>IF(F142="","",SUMIFS(RaceResults!$E:$E,RaceResults!$A:$A,$A142,RaceResults!$D:$D,F142))</f>
        <v/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/>
      <c r="E143" s="3"/>
      <c r="F143" s="3"/>
      <c r="G143" s="11" t="str">
        <f>IF(D143="","",SUMIFS(RaceResults!$C:$C,RaceResults!$A:$A,$A143,RaceResults!$D:$D,D143))</f>
        <v/>
      </c>
      <c r="H143" s="11" t="str">
        <f>IF(E143="","",SUMIFS(RaceResults!$C:$C,RaceResults!$A:$A,$A143,RaceResults!$D:$D,E143))</f>
        <v/>
      </c>
      <c r="I143" s="11" t="str">
        <f>IF(F143="","",SUMIFS(RaceResults!$C:$C,RaceResults!$A:$A,$A143,RaceResults!$D:$D,F143))</f>
        <v/>
      </c>
      <c r="J143" s="11" t="str">
        <f>IF(D143="","",SUMIFS(RaceResults!$E:$E,RaceResults!$A:$A,$A143,RaceResults!$D:$D,D143))</f>
        <v/>
      </c>
      <c r="K143" s="11" t="str">
        <f>IF(E143="","",SUMIFS(RaceResults!$E:$E,RaceResults!$A:$A,$A143,RaceResults!$D:$D,E143))</f>
        <v/>
      </c>
      <c r="L143" s="11" t="str">
        <f>IF(F143="","",SUMIFS(RaceResults!$E:$E,RaceResults!$A:$A,$A143,RaceResults!$D:$D,F143))</f>
        <v/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/>
      <c r="E144" s="3"/>
      <c r="F144" s="3"/>
      <c r="G144" s="11" t="str">
        <f>IF(D144="","",SUMIFS(RaceResults!$C:$C,RaceResults!$A:$A,$A144,RaceResults!$D:$D,D144))</f>
        <v/>
      </c>
      <c r="H144" s="11" t="str">
        <f>IF(E144="","",SUMIFS(RaceResults!$C:$C,RaceResults!$A:$A,$A144,RaceResults!$D:$D,E144))</f>
        <v/>
      </c>
      <c r="I144" s="11" t="str">
        <f>IF(F144="","",SUMIFS(RaceResults!$C:$C,RaceResults!$A:$A,$A144,RaceResults!$D:$D,F144))</f>
        <v/>
      </c>
      <c r="J144" s="11" t="str">
        <f>IF(D144="","",SUMIFS(RaceResults!$E:$E,RaceResults!$A:$A,$A144,RaceResults!$D:$D,D144))</f>
        <v/>
      </c>
      <c r="K144" s="11" t="str">
        <f>IF(E144="","",SUMIFS(RaceResults!$E:$E,RaceResults!$A:$A,$A144,RaceResults!$D:$D,E144))</f>
        <v/>
      </c>
      <c r="L144" s="11" t="str">
        <f>IF(F144="","",SUMIFS(RaceResults!$E:$E,RaceResults!$A:$A,$A144,RaceResults!$D:$D,F144))</f>
        <v/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/>
      <c r="E145" s="3"/>
      <c r="F145" s="3"/>
      <c r="G145" s="11" t="str">
        <f>IF(D145="","",SUMIFS(RaceResults!$C:$C,RaceResults!$A:$A,$A145,RaceResults!$D:$D,D145))</f>
        <v/>
      </c>
      <c r="H145" s="11" t="str">
        <f>IF(E145="","",SUMIFS(RaceResults!$C:$C,RaceResults!$A:$A,$A145,RaceResults!$D:$D,E145))</f>
        <v/>
      </c>
      <c r="I145" s="11" t="str">
        <f>IF(F145="","",SUMIFS(RaceResults!$C:$C,RaceResults!$A:$A,$A145,RaceResults!$D:$D,F145))</f>
        <v/>
      </c>
      <c r="J145" s="11" t="str">
        <f>IF(D145="","",SUMIFS(RaceResults!$E:$E,RaceResults!$A:$A,$A145,RaceResults!$D:$D,D145))</f>
        <v/>
      </c>
      <c r="K145" s="11" t="str">
        <f>IF(E145="","",SUMIFS(RaceResults!$E:$E,RaceResults!$A:$A,$A145,RaceResults!$D:$D,E145))</f>
        <v/>
      </c>
      <c r="L145" s="11" t="str">
        <f>IF(F145="","",SUMIFS(RaceResults!$E:$E,RaceResults!$A:$A,$A145,RaceResults!$D:$D,F145))</f>
        <v/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/>
      <c r="E146" s="3"/>
      <c r="F146" s="3"/>
      <c r="G146" s="11" t="str">
        <f>IF(D146="","",SUMIFS(RaceResults!$C:$C,RaceResults!$A:$A,$A146,RaceResults!$D:$D,D146))</f>
        <v/>
      </c>
      <c r="H146" s="11" t="str">
        <f>IF(E146="","",SUMIFS(RaceResults!$C:$C,RaceResults!$A:$A,$A146,RaceResults!$D:$D,E146))</f>
        <v/>
      </c>
      <c r="I146" s="11" t="str">
        <f>IF(F146="","",SUMIFS(RaceResults!$C:$C,RaceResults!$A:$A,$A146,RaceResults!$D:$D,F146))</f>
        <v/>
      </c>
      <c r="J146" s="11" t="str">
        <f>IF(D146="","",SUMIFS(RaceResults!$E:$E,RaceResults!$A:$A,$A146,RaceResults!$D:$D,D146))</f>
        <v/>
      </c>
      <c r="K146" s="11" t="str">
        <f>IF(E146="","",SUMIFS(RaceResults!$E:$E,RaceResults!$A:$A,$A146,RaceResults!$D:$D,E146))</f>
        <v/>
      </c>
      <c r="L146" s="11" t="str">
        <f>IF(F146="","",SUMIFS(RaceResults!$E:$E,RaceResults!$A:$A,$A146,RaceResults!$D:$D,F146))</f>
        <v/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/>
      <c r="E147" s="3"/>
      <c r="F147" s="3"/>
      <c r="G147" s="11" t="str">
        <f>IF(D147="","",SUMIFS(RaceResults!$C:$C,RaceResults!$A:$A,$A147,RaceResults!$D:$D,D147))</f>
        <v/>
      </c>
      <c r="H147" s="11" t="str">
        <f>IF(E147="","",SUMIFS(RaceResults!$C:$C,RaceResults!$A:$A,$A147,RaceResults!$D:$D,E147))</f>
        <v/>
      </c>
      <c r="I147" s="11" t="str">
        <f>IF(F147="","",SUMIFS(RaceResults!$C:$C,RaceResults!$A:$A,$A147,RaceResults!$D:$D,F147))</f>
        <v/>
      </c>
      <c r="J147" s="11" t="str">
        <f>IF(D147="","",SUMIFS(RaceResults!$E:$E,RaceResults!$A:$A,$A147,RaceResults!$D:$D,D147))</f>
        <v/>
      </c>
      <c r="K147" s="11" t="str">
        <f>IF(E147="","",SUMIFS(RaceResults!$E:$E,RaceResults!$A:$A,$A147,RaceResults!$D:$D,E147))</f>
        <v/>
      </c>
      <c r="L147" s="11" t="str">
        <f>IF(F147="","",SUMIFS(RaceResults!$E:$E,RaceResults!$A:$A,$A147,RaceResults!$D:$D,F147))</f>
        <v/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/>
      <c r="E150" s="3"/>
      <c r="F150" s="3"/>
      <c r="G150" s="11" t="str">
        <f>IF(D150="","",SUMIFS(RaceResults!$C:$C,RaceResults!$A:$A,$A150,RaceResults!$D:$D,D150))</f>
        <v/>
      </c>
      <c r="H150" s="11" t="str">
        <f>IF(E150="","",SUMIFS(RaceResults!$C:$C,RaceResults!$A:$A,$A150,RaceResults!$D:$D,E150))</f>
        <v/>
      </c>
      <c r="I150" s="11" t="str">
        <f>IF(F150="","",SUMIFS(RaceResults!$C:$C,RaceResults!$A:$A,$A150,RaceResults!$D:$D,F150))</f>
        <v/>
      </c>
      <c r="J150" s="11" t="str">
        <f>IF(D150="","",SUMIFS(RaceResults!$E:$E,RaceResults!$A:$A,$A150,RaceResults!$D:$D,D150))</f>
        <v/>
      </c>
      <c r="K150" s="11" t="str">
        <f>IF(E150="","",SUMIFS(RaceResults!$E:$E,RaceResults!$A:$A,$A150,RaceResults!$D:$D,E150))</f>
        <v/>
      </c>
      <c r="L150" s="11" t="str">
        <f>IF(F150="","",SUMIFS(RaceResults!$E:$E,RaceResults!$A:$A,$A150,RaceResults!$D:$D,F150))</f>
        <v/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/>
      <c r="E151" s="3"/>
      <c r="F151" s="3"/>
      <c r="G151" s="11" t="str">
        <f>IF(D151="","",SUMIFS(RaceResults!$C:$C,RaceResults!$A:$A,$A151,RaceResults!$D:$D,D151))</f>
        <v/>
      </c>
      <c r="H151" s="11" t="str">
        <f>IF(E151="","",SUMIFS(RaceResults!$C:$C,RaceResults!$A:$A,$A151,RaceResults!$D:$D,E151))</f>
        <v/>
      </c>
      <c r="I151" s="11" t="str">
        <f>IF(F151="","",SUMIFS(RaceResults!$C:$C,RaceResults!$A:$A,$A151,RaceResults!$D:$D,F151))</f>
        <v/>
      </c>
      <c r="J151" s="11" t="str">
        <f>IF(D151="","",SUMIFS(RaceResults!$E:$E,RaceResults!$A:$A,$A151,RaceResults!$D:$D,D151))</f>
        <v/>
      </c>
      <c r="K151" s="11" t="str">
        <f>IF(E151="","",SUMIFS(RaceResults!$E:$E,RaceResults!$A:$A,$A151,RaceResults!$D:$D,E151))</f>
        <v/>
      </c>
      <c r="L151" s="11" t="str">
        <f>IF(F151="","",SUMIFS(RaceResults!$E:$E,RaceResults!$A:$A,$A151,RaceResults!$D:$D,F151))</f>
        <v/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>Meg</v>
      </c>
      <c r="D12">
        <f>MAX(WeeklyPicks!$M$102:$M$111)</f>
        <v>99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>
        <f>IF(MAX(Calc!$F$302:$F$331)=0,"",INDEX(Calc!$E$302:$E$331,MATCH(MAX(Calc!$F$302:$F$331),Calc!$F$302:$F$331,0)))</f>
        <v>20</v>
      </c>
      <c r="H12">
        <f>MAX(Calc!$F$302:$F$331)</f>
        <v>38</v>
      </c>
      <c r="I12" t="str">
        <f>IF(H12=0,"",INDEX(Calc!$C$302:$C$331,MATCH(H12,Calc!$F$302:$F$331,0)))</f>
        <v>Darin</v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/>
      </c>
      <c r="D13">
        <f>MAX(WeeklyPicks!$M$112:$M$121)</f>
        <v>0</v>
      </c>
      <c r="E13">
        <f>IF(MAX(CountCalc!$D$1091:$D$1189)=0,"",INDEX(CountCalc!$C$1091:$C$1189,MATCH(MAX(CountCalc!$D$1091:$D$1189),CountCalc!$D$1091:$D$1189,0)))</f>
        <v>11</v>
      </c>
      <c r="F13">
        <f>MAX(CountCalc!$D$1091:$D$1189)</f>
        <v>1</v>
      </c>
      <c r="G13" t="str">
        <f>IF(MAX(Calc!$F$332:$F$361)=0,"",INDEX(Calc!$E$332:$E$361,MATCH(MAX(Calc!$F$332:$F$361),Calc!$F$332:$F$361,0)))</f>
        <v/>
      </c>
      <c r="H13">
        <f>MAX(Calc!$F$332:$F$361)</f>
        <v>0</v>
      </c>
      <c r="I13" t="str">
        <f>IF(H13=0,"",INDEX(Calc!$C$332:$C$361,MATCH(H13,Calc!$F$332:$F$361,0)))</f>
        <v/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/>
      </c>
      <c r="D14">
        <f>MAX(WeeklyPicks!$M$122:$M$131)</f>
        <v>0</v>
      </c>
      <c r="E14" t="str">
        <f>IF(MAX(CountCalc!$D$1190:$D$1288)=0,"",INDEX(CountCalc!$C$1190:$C$1288,MATCH(MAX(CountCalc!$D$1190:$D$1288),CountCalc!$D$1190:$D$1288,0)))</f>
        <v/>
      </c>
      <c r="F14">
        <f>MAX(CountCalc!$D$1190:$D$1288)</f>
        <v>0</v>
      </c>
      <c r="G14" t="str">
        <f>IF(MAX(Calc!$F$362:$F$391)=0,"",INDEX(Calc!$E$362:$E$391,MATCH(MAX(Calc!$F$362:$F$391),Calc!$F$362:$F$391,0)))</f>
        <v/>
      </c>
      <c r="H14">
        <f>MAX(Calc!$F$362:$F$391)</f>
        <v>0</v>
      </c>
      <c r="I14" t="str">
        <f>IF(H14=0,"",INDEX(Calc!$C$362:$C$391,MATCH(H14,Calc!$F$362:$F$391,0)))</f>
        <v/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/>
      </c>
      <c r="D15">
        <f>MAX(WeeklyPicks!$M$132:$M$141)</f>
        <v>0</v>
      </c>
      <c r="E15" t="str">
        <f>IF(MAX(CountCalc!$D$1289:$D$1387)=0,"",INDEX(CountCalc!$C$1289:$C$1387,MATCH(MAX(CountCalc!$D$1289:$D$1387),CountCalc!$D$1289:$D$1387,0)))</f>
        <v/>
      </c>
      <c r="F15">
        <f>MAX(CountCalc!$D$1289:$D$1387)</f>
        <v>0</v>
      </c>
      <c r="G15" t="str">
        <f>IF(MAX(Calc!$F$392:$F$421)=0,"",INDEX(Calc!$E$392:$E$421,MATCH(MAX(Calc!$F$392:$F$421),Calc!$F$392:$F$421,0)))</f>
        <v/>
      </c>
      <c r="H15">
        <f>MAX(Calc!$F$392:$F$421)</f>
        <v>0</v>
      </c>
      <c r="I15" t="str">
        <f>IF(H15=0,"",INDEX(Calc!$C$392:$C$421,MATCH(H15,Calc!$F$392:$F$421,0)))</f>
        <v/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 t="str">
        <f>IF(MAX(CountCalc!$D$1388:$D$1486)=0,"",INDEX(CountCalc!$C$1388:$C$1486,MATCH(MAX(CountCalc!$D$1388:$D$1486),CountCalc!$D$1388:$D$1486,0)))</f>
        <v/>
      </c>
      <c r="F16">
        <f>MAX(CountCalc!$D$1388:$D$1486)</f>
        <v>0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428" activePane="bottomLeft" state="frozen"/>
      <selection pane="bottomLeft" activeCell="G435" sqref="G435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>
        <v>9</v>
      </c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>
        <v>11</v>
      </c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>
        <v>48</v>
      </c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>
        <v>45</v>
      </c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>
        <v>17</v>
      </c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>
        <v>7</v>
      </c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>
        <v>77</v>
      </c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>
        <v>24</v>
      </c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>
        <v>23</v>
      </c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>
        <v>12</v>
      </c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>
        <v>35</v>
      </c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>
        <v>43</v>
      </c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>
        <v>6</v>
      </c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>
        <v>60</v>
      </c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>
        <v>2</v>
      </c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>
        <v>88</v>
      </c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>
        <v>97</v>
      </c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>
        <v>3</v>
      </c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>
        <v>47</v>
      </c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>
        <v>8</v>
      </c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>
        <v>42</v>
      </c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>
        <v>38</v>
      </c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>
        <v>19</v>
      </c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>
        <v>10</v>
      </c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>
        <v>16</v>
      </c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>
        <v>1</v>
      </c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>
        <v>71</v>
      </c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>
        <v>4</v>
      </c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>
        <v>21</v>
      </c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>
        <v>51</v>
      </c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>
        <v>67</v>
      </c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>
        <v>34</v>
      </c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>
        <v>66</v>
      </c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>
        <v>5</v>
      </c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>
        <v>41</v>
      </c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>
        <v>54</v>
      </c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>
        <v>22</v>
      </c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>
        <v>20</v>
      </c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/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/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/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/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/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/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/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/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/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/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/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/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/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/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/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/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/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/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/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/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/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/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/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/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/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/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/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/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/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/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/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/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/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/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/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/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/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/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/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/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/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/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/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/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/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/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/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/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/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/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/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/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/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/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/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/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/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/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/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/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/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/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/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/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/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/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/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/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/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/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/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/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/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/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/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/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/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/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/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/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/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/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/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/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/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/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/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/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/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/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/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/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/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/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/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/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/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/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/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/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/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/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/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/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/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/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/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/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/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/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/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/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/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/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/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34</v>
      </c>
      <c r="G302">
        <f>IF(E302="","",SUMIFS(RaceResults!$E:$E,RaceResults!$A:$A,A302,RaceResults!$D:$D,E302))</f>
        <v>3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7</v>
      </c>
      <c r="G303">
        <f>IF(E303="","",SUMIFS(RaceResults!$E:$E,RaceResults!$A:$A,A303,RaceResults!$D:$D,E303))</f>
        <v>30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2</v>
      </c>
      <c r="G304">
        <f>IF(E304="","",SUMIFS(RaceResults!$E:$E,RaceResults!$A:$A,A304,RaceResults!$D:$D,E304))</f>
        <v>35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2</v>
      </c>
      <c r="G305">
        <f>IF(E305="","",SUMIFS(RaceResults!$E:$E,RaceResults!$A:$A,A305,RaceResults!$D:$D,E305))</f>
        <v>35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6</v>
      </c>
      <c r="G306">
        <f>IF(E306="","",SUMIFS(RaceResults!$E:$E,RaceResults!$A:$A,A306,RaceResults!$D:$D,E306))</f>
        <v>31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4</v>
      </c>
      <c r="G307">
        <f>IF(E307="","",SUMIFS(RaceResults!$E:$E,RaceResults!$A:$A,A307,RaceResults!$D:$D,E307))</f>
        <v>33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5</v>
      </c>
      <c r="G308">
        <f>IF(E308="","",SUMIFS(RaceResults!$E:$E,RaceResults!$A:$A,A308,RaceResults!$D:$D,E308))</f>
        <v>32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23</v>
      </c>
      <c r="G309">
        <f>IF(E309="","",SUMIFS(RaceResults!$E:$E,RaceResults!$A:$A,A309,RaceResults!$D:$D,E309))</f>
        <v>14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38</v>
      </c>
      <c r="G310">
        <f>IF(E310="","",SUMIFS(RaceResults!$E:$E,RaceResults!$A:$A,A310,RaceResults!$D:$D,E310))</f>
        <v>1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2</v>
      </c>
      <c r="G311">
        <f>IF(E311="","",SUMIFS(RaceResults!$E:$E,RaceResults!$A:$A,A311,RaceResults!$D:$D,E311))</f>
        <v>35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7</v>
      </c>
      <c r="G312">
        <f>IF(E312="","",SUMIFS(RaceResults!$E:$E,RaceResults!$A:$A,A312,RaceResults!$D:$D,E312))</f>
        <v>30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10</v>
      </c>
      <c r="G313">
        <f>IF(E313="","",SUMIFS(RaceResults!$E:$E,RaceResults!$A:$A,A313,RaceResults!$D:$D,E313))</f>
        <v>27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38</v>
      </c>
      <c r="G314">
        <f>IF(E314="","",SUMIFS(RaceResults!$E:$E,RaceResults!$A:$A,A314,RaceResults!$D:$D,E314))</f>
        <v>1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2</v>
      </c>
      <c r="G315">
        <f>IF(E315="","",SUMIFS(RaceResults!$E:$E,RaceResults!$A:$A,A315,RaceResults!$D:$D,E315))</f>
        <v>35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37</v>
      </c>
      <c r="G316">
        <f>IF(E316="","",SUMIFS(RaceResults!$E:$E,RaceResults!$A:$A,A316,RaceResults!$D:$D,E316))</f>
        <v>1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19</v>
      </c>
      <c r="F317">
        <f>IF(E317="","",SUMIFS(RaceResults!$C:$C,RaceResults!$A:$A,A317,RaceResults!$D:$D,E317))</f>
        <v>23</v>
      </c>
      <c r="G317">
        <f>IF(E317="","",SUMIFS(RaceResults!$E:$E,RaceResults!$A:$A,A317,RaceResults!$D:$D,E317))</f>
        <v>14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77</v>
      </c>
      <c r="F318">
        <f>IF(E318="","",SUMIFS(RaceResults!$C:$C,RaceResults!$A:$A,A318,RaceResults!$D:$D,E318))</f>
        <v>7</v>
      </c>
      <c r="G318">
        <f>IF(E318="","",SUMIFS(RaceResults!$E:$E,RaceResults!$A:$A,A318,RaceResults!$D:$D,E318))</f>
        <v>30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45</v>
      </c>
      <c r="F319">
        <f>IF(E319="","",SUMIFS(RaceResults!$C:$C,RaceResults!$A:$A,A319,RaceResults!$D:$D,E319))</f>
        <v>4</v>
      </c>
      <c r="G319">
        <f>IF(E319="","",SUMIFS(RaceResults!$E:$E,RaceResults!$A:$A,A319,RaceResults!$D:$D,E319))</f>
        <v>33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48</v>
      </c>
      <c r="F320">
        <f>IF(E320="","",SUMIFS(RaceResults!$C:$C,RaceResults!$A:$A,A320,RaceResults!$D:$D,E320))</f>
        <v>3</v>
      </c>
      <c r="G320">
        <f>IF(E320="","",SUMIFS(RaceResults!$E:$E,RaceResults!$A:$A,A320,RaceResults!$D:$D,E320))</f>
        <v>34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5</v>
      </c>
      <c r="F321">
        <f>IF(E321="","",SUMIFS(RaceResults!$C:$C,RaceResults!$A:$A,A321,RaceResults!$D:$D,E321))</f>
        <v>34</v>
      </c>
      <c r="G321">
        <f>IF(E321="","",SUMIFS(RaceResults!$E:$E,RaceResults!$A:$A,A321,RaceResults!$D:$D,E321))</f>
        <v>3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9</v>
      </c>
      <c r="F322">
        <f>IF(E322="","",SUMIFS(RaceResults!$C:$C,RaceResults!$A:$A,A322,RaceResults!$D:$D,E322))</f>
        <v>1</v>
      </c>
      <c r="G322">
        <f>IF(E322="","",SUMIFS(RaceResults!$E:$E,RaceResults!$A:$A,A322,RaceResults!$D:$D,E322))</f>
        <v>55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34</v>
      </c>
      <c r="G326">
        <f>IF(E326="","",SUMIFS(RaceResults!$E:$E,RaceResults!$A:$A,A326,RaceResults!$D:$D,E326))</f>
        <v>3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2</v>
      </c>
      <c r="G327">
        <f>IF(E327="","",SUMIFS(RaceResults!$E:$E,RaceResults!$A:$A,A327,RaceResults!$D:$D,E327))</f>
        <v>35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7</v>
      </c>
      <c r="G328">
        <f>IF(E328="","",SUMIFS(RaceResults!$E:$E,RaceResults!$A:$A,A328,RaceResults!$D:$D,E328))</f>
        <v>30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2</v>
      </c>
      <c r="G329">
        <f>IF(E329="","",SUMIFS(RaceResults!$E:$E,RaceResults!$A:$A,A329,RaceResults!$D:$D,E329))</f>
        <v>35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20</v>
      </c>
      <c r="G330">
        <f>IF(E330="","",SUMIFS(RaceResults!$E:$E,RaceResults!$A:$A,A330,RaceResults!$D:$D,E330))</f>
        <v>17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36</v>
      </c>
      <c r="G331">
        <f>IF(E331="","",SUMIFS(RaceResults!$E:$E,RaceResults!$A:$A,A331,RaceResults!$D:$D,E331))</f>
        <v>1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97</v>
      </c>
      <c r="F332">
        <f>IF(E332="","",SUMIFS(RaceResults!$C:$C,RaceResults!$A:$A,A332,RaceResults!$D:$D,E332))</f>
        <v>0</v>
      </c>
      <c r="G332">
        <f>IF(E332="","",SUMIFS(RaceResults!$E:$E,RaceResults!$A:$A,A332,RaceResults!$D:$D,E332))</f>
        <v>0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17</v>
      </c>
      <c r="F333">
        <f>IF(E333="","",SUMIFS(RaceResults!$C:$C,RaceResults!$A:$A,A333,RaceResults!$D:$D,E333))</f>
        <v>0</v>
      </c>
      <c r="G333">
        <f>IF(E333="","",SUMIFS(RaceResults!$E:$E,RaceResults!$A:$A,A333,RaceResults!$D:$D,E333))</f>
        <v>0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11</v>
      </c>
      <c r="F334">
        <f>IF(E334="","",SUMIFS(RaceResults!$C:$C,RaceResults!$A:$A,A334,RaceResults!$D:$D,E334))</f>
        <v>0</v>
      </c>
      <c r="G334">
        <f>IF(E334="","",SUMIFS(RaceResults!$E:$E,RaceResults!$A:$A,A334,RaceResults!$D:$D,E334))</f>
        <v>0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0</v>
      </c>
      <c r="F335">
        <f>IF(E335="","",SUMIFS(RaceResults!$C:$C,RaceResults!$A:$A,A335,RaceResults!$D:$D,E335))</f>
        <v>0</v>
      </c>
      <c r="G335">
        <f>IF(E335="","",SUMIFS(RaceResults!$E:$E,RaceResults!$A:$A,A335,RaceResults!$D:$D,E335))</f>
        <v>0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0</v>
      </c>
      <c r="F336">
        <f>IF(E336="","",SUMIFS(RaceResults!$C:$C,RaceResults!$A:$A,A336,RaceResults!$D:$D,E336))</f>
        <v>0</v>
      </c>
      <c r="G336">
        <f>IF(E336="","",SUMIFS(RaceResults!$E:$E,RaceResults!$A:$A,A336,RaceResults!$D:$D,E336))</f>
        <v>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0</v>
      </c>
      <c r="F337">
        <f>IF(E337="","",SUMIFS(RaceResults!$C:$C,RaceResults!$A:$A,A337,RaceResults!$D:$D,E337))</f>
        <v>0</v>
      </c>
      <c r="G337">
        <f>IF(E337="","",SUMIFS(RaceResults!$E:$E,RaceResults!$A:$A,A337,RaceResults!$D:$D,E337))</f>
        <v>0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0</v>
      </c>
      <c r="F338">
        <f>IF(E338="","",SUMIFS(RaceResults!$C:$C,RaceResults!$A:$A,A338,RaceResults!$D:$D,E338))</f>
        <v>0</v>
      </c>
      <c r="G338">
        <f>IF(E338="","",SUMIFS(RaceResults!$E:$E,RaceResults!$A:$A,A338,RaceResults!$D:$D,E338))</f>
        <v>0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0</v>
      </c>
      <c r="F339">
        <f>IF(E339="","",SUMIFS(RaceResults!$C:$C,RaceResults!$A:$A,A339,RaceResults!$D:$D,E339))</f>
        <v>0</v>
      </c>
      <c r="G339">
        <f>IF(E339="","",SUMIFS(RaceResults!$E:$E,RaceResults!$A:$A,A339,RaceResults!$D:$D,E339))</f>
        <v>0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0</v>
      </c>
      <c r="F340">
        <f>IF(E340="","",SUMIFS(RaceResults!$C:$C,RaceResults!$A:$A,A340,RaceResults!$D:$D,E340))</f>
        <v>0</v>
      </c>
      <c r="G340">
        <f>IF(E340="","",SUMIFS(RaceResults!$E:$E,RaceResults!$A:$A,A340,RaceResults!$D:$D,E340))</f>
        <v>0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0</v>
      </c>
      <c r="F341">
        <f>IF(E341="","",SUMIFS(RaceResults!$C:$C,RaceResults!$A:$A,A341,RaceResults!$D:$D,E341))</f>
        <v>0</v>
      </c>
      <c r="G341">
        <f>IF(E341="","",SUMIFS(RaceResults!$E:$E,RaceResults!$A:$A,A341,RaceResults!$D:$D,E341))</f>
        <v>0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0</v>
      </c>
      <c r="F342">
        <f>IF(E342="","",SUMIFS(RaceResults!$C:$C,RaceResults!$A:$A,A342,RaceResults!$D:$D,E342))</f>
        <v>0</v>
      </c>
      <c r="G342">
        <f>IF(E342="","",SUMIFS(RaceResults!$E:$E,RaceResults!$A:$A,A342,RaceResults!$D:$D,E342))</f>
        <v>0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0</v>
      </c>
      <c r="F343">
        <f>IF(E343="","",SUMIFS(RaceResults!$C:$C,RaceResults!$A:$A,A343,RaceResults!$D:$D,E343))</f>
        <v>0</v>
      </c>
      <c r="G343">
        <f>IF(E343="","",SUMIFS(RaceResults!$E:$E,RaceResults!$A:$A,A343,RaceResults!$D:$D,E343))</f>
        <v>0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0</v>
      </c>
      <c r="F344">
        <f>IF(E344="","",SUMIFS(RaceResults!$C:$C,RaceResults!$A:$A,A344,RaceResults!$D:$D,E344))</f>
        <v>0</v>
      </c>
      <c r="G344">
        <f>IF(E344="","",SUMIFS(RaceResults!$E:$E,RaceResults!$A:$A,A344,RaceResults!$D:$D,E344))</f>
        <v>0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0</v>
      </c>
      <c r="F345">
        <f>IF(E345="","",SUMIFS(RaceResults!$C:$C,RaceResults!$A:$A,A345,RaceResults!$D:$D,E345))</f>
        <v>0</v>
      </c>
      <c r="G345">
        <f>IF(E345="","",SUMIFS(RaceResults!$E:$E,RaceResults!$A:$A,A345,RaceResults!$D:$D,E345))</f>
        <v>0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0</v>
      </c>
      <c r="F346">
        <f>IF(E346="","",SUMIFS(RaceResults!$C:$C,RaceResults!$A:$A,A346,RaceResults!$D:$D,E346))</f>
        <v>0</v>
      </c>
      <c r="G346">
        <f>IF(E346="","",SUMIFS(RaceResults!$E:$E,RaceResults!$A:$A,A346,RaceResults!$D:$D,E346))</f>
        <v>0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0</v>
      </c>
      <c r="F347">
        <f>IF(E347="","",SUMIFS(RaceResults!$C:$C,RaceResults!$A:$A,A347,RaceResults!$D:$D,E347))</f>
        <v>0</v>
      </c>
      <c r="G347">
        <f>IF(E347="","",SUMIFS(RaceResults!$E:$E,RaceResults!$A:$A,A347,RaceResults!$D:$D,E347))</f>
        <v>0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0</v>
      </c>
      <c r="F348">
        <f>IF(E348="","",SUMIFS(RaceResults!$C:$C,RaceResults!$A:$A,A348,RaceResults!$D:$D,E348))</f>
        <v>0</v>
      </c>
      <c r="G348">
        <f>IF(E348="","",SUMIFS(RaceResults!$E:$E,RaceResults!$A:$A,A348,RaceResults!$D:$D,E348))</f>
        <v>0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0</v>
      </c>
      <c r="F349">
        <f>IF(E349="","",SUMIFS(RaceResults!$C:$C,RaceResults!$A:$A,A349,RaceResults!$D:$D,E349))</f>
        <v>0</v>
      </c>
      <c r="G349">
        <f>IF(E349="","",SUMIFS(RaceResults!$E:$E,RaceResults!$A:$A,A349,RaceResults!$D:$D,E349))</f>
        <v>0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0</v>
      </c>
      <c r="F350">
        <f>IF(E350="","",SUMIFS(RaceResults!$C:$C,RaceResults!$A:$A,A350,RaceResults!$D:$D,E350))</f>
        <v>0</v>
      </c>
      <c r="G350">
        <f>IF(E350="","",SUMIFS(RaceResults!$E:$E,RaceResults!$A:$A,A350,RaceResults!$D:$D,E350))</f>
        <v>0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0</v>
      </c>
      <c r="F351">
        <f>IF(E351="","",SUMIFS(RaceResults!$C:$C,RaceResults!$A:$A,A351,RaceResults!$D:$D,E351))</f>
        <v>0</v>
      </c>
      <c r="G351">
        <f>IF(E351="","",SUMIFS(RaceResults!$E:$E,RaceResults!$A:$A,A351,RaceResults!$D:$D,E351))</f>
        <v>0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0</v>
      </c>
      <c r="F352">
        <f>IF(E352="","",SUMIFS(RaceResults!$C:$C,RaceResults!$A:$A,A352,RaceResults!$D:$D,E352))</f>
        <v>0</v>
      </c>
      <c r="G352">
        <f>IF(E352="","",SUMIFS(RaceResults!$E:$E,RaceResults!$A:$A,A352,RaceResults!$D:$D,E352))</f>
        <v>0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0</v>
      </c>
      <c r="F356">
        <f>IF(E356="","",SUMIFS(RaceResults!$C:$C,RaceResults!$A:$A,A356,RaceResults!$D:$D,E356))</f>
        <v>0</v>
      </c>
      <c r="G356">
        <f>IF(E356="","",SUMIFS(RaceResults!$E:$E,RaceResults!$A:$A,A356,RaceResults!$D:$D,E356))</f>
        <v>0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0</v>
      </c>
      <c r="F357">
        <f>IF(E357="","",SUMIFS(RaceResults!$C:$C,RaceResults!$A:$A,A357,RaceResults!$D:$D,E357))</f>
        <v>0</v>
      </c>
      <c r="G357">
        <f>IF(E357="","",SUMIFS(RaceResults!$E:$E,RaceResults!$A:$A,A357,RaceResults!$D:$D,E357))</f>
        <v>0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0</v>
      </c>
      <c r="F358">
        <f>IF(E358="","",SUMIFS(RaceResults!$C:$C,RaceResults!$A:$A,A358,RaceResults!$D:$D,E358))</f>
        <v>0</v>
      </c>
      <c r="G358">
        <f>IF(E358="","",SUMIFS(RaceResults!$E:$E,RaceResults!$A:$A,A358,RaceResults!$D:$D,E358))</f>
        <v>0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0</v>
      </c>
      <c r="F359">
        <f>IF(E359="","",SUMIFS(RaceResults!$C:$C,RaceResults!$A:$A,A359,RaceResults!$D:$D,E359))</f>
        <v>0</v>
      </c>
      <c r="G359">
        <f>IF(E359="","",SUMIFS(RaceResults!$E:$E,RaceResults!$A:$A,A359,RaceResults!$D:$D,E359))</f>
        <v>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0</v>
      </c>
      <c r="F360">
        <f>IF(E360="","",SUMIFS(RaceResults!$C:$C,RaceResults!$A:$A,A360,RaceResults!$D:$D,E360))</f>
        <v>0</v>
      </c>
      <c r="G360">
        <f>IF(E360="","",SUMIFS(RaceResults!$E:$E,RaceResults!$A:$A,A360,RaceResults!$D:$D,E360))</f>
        <v>0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0</v>
      </c>
      <c r="F361">
        <f>IF(E361="","",SUMIFS(RaceResults!$C:$C,RaceResults!$A:$A,A361,RaceResults!$D:$D,E361))</f>
        <v>0</v>
      </c>
      <c r="G361">
        <f>IF(E361="","",SUMIFS(RaceResults!$E:$E,RaceResults!$A:$A,A361,RaceResults!$D:$D,E361))</f>
        <v>0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0</v>
      </c>
      <c r="F362">
        <f>IF(E362="","",SUMIFS(RaceResults!$C:$C,RaceResults!$A:$A,A362,RaceResults!$D:$D,E362))</f>
        <v>0</v>
      </c>
      <c r="G362">
        <f>IF(E362="","",SUMIFS(RaceResults!$E:$E,RaceResults!$A:$A,A362,RaceResults!$D:$D,E362))</f>
        <v>0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0</v>
      </c>
      <c r="F363">
        <f>IF(E363="","",SUMIFS(RaceResults!$C:$C,RaceResults!$A:$A,A363,RaceResults!$D:$D,E363))</f>
        <v>0</v>
      </c>
      <c r="G363">
        <f>IF(E363="","",SUMIFS(RaceResults!$E:$E,RaceResults!$A:$A,A363,RaceResults!$D:$D,E363))</f>
        <v>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0</v>
      </c>
      <c r="F364">
        <f>IF(E364="","",SUMIFS(RaceResults!$C:$C,RaceResults!$A:$A,A364,RaceResults!$D:$D,E364))</f>
        <v>0</v>
      </c>
      <c r="G364">
        <f>IF(E364="","",SUMIFS(RaceResults!$E:$E,RaceResults!$A:$A,A364,RaceResults!$D:$D,E364))</f>
        <v>0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0</v>
      </c>
      <c r="F365">
        <f>IF(E365="","",SUMIFS(RaceResults!$C:$C,RaceResults!$A:$A,A365,RaceResults!$D:$D,E365))</f>
        <v>0</v>
      </c>
      <c r="G365">
        <f>IF(E365="","",SUMIFS(RaceResults!$E:$E,RaceResults!$A:$A,A365,RaceResults!$D:$D,E365))</f>
        <v>0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0</v>
      </c>
      <c r="F366">
        <f>IF(E366="","",SUMIFS(RaceResults!$C:$C,RaceResults!$A:$A,A366,RaceResults!$D:$D,E366))</f>
        <v>0</v>
      </c>
      <c r="G366">
        <f>IF(E366="","",SUMIFS(RaceResults!$E:$E,RaceResults!$A:$A,A366,RaceResults!$D:$D,E366))</f>
        <v>0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0</v>
      </c>
      <c r="F367">
        <f>IF(E367="","",SUMIFS(RaceResults!$C:$C,RaceResults!$A:$A,A367,RaceResults!$D:$D,E367))</f>
        <v>0</v>
      </c>
      <c r="G367">
        <f>IF(E367="","",SUMIFS(RaceResults!$E:$E,RaceResults!$A:$A,A367,RaceResults!$D:$D,E367))</f>
        <v>0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0</v>
      </c>
      <c r="F368">
        <f>IF(E368="","",SUMIFS(RaceResults!$C:$C,RaceResults!$A:$A,A368,RaceResults!$D:$D,E368))</f>
        <v>0</v>
      </c>
      <c r="G368">
        <f>IF(E368="","",SUMIFS(RaceResults!$E:$E,RaceResults!$A:$A,A368,RaceResults!$D:$D,E368))</f>
        <v>0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0</v>
      </c>
      <c r="F369">
        <f>IF(E369="","",SUMIFS(RaceResults!$C:$C,RaceResults!$A:$A,A369,RaceResults!$D:$D,E369))</f>
        <v>0</v>
      </c>
      <c r="G369">
        <f>IF(E369="","",SUMIFS(RaceResults!$E:$E,RaceResults!$A:$A,A369,RaceResults!$D:$D,E369))</f>
        <v>0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0</v>
      </c>
      <c r="F370">
        <f>IF(E370="","",SUMIFS(RaceResults!$C:$C,RaceResults!$A:$A,A370,RaceResults!$D:$D,E370))</f>
        <v>0</v>
      </c>
      <c r="G370">
        <f>IF(E370="","",SUMIFS(RaceResults!$E:$E,RaceResults!$A:$A,A370,RaceResults!$D:$D,E370))</f>
        <v>0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0</v>
      </c>
      <c r="F371">
        <f>IF(E371="","",SUMIFS(RaceResults!$C:$C,RaceResults!$A:$A,A371,RaceResults!$D:$D,E371))</f>
        <v>0</v>
      </c>
      <c r="G371">
        <f>IF(E371="","",SUMIFS(RaceResults!$E:$E,RaceResults!$A:$A,A371,RaceResults!$D:$D,E371))</f>
        <v>0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0</v>
      </c>
      <c r="F372">
        <f>IF(E372="","",SUMIFS(RaceResults!$C:$C,RaceResults!$A:$A,A372,RaceResults!$D:$D,E372))</f>
        <v>0</v>
      </c>
      <c r="G372">
        <f>IF(E372="","",SUMIFS(RaceResults!$E:$E,RaceResults!$A:$A,A372,RaceResults!$D:$D,E372))</f>
        <v>0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0</v>
      </c>
      <c r="F373">
        <f>IF(E373="","",SUMIFS(RaceResults!$C:$C,RaceResults!$A:$A,A373,RaceResults!$D:$D,E373))</f>
        <v>0</v>
      </c>
      <c r="G373">
        <f>IF(E373="","",SUMIFS(RaceResults!$E:$E,RaceResults!$A:$A,A373,RaceResults!$D:$D,E373))</f>
        <v>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0</v>
      </c>
      <c r="F374">
        <f>IF(E374="","",SUMIFS(RaceResults!$C:$C,RaceResults!$A:$A,A374,RaceResults!$D:$D,E374))</f>
        <v>0</v>
      </c>
      <c r="G374">
        <f>IF(E374="","",SUMIFS(RaceResults!$E:$E,RaceResults!$A:$A,A374,RaceResults!$D:$D,E374))</f>
        <v>0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0</v>
      </c>
      <c r="F375">
        <f>IF(E375="","",SUMIFS(RaceResults!$C:$C,RaceResults!$A:$A,A375,RaceResults!$D:$D,E375))</f>
        <v>0</v>
      </c>
      <c r="G375">
        <f>IF(E375="","",SUMIFS(RaceResults!$E:$E,RaceResults!$A:$A,A375,RaceResults!$D:$D,E375))</f>
        <v>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0</v>
      </c>
      <c r="F376">
        <f>IF(E376="","",SUMIFS(RaceResults!$C:$C,RaceResults!$A:$A,A376,RaceResults!$D:$D,E376))</f>
        <v>0</v>
      </c>
      <c r="G376">
        <f>IF(E376="","",SUMIFS(RaceResults!$E:$E,RaceResults!$A:$A,A376,RaceResults!$D:$D,E376))</f>
        <v>0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0</v>
      </c>
      <c r="F377">
        <f>IF(E377="","",SUMIFS(RaceResults!$C:$C,RaceResults!$A:$A,A377,RaceResults!$D:$D,E377))</f>
        <v>0</v>
      </c>
      <c r="G377">
        <f>IF(E377="","",SUMIFS(RaceResults!$E:$E,RaceResults!$A:$A,A377,RaceResults!$D:$D,E377))</f>
        <v>0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0</v>
      </c>
      <c r="F378">
        <f>IF(E378="","",SUMIFS(RaceResults!$C:$C,RaceResults!$A:$A,A378,RaceResults!$D:$D,E378))</f>
        <v>0</v>
      </c>
      <c r="G378">
        <f>IF(E378="","",SUMIFS(RaceResults!$E:$E,RaceResults!$A:$A,A378,RaceResults!$D:$D,E378))</f>
        <v>0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0</v>
      </c>
      <c r="F379">
        <f>IF(E379="","",SUMIFS(RaceResults!$C:$C,RaceResults!$A:$A,A379,RaceResults!$D:$D,E379))</f>
        <v>0</v>
      </c>
      <c r="G379">
        <f>IF(E379="","",SUMIFS(RaceResults!$E:$E,RaceResults!$A:$A,A379,RaceResults!$D:$D,E379))</f>
        <v>0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0</v>
      </c>
      <c r="F380">
        <f>IF(E380="","",SUMIFS(RaceResults!$C:$C,RaceResults!$A:$A,A380,RaceResults!$D:$D,E380))</f>
        <v>0</v>
      </c>
      <c r="G380">
        <f>IF(E380="","",SUMIFS(RaceResults!$E:$E,RaceResults!$A:$A,A380,RaceResults!$D:$D,E380))</f>
        <v>0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0</v>
      </c>
      <c r="F381">
        <f>IF(E381="","",SUMIFS(RaceResults!$C:$C,RaceResults!$A:$A,A381,RaceResults!$D:$D,E381))</f>
        <v>0</v>
      </c>
      <c r="G381">
        <f>IF(E381="","",SUMIFS(RaceResults!$E:$E,RaceResults!$A:$A,A381,RaceResults!$D:$D,E381))</f>
        <v>0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0</v>
      </c>
      <c r="F382">
        <f>IF(E382="","",SUMIFS(RaceResults!$C:$C,RaceResults!$A:$A,A382,RaceResults!$D:$D,E382))</f>
        <v>0</v>
      </c>
      <c r="G382">
        <f>IF(E382="","",SUMIFS(RaceResults!$E:$E,RaceResults!$A:$A,A382,RaceResults!$D:$D,E382))</f>
        <v>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0</v>
      </c>
      <c r="F386">
        <f>IF(E386="","",SUMIFS(RaceResults!$C:$C,RaceResults!$A:$A,A386,RaceResults!$D:$D,E386))</f>
        <v>0</v>
      </c>
      <c r="G386">
        <f>IF(E386="","",SUMIFS(RaceResults!$E:$E,RaceResults!$A:$A,A386,RaceResults!$D:$D,E386))</f>
        <v>0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0</v>
      </c>
      <c r="F387">
        <f>IF(E387="","",SUMIFS(RaceResults!$C:$C,RaceResults!$A:$A,A387,RaceResults!$D:$D,E387))</f>
        <v>0</v>
      </c>
      <c r="G387">
        <f>IF(E387="","",SUMIFS(RaceResults!$E:$E,RaceResults!$A:$A,A387,RaceResults!$D:$D,E387))</f>
        <v>0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0</v>
      </c>
      <c r="F388">
        <f>IF(E388="","",SUMIFS(RaceResults!$C:$C,RaceResults!$A:$A,A388,RaceResults!$D:$D,E388))</f>
        <v>0</v>
      </c>
      <c r="G388">
        <f>IF(E388="","",SUMIFS(RaceResults!$E:$E,RaceResults!$A:$A,A388,RaceResults!$D:$D,E388))</f>
        <v>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0</v>
      </c>
      <c r="F389">
        <f>IF(E389="","",SUMIFS(RaceResults!$C:$C,RaceResults!$A:$A,A389,RaceResults!$D:$D,E389))</f>
        <v>0</v>
      </c>
      <c r="G389">
        <f>IF(E389="","",SUMIFS(RaceResults!$E:$E,RaceResults!$A:$A,A389,RaceResults!$D:$D,E389))</f>
        <v>0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0</v>
      </c>
      <c r="F390">
        <f>IF(E390="","",SUMIFS(RaceResults!$C:$C,RaceResults!$A:$A,A390,RaceResults!$D:$D,E390))</f>
        <v>0</v>
      </c>
      <c r="G390">
        <f>IF(E390="","",SUMIFS(RaceResults!$E:$E,RaceResults!$A:$A,A390,RaceResults!$D:$D,E390))</f>
        <v>0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0</v>
      </c>
      <c r="F391">
        <f>IF(E391="","",SUMIFS(RaceResults!$C:$C,RaceResults!$A:$A,A391,RaceResults!$D:$D,E391))</f>
        <v>0</v>
      </c>
      <c r="G391">
        <f>IF(E391="","",SUMIFS(RaceResults!$E:$E,RaceResults!$A:$A,A391,RaceResults!$D:$D,E391))</f>
        <v>0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0</v>
      </c>
      <c r="F392">
        <f>IF(E392="","",SUMIFS(RaceResults!$C:$C,RaceResults!$A:$A,A392,RaceResults!$D:$D,E392))</f>
        <v>0</v>
      </c>
      <c r="G392">
        <f>IF(E392="","",SUMIFS(RaceResults!$E:$E,RaceResults!$A:$A,A392,RaceResults!$D:$D,E392))</f>
        <v>0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0</v>
      </c>
      <c r="F393">
        <f>IF(E393="","",SUMIFS(RaceResults!$C:$C,RaceResults!$A:$A,A393,RaceResults!$D:$D,E393))</f>
        <v>0</v>
      </c>
      <c r="G393">
        <f>IF(E393="","",SUMIFS(RaceResults!$E:$E,RaceResults!$A:$A,A393,RaceResults!$D:$D,E393))</f>
        <v>0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0</v>
      </c>
      <c r="F394">
        <f>IF(E394="","",SUMIFS(RaceResults!$C:$C,RaceResults!$A:$A,A394,RaceResults!$D:$D,E394))</f>
        <v>0</v>
      </c>
      <c r="G394">
        <f>IF(E394="","",SUMIFS(RaceResults!$E:$E,RaceResults!$A:$A,A394,RaceResults!$D:$D,E394))</f>
        <v>0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0</v>
      </c>
      <c r="F395">
        <f>IF(E395="","",SUMIFS(RaceResults!$C:$C,RaceResults!$A:$A,A395,RaceResults!$D:$D,E395))</f>
        <v>0</v>
      </c>
      <c r="G395">
        <f>IF(E395="","",SUMIFS(RaceResults!$E:$E,RaceResults!$A:$A,A395,RaceResults!$D:$D,E395))</f>
        <v>0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0</v>
      </c>
      <c r="F396">
        <f>IF(E396="","",SUMIFS(RaceResults!$C:$C,RaceResults!$A:$A,A396,RaceResults!$D:$D,E396))</f>
        <v>0</v>
      </c>
      <c r="G396">
        <f>IF(E396="","",SUMIFS(RaceResults!$E:$E,RaceResults!$A:$A,A396,RaceResults!$D:$D,E396))</f>
        <v>0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0</v>
      </c>
      <c r="F397">
        <f>IF(E397="","",SUMIFS(RaceResults!$C:$C,RaceResults!$A:$A,A397,RaceResults!$D:$D,E397))</f>
        <v>0</v>
      </c>
      <c r="G397">
        <f>IF(E397="","",SUMIFS(RaceResults!$E:$E,RaceResults!$A:$A,A397,RaceResults!$D:$D,E397))</f>
        <v>0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0</v>
      </c>
      <c r="F398">
        <f>IF(E398="","",SUMIFS(RaceResults!$C:$C,RaceResults!$A:$A,A398,RaceResults!$D:$D,E398))</f>
        <v>0</v>
      </c>
      <c r="G398">
        <f>IF(E398="","",SUMIFS(RaceResults!$E:$E,RaceResults!$A:$A,A398,RaceResults!$D:$D,E398))</f>
        <v>0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0</v>
      </c>
      <c r="F399">
        <f>IF(E399="","",SUMIFS(RaceResults!$C:$C,RaceResults!$A:$A,A399,RaceResults!$D:$D,E399))</f>
        <v>0</v>
      </c>
      <c r="G399">
        <f>IF(E399="","",SUMIFS(RaceResults!$E:$E,RaceResults!$A:$A,A399,RaceResults!$D:$D,E399))</f>
        <v>0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0</v>
      </c>
      <c r="F400">
        <f>IF(E400="","",SUMIFS(RaceResults!$C:$C,RaceResults!$A:$A,A400,RaceResults!$D:$D,E400))</f>
        <v>0</v>
      </c>
      <c r="G400">
        <f>IF(E400="","",SUMIFS(RaceResults!$E:$E,RaceResults!$A:$A,A400,RaceResults!$D:$D,E400))</f>
        <v>0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0</v>
      </c>
      <c r="F401">
        <f>IF(E401="","",SUMIFS(RaceResults!$C:$C,RaceResults!$A:$A,A401,RaceResults!$D:$D,E401))</f>
        <v>0</v>
      </c>
      <c r="G401">
        <f>IF(E401="","",SUMIFS(RaceResults!$E:$E,RaceResults!$A:$A,A401,RaceResults!$D:$D,E401))</f>
        <v>0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0</v>
      </c>
      <c r="F402">
        <f>IF(E402="","",SUMIFS(RaceResults!$C:$C,RaceResults!$A:$A,A402,RaceResults!$D:$D,E402))</f>
        <v>0</v>
      </c>
      <c r="G402">
        <f>IF(E402="","",SUMIFS(RaceResults!$E:$E,RaceResults!$A:$A,A402,RaceResults!$D:$D,E402))</f>
        <v>0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0</v>
      </c>
      <c r="F403">
        <f>IF(E403="","",SUMIFS(RaceResults!$C:$C,RaceResults!$A:$A,A403,RaceResults!$D:$D,E403))</f>
        <v>0</v>
      </c>
      <c r="G403">
        <f>IF(E403="","",SUMIFS(RaceResults!$E:$E,RaceResults!$A:$A,A403,RaceResults!$D:$D,E403))</f>
        <v>0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0</v>
      </c>
      <c r="F404">
        <f>IF(E404="","",SUMIFS(RaceResults!$C:$C,RaceResults!$A:$A,A404,RaceResults!$D:$D,E404))</f>
        <v>0</v>
      </c>
      <c r="G404">
        <f>IF(E404="","",SUMIFS(RaceResults!$E:$E,RaceResults!$A:$A,A404,RaceResults!$D:$D,E404))</f>
        <v>0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0</v>
      </c>
      <c r="F405">
        <f>IF(E405="","",SUMIFS(RaceResults!$C:$C,RaceResults!$A:$A,A405,RaceResults!$D:$D,E405))</f>
        <v>0</v>
      </c>
      <c r="G405">
        <f>IF(E405="","",SUMIFS(RaceResults!$E:$E,RaceResults!$A:$A,A405,RaceResults!$D:$D,E405))</f>
        <v>0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0</v>
      </c>
      <c r="F406">
        <f>IF(E406="","",SUMIFS(RaceResults!$C:$C,RaceResults!$A:$A,A406,RaceResults!$D:$D,E406))</f>
        <v>0</v>
      </c>
      <c r="G406">
        <f>IF(E406="","",SUMIFS(RaceResults!$E:$E,RaceResults!$A:$A,A406,RaceResults!$D:$D,E406))</f>
        <v>0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0</v>
      </c>
      <c r="F407">
        <f>IF(E407="","",SUMIFS(RaceResults!$C:$C,RaceResults!$A:$A,A407,RaceResults!$D:$D,E407))</f>
        <v>0</v>
      </c>
      <c r="G407">
        <f>IF(E407="","",SUMIFS(RaceResults!$E:$E,RaceResults!$A:$A,A407,RaceResults!$D:$D,E407))</f>
        <v>0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0</v>
      </c>
      <c r="F408">
        <f>IF(E408="","",SUMIFS(RaceResults!$C:$C,RaceResults!$A:$A,A408,RaceResults!$D:$D,E408))</f>
        <v>0</v>
      </c>
      <c r="G408">
        <f>IF(E408="","",SUMIFS(RaceResults!$E:$E,RaceResults!$A:$A,A408,RaceResults!$D:$D,E408))</f>
        <v>0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0</v>
      </c>
      <c r="F409">
        <f>IF(E409="","",SUMIFS(RaceResults!$C:$C,RaceResults!$A:$A,A409,RaceResults!$D:$D,E409))</f>
        <v>0</v>
      </c>
      <c r="G409">
        <f>IF(E409="","",SUMIFS(RaceResults!$E:$E,RaceResults!$A:$A,A409,RaceResults!$D:$D,E409))</f>
        <v>0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0</v>
      </c>
      <c r="F416">
        <f>IF(E416="","",SUMIFS(RaceResults!$C:$C,RaceResults!$A:$A,A416,RaceResults!$D:$D,E416))</f>
        <v>0</v>
      </c>
      <c r="G416">
        <f>IF(E416="","",SUMIFS(RaceResults!$E:$E,RaceResults!$A:$A,A416,RaceResults!$D:$D,E416))</f>
        <v>0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0</v>
      </c>
      <c r="F417">
        <f>IF(E417="","",SUMIFS(RaceResults!$C:$C,RaceResults!$A:$A,A417,RaceResults!$D:$D,E417))</f>
        <v>0</v>
      </c>
      <c r="G417">
        <f>IF(E417="","",SUMIFS(RaceResults!$E:$E,RaceResults!$A:$A,A417,RaceResults!$D:$D,E417))</f>
        <v>0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0</v>
      </c>
      <c r="F418">
        <f>IF(E418="","",SUMIFS(RaceResults!$C:$C,RaceResults!$A:$A,A418,RaceResults!$D:$D,E418))</f>
        <v>0</v>
      </c>
      <c r="G418">
        <f>IF(E418="","",SUMIFS(RaceResults!$E:$E,RaceResults!$A:$A,A418,RaceResults!$D:$D,E418))</f>
        <v>0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0</v>
      </c>
      <c r="F419">
        <f>IF(E419="","",SUMIFS(RaceResults!$C:$C,RaceResults!$A:$A,A419,RaceResults!$D:$D,E419))</f>
        <v>0</v>
      </c>
      <c r="G419">
        <f>IF(E419="","",SUMIFS(RaceResults!$E:$E,RaceResults!$A:$A,A419,RaceResults!$D:$D,E419))</f>
        <v>0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0</v>
      </c>
      <c r="F420">
        <f>IF(E420="","",SUMIFS(RaceResults!$C:$C,RaceResults!$A:$A,A420,RaceResults!$D:$D,E420))</f>
        <v>0</v>
      </c>
      <c r="G420">
        <f>IF(E420="","",SUMIFS(RaceResults!$E:$E,RaceResults!$A:$A,A420,RaceResults!$D:$D,E420))</f>
        <v>0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0</v>
      </c>
      <c r="F421">
        <f>IF(E421="","",SUMIFS(RaceResults!$C:$C,RaceResults!$A:$A,A421,RaceResults!$D:$D,E421))</f>
        <v>0</v>
      </c>
      <c r="G421">
        <f>IF(E421="","",SUMIFS(RaceResults!$E:$E,RaceResults!$A:$A,A421,RaceResults!$D:$D,E421))</f>
        <v>0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0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0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0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0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0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0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0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0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0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0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0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0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0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0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0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0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0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0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0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0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3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1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2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2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1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4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0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0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0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0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1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0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1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0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0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0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0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1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0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0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0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0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0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0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0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0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0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0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0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0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0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0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0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0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0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0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0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0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0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0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0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0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0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0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7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1</v>
      </c>
      <c r="C2">
        <f>SUMIF(Calc!$E$2:$E$1081,A2,Calc!$G$2:$G$1081)</f>
        <v>9</v>
      </c>
      <c r="D2">
        <f>IF(B2=0,"",AVERAGEIF(Calc!$E$2:$E$1081,A2,Calc!$F$2:$F$1081))</f>
        <v>28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1</v>
      </c>
      <c r="C3">
        <f>SUMIF(Calc!$E$2:$E$1081,A3,Calc!$G$2:$G$1081)</f>
        <v>3</v>
      </c>
      <c r="D3">
        <f>IF(B3=0,"",AVERAGEIF(Calc!$E$2:$E$1081,A3,Calc!$F$2:$F$1081))</f>
        <v>34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33</v>
      </c>
      <c r="C6">
        <f>SUMIF(Calc!$E$2:$E$1081,A6,Calc!$G$2:$G$1081)</f>
        <v>695</v>
      </c>
      <c r="D6">
        <f>IF(B6=0,"",AVERAGEIF(Calc!$E$2:$E$1081,A6,Calc!$F$2:$F$1081))</f>
        <v>16.666666666666668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2</v>
      </c>
      <c r="C8">
        <f>SUMIF(Calc!$E$2:$E$1081,A8,Calc!$G$2:$G$1081)</f>
        <v>38</v>
      </c>
      <c r="D8">
        <f>IF(B8=0,"",AVERAGEIF(Calc!$E$2:$E$1081,A8,Calc!$F$2:$F$1081))</f>
        <v>18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17</v>
      </c>
      <c r="D9">
        <f>IF(B9=0,"",AVERAGEIF(Calc!$E$2:$E$1081,A9,Calc!$F$2:$F$1081))</f>
        <v>20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9</v>
      </c>
      <c r="C10">
        <f>SUMIF(Calc!$E$2:$E$1081,A10,Calc!$G$2:$G$1081)</f>
        <v>369</v>
      </c>
      <c r="D10">
        <f>IF(B10=0,"",AVERAGEIF(Calc!$E$2:$E$1081,A10,Calc!$F$2:$F$1081))</f>
        <v>4.4444444444444446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37</v>
      </c>
      <c r="C12">
        <f>SUMIF(Calc!$E$2:$E$1081,A12,Calc!$G$2:$G$1081)</f>
        <v>1216</v>
      </c>
      <c r="D12">
        <f>IF(B12=0,"",AVERAGEIF(Calc!$E$2:$E$1081,A12,Calc!$F$2:$F$1081))</f>
        <v>5.1891891891891895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28</v>
      </c>
      <c r="C13">
        <f>SUMIF(Calc!$E$2:$E$1081,A13,Calc!$G$2:$G$1081)</f>
        <v>737</v>
      </c>
      <c r="D13">
        <f>IF(B13=0,"",AVERAGEIF(Calc!$E$2:$E$1081,A13,Calc!$F$2:$F$1081))</f>
        <v>12.857142857142858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4</v>
      </c>
      <c r="C18">
        <f>SUMIF(Calc!$E$2:$E$1081,A18,Calc!$G$2:$G$1081)</f>
        <v>84</v>
      </c>
      <c r="D18">
        <f>IF(B18=0,"",AVERAGEIF(Calc!$E$2:$E$1081,A18,Calc!$F$2:$F$1081))</f>
        <v>6.75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5</v>
      </c>
      <c r="C20">
        <f>SUMIF(Calc!$E$2:$E$1081,A20,Calc!$G$2:$G$1081)</f>
        <v>31</v>
      </c>
      <c r="D20">
        <f>IF(B20=0,"",AVERAGEIF(Calc!$E$2:$E$1081,A20,Calc!$F$2:$F$1081))</f>
        <v>31.4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11</v>
      </c>
      <c r="C21">
        <f>SUMIF(Calc!$E$2:$E$1081,A21,Calc!$G$2:$G$1081)</f>
        <v>236</v>
      </c>
      <c r="D21">
        <f>IF(B21=0,"",AVERAGEIF(Calc!$E$2:$E$1081,A21,Calc!$F$2:$F$1081))</f>
        <v>15.909090909090908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6</v>
      </c>
      <c r="C23">
        <f>SUMIF(Calc!$E$2:$E$1081,A23,Calc!$G$2:$G$1081)</f>
        <v>43</v>
      </c>
      <c r="D23">
        <f>IF(B23=0,"",AVERAGEIF(Calc!$E$2:$E$1081,A23,Calc!$F$2:$F$1081))</f>
        <v>31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7</v>
      </c>
      <c r="C24">
        <f>SUMIF(Calc!$E$2:$E$1081,A24,Calc!$G$2:$G$1081)</f>
        <v>88</v>
      </c>
      <c r="D24">
        <f>IF(B24=0,"",AVERAGEIF(Calc!$E$2:$E$1081,A24,Calc!$F$2:$F$1081))</f>
        <v>24.428571428571427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14</v>
      </c>
      <c r="C25">
        <f>SUMIF(Calc!$E$2:$E$1081,A25,Calc!$G$2:$G$1081)</f>
        <v>315</v>
      </c>
      <c r="D25">
        <f>IF(B25=0,"",AVERAGEIF(Calc!$E$2:$E$1081,A25,Calc!$F$2:$F$1081))</f>
        <v>14.5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24</v>
      </c>
      <c r="C46">
        <f>SUMIF(Calc!$E$2:$E$1081,A46,Calc!$G$2:$G$1081)</f>
        <v>882</v>
      </c>
      <c r="D46">
        <f>IF(B46=0,"",AVERAGEIF(Calc!$E$2:$E$1081,A46,Calc!$F$2:$F$1081))</f>
        <v>6.583333333333333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1</v>
      </c>
      <c r="C49">
        <f>SUMIF(Calc!$E$2:$E$1081,A49,Calc!$G$2:$G$1081)</f>
        <v>34</v>
      </c>
      <c r="D49">
        <f>IF(B49=0,"",AVERAGEIF(Calc!$E$2:$E$1081,A49,Calc!$F$2:$F$1081))</f>
        <v>3</v>
      </c>
      <c r="E49" t="e">
        <f ca="1">IF(B49=0,"",_xludf.minifs(Calc!$F$2:$F$1081,Calc!$E$2:$E$1081,A49))</f>
        <v>#NAME?</v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11</v>
      </c>
      <c r="C55">
        <f>SUMIF(Calc!$E$2:$E$1081,A55,Calc!$G$2:$G$1081)</f>
        <v>340</v>
      </c>
      <c r="D55">
        <f>IF(B55=0,"",AVERAGEIF(Calc!$E$2:$E$1081,A55,Calc!$F$2:$F$1081))</f>
        <v>11.272727272727273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5</v>
      </c>
      <c r="C78">
        <f>SUMIF(Calc!$E$2:$E$1081,A78,Calc!$G$2:$G$1081)</f>
        <v>140</v>
      </c>
      <c r="D78">
        <f>IF(B78=0,"",AVERAGEIF(Calc!$E$2:$E$1081,A78,Calc!$F$2:$F$1081))</f>
        <v>9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5</v>
      </c>
      <c r="C98">
        <f>SUMIF(Calc!$E$2:$E$1081,A98,Calc!$G$2:$G$1081)</f>
        <v>122</v>
      </c>
      <c r="D98">
        <f>IF(B98=0,"",AVERAGEIF(Calc!$E$2:$E$1081,A98,Calc!$F$2:$F$1081))</f>
        <v>5.2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27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8" t="s">
        <v>142</v>
      </c>
      <c r="B1" s="18"/>
      <c r="C1" s="18"/>
      <c r="D1" s="18"/>
      <c r="E1" s="18"/>
      <c r="F1" s="18"/>
      <c r="G1" s="18"/>
      <c r="I1" s="19" t="s">
        <v>143</v>
      </c>
      <c r="J1" s="19"/>
      <c r="K1" s="19"/>
      <c r="L1" s="19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3</v>
      </c>
      <c r="B4" t="s">
        <v>21</v>
      </c>
      <c r="C4">
        <f>SUMIF(WeeklyPicks!$C:$C,B4,WeeklyPicks!$M:$M)</f>
        <v>771</v>
      </c>
      <c r="D4">
        <f>COUNTIF(RaceSummary!$C:$C,B4)</f>
        <v>2</v>
      </c>
      <c r="E4">
        <f>IF(COUNTIF(WeeklyPicks!$C:$C,B4)=0,"",AVERAGEIF(WeeklyPicks!$C:$C,B4,WeeklyPicks!$M:$M))</f>
        <v>21.416666666666668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1</v>
      </c>
      <c r="B5" t="s">
        <v>22</v>
      </c>
      <c r="C5">
        <f>SUMIF(WeeklyPicks!$C:$C,B5,WeeklyPicks!$M:$M)</f>
        <v>784</v>
      </c>
      <c r="D5">
        <f>COUNTIF(RaceSummary!$C:$C,B5)</f>
        <v>3</v>
      </c>
      <c r="E5">
        <f>IF(COUNTIF(WeeklyPicks!$C:$C,B5)=0,"",AVERAGEIF(WeeklyPicks!$C:$C,B5,WeeklyPicks!$M:$M))</f>
        <v>21.777777777777779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640</v>
      </c>
      <c r="D6">
        <f>COUNTIF(RaceSummary!$C:$C,B6)</f>
        <v>1</v>
      </c>
      <c r="E6">
        <f>IF(COUNTIF(WeeklyPicks!$C:$C,B6)=0,"",AVERAGEIF(WeeklyPicks!$C:$C,B6,WeeklyPicks!$M:$M))</f>
        <v>17.777777777777779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2</v>
      </c>
      <c r="B7" t="s">
        <v>26</v>
      </c>
      <c r="C7">
        <f>SUMIF(WeeklyPicks!$C:$C,B7,WeeklyPicks!$M:$M)</f>
        <v>779</v>
      </c>
      <c r="D7">
        <f>COUNTIF(RaceSummary!$C:$C,B7)</f>
        <v>1</v>
      </c>
      <c r="E7">
        <f>IF(COUNTIF(WeeklyPicks!$C:$C,B7)=0,"",AVERAGEIF(WeeklyPicks!$C:$C,B7,WeeklyPicks!$M:$M))</f>
        <v>21.638888888888889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5</v>
      </c>
      <c r="B8" t="s">
        <v>27</v>
      </c>
      <c r="C8">
        <f>SUMIF(WeeklyPicks!$C:$C,B8,WeeklyPicks!$M:$M)</f>
        <v>575</v>
      </c>
      <c r="D8">
        <f>COUNTIF(RaceSummary!$C:$C,B8)</f>
        <v>1</v>
      </c>
      <c r="E8">
        <f>IF(COUNTIF(WeeklyPicks!$C:$C,B8)=0,"",AVERAGEIF(WeeklyPicks!$C:$C,B8,WeeklyPicks!$M:$M))</f>
        <v>15.972222222222221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6</v>
      </c>
      <c r="B9" t="s">
        <v>28</v>
      </c>
      <c r="C9">
        <f>SUMIF(WeeklyPicks!$C:$C,B9,WeeklyPicks!$M:$M)</f>
        <v>574</v>
      </c>
      <c r="D9">
        <f>COUNTIF(RaceSummary!$C:$C,B9)</f>
        <v>0</v>
      </c>
      <c r="E9">
        <f>IF(COUNTIF(WeeklyPicks!$C:$C,B9)=0,"",AVERAGEIF(WeeklyPicks!$C:$C,B9,WeeklyPicks!$M:$M))</f>
        <v>15.944444444444445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0">
        <f t="shared" si="0"/>
        <v>9</v>
      </c>
      <c r="B10" s="20" t="s">
        <v>29</v>
      </c>
      <c r="C10" s="20">
        <f>SUMIF(WeeklyPicks!$C:$C,B10,WeeklyPicks!$M:$M)</f>
        <v>337</v>
      </c>
      <c r="D10" s="20">
        <f>COUNTIF(RaceSummary!$C:$C,B10)</f>
        <v>0</v>
      </c>
      <c r="E10" s="20">
        <f>IF(COUNTIF(WeeklyPicks!$C:$C,B10)=0,"",AVERAGEIF(WeeklyPicks!$C:$C,B10,WeeklyPicks!$M:$M))</f>
        <v>9.3611111111111107</v>
      </c>
      <c r="F10" s="20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8</v>
      </c>
      <c r="B12" t="s">
        <v>31</v>
      </c>
      <c r="C12">
        <f>SUMIF(WeeklyPicks!$C:$C,B12,WeeklyPicks!$M:$M)</f>
        <v>433</v>
      </c>
      <c r="D12">
        <f>COUNTIF(RaceSummary!$C:$C,B12)</f>
        <v>0</v>
      </c>
      <c r="E12">
        <f>IF(COUNTIF(WeeklyPicks!$C:$C,B12)=0,"",AVERAGEIF(WeeklyPicks!$C:$C,B12,WeeklyPicks!$M:$M))</f>
        <v>12.027777777777779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7</v>
      </c>
      <c r="B13" t="s">
        <v>32</v>
      </c>
      <c r="C13">
        <f>SUMIF(WeeklyPicks!$C:$C,B13,WeeklyPicks!$M:$M)</f>
        <v>517</v>
      </c>
      <c r="D13">
        <f>COUNTIF(RaceSummary!$C:$C,B13)</f>
        <v>1</v>
      </c>
      <c r="E13">
        <f>IF(COUNTIF(WeeklyPicks!$C:$C,B13)=0,"",AVERAGEIF(WeeklyPicks!$C:$C,B13,WeeklyPicks!$M:$M))</f>
        <v>14.361111111111111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771</v>
      </c>
      <c r="D27">
        <f>SUMIFS(WeeklyPicks!$M:$M,WeeklyPicks!$A:$A,"&lt;="&amp;$A27,WeeklyPicks!$C:$C,D$16)</f>
        <v>784</v>
      </c>
      <c r="E27">
        <f>SUMIFS(WeeklyPicks!$M:$M,WeeklyPicks!$A:$A,"&lt;="&amp;$A27,WeeklyPicks!$C:$C,E$16)</f>
        <v>640</v>
      </c>
      <c r="F27">
        <f>SUMIFS(WeeklyPicks!$M:$M,WeeklyPicks!$A:$A,"&lt;="&amp;$A27,WeeklyPicks!$C:$C,F$16)</f>
        <v>779</v>
      </c>
      <c r="G27">
        <f>SUMIFS(WeeklyPicks!$M:$M,WeeklyPicks!$A:$A,"&lt;="&amp;$A27,WeeklyPicks!$C:$C,G$16)</f>
        <v>575</v>
      </c>
      <c r="H27">
        <f>SUMIFS(WeeklyPicks!$M:$M,WeeklyPicks!$A:$A,"&lt;="&amp;$A27,WeeklyPicks!$C:$C,H$16)</f>
        <v>574</v>
      </c>
      <c r="I27">
        <f>SUMIFS(WeeklyPicks!$M:$M,WeeklyPicks!$A:$A,"&lt;="&amp;$A27,WeeklyPicks!$C:$C,I$16)</f>
        <v>337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433</v>
      </c>
      <c r="L27">
        <f>SUMIFS(WeeklyPicks!$M:$M,WeeklyPicks!$A:$A,"&lt;="&amp;$A27,WeeklyPicks!$C:$C,L$16)</f>
        <v>517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771</v>
      </c>
      <c r="D28">
        <f>SUMIFS(WeeklyPicks!$M:$M,WeeklyPicks!$A:$A,"&lt;="&amp;$A28,WeeklyPicks!$C:$C,D$16)</f>
        <v>784</v>
      </c>
      <c r="E28">
        <f>SUMIFS(WeeklyPicks!$M:$M,WeeklyPicks!$A:$A,"&lt;="&amp;$A28,WeeklyPicks!$C:$C,E$16)</f>
        <v>640</v>
      </c>
      <c r="F28">
        <f>SUMIFS(WeeklyPicks!$M:$M,WeeklyPicks!$A:$A,"&lt;="&amp;$A28,WeeklyPicks!$C:$C,F$16)</f>
        <v>779</v>
      </c>
      <c r="G28">
        <f>SUMIFS(WeeklyPicks!$M:$M,WeeklyPicks!$A:$A,"&lt;="&amp;$A28,WeeklyPicks!$C:$C,G$16)</f>
        <v>575</v>
      </c>
      <c r="H28">
        <f>SUMIFS(WeeklyPicks!$M:$M,WeeklyPicks!$A:$A,"&lt;="&amp;$A28,WeeklyPicks!$C:$C,H$16)</f>
        <v>574</v>
      </c>
      <c r="I28">
        <f>SUMIFS(WeeklyPicks!$M:$M,WeeklyPicks!$A:$A,"&lt;="&amp;$A28,WeeklyPicks!$C:$C,I$16)</f>
        <v>337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433</v>
      </c>
      <c r="L28">
        <f>SUMIFS(WeeklyPicks!$M:$M,WeeklyPicks!$A:$A,"&lt;="&amp;$A28,WeeklyPicks!$C:$C,L$16)</f>
        <v>517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771</v>
      </c>
      <c r="D29">
        <f>SUMIFS(WeeklyPicks!$M:$M,WeeklyPicks!$A:$A,"&lt;="&amp;$A29,WeeklyPicks!$C:$C,D$16)</f>
        <v>784</v>
      </c>
      <c r="E29">
        <f>SUMIFS(WeeklyPicks!$M:$M,WeeklyPicks!$A:$A,"&lt;="&amp;$A29,WeeklyPicks!$C:$C,E$16)</f>
        <v>640</v>
      </c>
      <c r="F29">
        <f>SUMIFS(WeeklyPicks!$M:$M,WeeklyPicks!$A:$A,"&lt;="&amp;$A29,WeeklyPicks!$C:$C,F$16)</f>
        <v>779</v>
      </c>
      <c r="G29">
        <f>SUMIFS(WeeklyPicks!$M:$M,WeeklyPicks!$A:$A,"&lt;="&amp;$A29,WeeklyPicks!$C:$C,G$16)</f>
        <v>575</v>
      </c>
      <c r="H29">
        <f>SUMIFS(WeeklyPicks!$M:$M,WeeklyPicks!$A:$A,"&lt;="&amp;$A29,WeeklyPicks!$C:$C,H$16)</f>
        <v>574</v>
      </c>
      <c r="I29">
        <f>SUMIFS(WeeklyPicks!$M:$M,WeeklyPicks!$A:$A,"&lt;="&amp;$A29,WeeklyPicks!$C:$C,I$16)</f>
        <v>337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433</v>
      </c>
      <c r="L29">
        <f>SUMIFS(WeeklyPicks!$M:$M,WeeklyPicks!$A:$A,"&lt;="&amp;$A29,WeeklyPicks!$C:$C,L$16)</f>
        <v>517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771</v>
      </c>
      <c r="D30">
        <f>SUMIFS(WeeklyPicks!$M:$M,WeeklyPicks!$A:$A,"&lt;="&amp;$A30,WeeklyPicks!$C:$C,D$16)</f>
        <v>784</v>
      </c>
      <c r="E30">
        <f>SUMIFS(WeeklyPicks!$M:$M,WeeklyPicks!$A:$A,"&lt;="&amp;$A30,WeeklyPicks!$C:$C,E$16)</f>
        <v>640</v>
      </c>
      <c r="F30">
        <f>SUMIFS(WeeklyPicks!$M:$M,WeeklyPicks!$A:$A,"&lt;="&amp;$A30,WeeklyPicks!$C:$C,F$16)</f>
        <v>779</v>
      </c>
      <c r="G30">
        <f>SUMIFS(WeeklyPicks!$M:$M,WeeklyPicks!$A:$A,"&lt;="&amp;$A30,WeeklyPicks!$C:$C,G$16)</f>
        <v>575</v>
      </c>
      <c r="H30">
        <f>SUMIFS(WeeklyPicks!$M:$M,WeeklyPicks!$A:$A,"&lt;="&amp;$A30,WeeklyPicks!$C:$C,H$16)</f>
        <v>574</v>
      </c>
      <c r="I30">
        <f>SUMIFS(WeeklyPicks!$M:$M,WeeklyPicks!$A:$A,"&lt;="&amp;$A30,WeeklyPicks!$C:$C,I$16)</f>
        <v>337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433</v>
      </c>
      <c r="L30">
        <f>SUMIFS(WeeklyPicks!$M:$M,WeeklyPicks!$A:$A,"&lt;="&amp;$A30,WeeklyPicks!$C:$C,L$16)</f>
        <v>517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771</v>
      </c>
      <c r="D31">
        <f>SUMIFS(WeeklyPicks!$M:$M,WeeklyPicks!$A:$A,"&lt;="&amp;$A31,WeeklyPicks!$C:$C,D$16)</f>
        <v>784</v>
      </c>
      <c r="E31">
        <f>SUMIFS(WeeklyPicks!$M:$M,WeeklyPicks!$A:$A,"&lt;="&amp;$A31,WeeklyPicks!$C:$C,E$16)</f>
        <v>640</v>
      </c>
      <c r="F31">
        <f>SUMIFS(WeeklyPicks!$M:$M,WeeklyPicks!$A:$A,"&lt;="&amp;$A31,WeeklyPicks!$C:$C,F$16)</f>
        <v>779</v>
      </c>
      <c r="G31">
        <f>SUMIFS(WeeklyPicks!$M:$M,WeeklyPicks!$A:$A,"&lt;="&amp;$A31,WeeklyPicks!$C:$C,G$16)</f>
        <v>575</v>
      </c>
      <c r="H31">
        <f>SUMIFS(WeeklyPicks!$M:$M,WeeklyPicks!$A:$A,"&lt;="&amp;$A31,WeeklyPicks!$C:$C,H$16)</f>
        <v>574</v>
      </c>
      <c r="I31">
        <f>SUMIFS(WeeklyPicks!$M:$M,WeeklyPicks!$A:$A,"&lt;="&amp;$A31,WeeklyPicks!$C:$C,I$16)</f>
        <v>337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433</v>
      </c>
      <c r="L31">
        <f>SUMIFS(WeeklyPicks!$M:$M,WeeklyPicks!$A:$A,"&lt;="&amp;$A31,WeeklyPicks!$C:$C,L$16)</f>
        <v>517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771</v>
      </c>
      <c r="D32">
        <f>SUMIFS(WeeklyPicks!$M:$M,WeeklyPicks!$A:$A,"&lt;="&amp;$A32,WeeklyPicks!$C:$C,D$16)</f>
        <v>784</v>
      </c>
      <c r="E32">
        <f>SUMIFS(WeeklyPicks!$M:$M,WeeklyPicks!$A:$A,"&lt;="&amp;$A32,WeeklyPicks!$C:$C,E$16)</f>
        <v>640</v>
      </c>
      <c r="F32">
        <f>SUMIFS(WeeklyPicks!$M:$M,WeeklyPicks!$A:$A,"&lt;="&amp;$A32,WeeklyPicks!$C:$C,F$16)</f>
        <v>779</v>
      </c>
      <c r="G32">
        <f>SUMIFS(WeeklyPicks!$M:$M,WeeklyPicks!$A:$A,"&lt;="&amp;$A32,WeeklyPicks!$C:$C,G$16)</f>
        <v>575</v>
      </c>
      <c r="H32">
        <f>SUMIFS(WeeklyPicks!$M:$M,WeeklyPicks!$A:$A,"&lt;="&amp;$A32,WeeklyPicks!$C:$C,H$16)</f>
        <v>574</v>
      </c>
      <c r="I32">
        <f>SUMIFS(WeeklyPicks!$M:$M,WeeklyPicks!$A:$A,"&lt;="&amp;$A32,WeeklyPicks!$C:$C,I$16)</f>
        <v>337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433</v>
      </c>
      <c r="L32">
        <f>SUMIFS(WeeklyPicks!$M:$M,WeeklyPicks!$A:$A,"&lt;="&amp;$A32,WeeklyPicks!$C:$C,L$16)</f>
        <v>517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771</v>
      </c>
      <c r="D33">
        <f>SUMIFS(WeeklyPicks!$M:$M,WeeklyPicks!$A:$A,"&lt;="&amp;$A33,WeeklyPicks!$C:$C,D$16)</f>
        <v>784</v>
      </c>
      <c r="E33">
        <f>SUMIFS(WeeklyPicks!$M:$M,WeeklyPicks!$A:$A,"&lt;="&amp;$A33,WeeklyPicks!$C:$C,E$16)</f>
        <v>640</v>
      </c>
      <c r="F33">
        <f>SUMIFS(WeeklyPicks!$M:$M,WeeklyPicks!$A:$A,"&lt;="&amp;$A33,WeeklyPicks!$C:$C,F$16)</f>
        <v>779</v>
      </c>
      <c r="G33">
        <f>SUMIFS(WeeklyPicks!$M:$M,WeeklyPicks!$A:$A,"&lt;="&amp;$A33,WeeklyPicks!$C:$C,G$16)</f>
        <v>575</v>
      </c>
      <c r="H33">
        <f>SUMIFS(WeeklyPicks!$M:$M,WeeklyPicks!$A:$A,"&lt;="&amp;$A33,WeeklyPicks!$C:$C,H$16)</f>
        <v>574</v>
      </c>
      <c r="I33">
        <f>SUMIFS(WeeklyPicks!$M:$M,WeeklyPicks!$A:$A,"&lt;="&amp;$A33,WeeklyPicks!$C:$C,I$16)</f>
        <v>337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433</v>
      </c>
      <c r="L33">
        <f>SUMIFS(WeeklyPicks!$M:$M,WeeklyPicks!$A:$A,"&lt;="&amp;$A33,WeeklyPicks!$C:$C,L$16)</f>
        <v>517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771</v>
      </c>
      <c r="D34">
        <f>SUMIFS(WeeklyPicks!$M:$M,WeeklyPicks!$A:$A,"&lt;="&amp;$A34,WeeklyPicks!$C:$C,D$16)</f>
        <v>784</v>
      </c>
      <c r="E34">
        <f>SUMIFS(WeeklyPicks!$M:$M,WeeklyPicks!$A:$A,"&lt;="&amp;$A34,WeeklyPicks!$C:$C,E$16)</f>
        <v>640</v>
      </c>
      <c r="F34">
        <f>SUMIFS(WeeklyPicks!$M:$M,WeeklyPicks!$A:$A,"&lt;="&amp;$A34,WeeklyPicks!$C:$C,F$16)</f>
        <v>779</v>
      </c>
      <c r="G34">
        <f>SUMIFS(WeeklyPicks!$M:$M,WeeklyPicks!$A:$A,"&lt;="&amp;$A34,WeeklyPicks!$C:$C,G$16)</f>
        <v>575</v>
      </c>
      <c r="H34">
        <f>SUMIFS(WeeklyPicks!$M:$M,WeeklyPicks!$A:$A,"&lt;="&amp;$A34,WeeklyPicks!$C:$C,H$16)</f>
        <v>574</v>
      </c>
      <c r="I34">
        <f>SUMIFS(WeeklyPicks!$M:$M,WeeklyPicks!$A:$A,"&lt;="&amp;$A34,WeeklyPicks!$C:$C,I$16)</f>
        <v>337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433</v>
      </c>
      <c r="L34">
        <f>SUMIFS(WeeklyPicks!$M:$M,WeeklyPicks!$A:$A,"&lt;="&amp;$A34,WeeklyPicks!$C:$C,L$16)</f>
        <v>517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771</v>
      </c>
      <c r="D35">
        <f>SUMIFS(WeeklyPicks!$M:$M,WeeklyPicks!$A:$A,"&lt;="&amp;$A35,WeeklyPicks!$C:$C,D$16)</f>
        <v>784</v>
      </c>
      <c r="E35">
        <f>SUMIFS(WeeklyPicks!$M:$M,WeeklyPicks!$A:$A,"&lt;="&amp;$A35,WeeklyPicks!$C:$C,E$16)</f>
        <v>640</v>
      </c>
      <c r="F35">
        <f>SUMIFS(WeeklyPicks!$M:$M,WeeklyPicks!$A:$A,"&lt;="&amp;$A35,WeeklyPicks!$C:$C,F$16)</f>
        <v>779</v>
      </c>
      <c r="G35">
        <f>SUMIFS(WeeklyPicks!$M:$M,WeeklyPicks!$A:$A,"&lt;="&amp;$A35,WeeklyPicks!$C:$C,G$16)</f>
        <v>575</v>
      </c>
      <c r="H35">
        <f>SUMIFS(WeeklyPicks!$M:$M,WeeklyPicks!$A:$A,"&lt;="&amp;$A35,WeeklyPicks!$C:$C,H$16)</f>
        <v>574</v>
      </c>
      <c r="I35">
        <f>SUMIFS(WeeklyPicks!$M:$M,WeeklyPicks!$A:$A,"&lt;="&amp;$A35,WeeklyPicks!$C:$C,I$16)</f>
        <v>337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433</v>
      </c>
      <c r="L35">
        <f>SUMIFS(WeeklyPicks!$M:$M,WeeklyPicks!$A:$A,"&lt;="&amp;$A35,WeeklyPicks!$C:$C,L$16)</f>
        <v>517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771</v>
      </c>
      <c r="D36">
        <f>SUMIFS(WeeklyPicks!$M:$M,WeeklyPicks!$A:$A,"&lt;="&amp;$A36,WeeklyPicks!$C:$C,D$16)</f>
        <v>784</v>
      </c>
      <c r="E36">
        <f>SUMIFS(WeeklyPicks!$M:$M,WeeklyPicks!$A:$A,"&lt;="&amp;$A36,WeeklyPicks!$C:$C,E$16)</f>
        <v>640</v>
      </c>
      <c r="F36">
        <f>SUMIFS(WeeklyPicks!$M:$M,WeeklyPicks!$A:$A,"&lt;="&amp;$A36,WeeklyPicks!$C:$C,F$16)</f>
        <v>779</v>
      </c>
      <c r="G36">
        <f>SUMIFS(WeeklyPicks!$M:$M,WeeklyPicks!$A:$A,"&lt;="&amp;$A36,WeeklyPicks!$C:$C,G$16)</f>
        <v>575</v>
      </c>
      <c r="H36">
        <f>SUMIFS(WeeklyPicks!$M:$M,WeeklyPicks!$A:$A,"&lt;="&amp;$A36,WeeklyPicks!$C:$C,H$16)</f>
        <v>574</v>
      </c>
      <c r="I36">
        <f>SUMIFS(WeeklyPicks!$M:$M,WeeklyPicks!$A:$A,"&lt;="&amp;$A36,WeeklyPicks!$C:$C,I$16)</f>
        <v>337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433</v>
      </c>
      <c r="L36">
        <f>SUMIFS(WeeklyPicks!$M:$M,WeeklyPicks!$A:$A,"&lt;="&amp;$A36,WeeklyPicks!$C:$C,L$16)</f>
        <v>517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771</v>
      </c>
      <c r="D37">
        <f>SUMIFS(WeeklyPicks!$M:$M,WeeklyPicks!$A:$A,"&lt;="&amp;$A37,WeeklyPicks!$C:$C,D$16)</f>
        <v>784</v>
      </c>
      <c r="E37">
        <f>SUMIFS(WeeklyPicks!$M:$M,WeeklyPicks!$A:$A,"&lt;="&amp;$A37,WeeklyPicks!$C:$C,E$16)</f>
        <v>640</v>
      </c>
      <c r="F37">
        <f>SUMIFS(WeeklyPicks!$M:$M,WeeklyPicks!$A:$A,"&lt;="&amp;$A37,WeeklyPicks!$C:$C,F$16)</f>
        <v>779</v>
      </c>
      <c r="G37">
        <f>SUMIFS(WeeklyPicks!$M:$M,WeeklyPicks!$A:$A,"&lt;="&amp;$A37,WeeklyPicks!$C:$C,G$16)</f>
        <v>575</v>
      </c>
      <c r="H37">
        <f>SUMIFS(WeeklyPicks!$M:$M,WeeklyPicks!$A:$A,"&lt;="&amp;$A37,WeeklyPicks!$C:$C,H$16)</f>
        <v>574</v>
      </c>
      <c r="I37">
        <f>SUMIFS(WeeklyPicks!$M:$M,WeeklyPicks!$A:$A,"&lt;="&amp;$A37,WeeklyPicks!$C:$C,I$16)</f>
        <v>337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433</v>
      </c>
      <c r="L37">
        <f>SUMIFS(WeeklyPicks!$M:$M,WeeklyPicks!$A:$A,"&lt;="&amp;$A37,WeeklyPicks!$C:$C,L$16)</f>
        <v>517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771</v>
      </c>
      <c r="D38">
        <f>SUMIFS(WeeklyPicks!$M:$M,WeeklyPicks!$A:$A,"&lt;="&amp;$A38,WeeklyPicks!$C:$C,D$16)</f>
        <v>784</v>
      </c>
      <c r="E38">
        <f>SUMIFS(WeeklyPicks!$M:$M,WeeklyPicks!$A:$A,"&lt;="&amp;$A38,WeeklyPicks!$C:$C,E$16)</f>
        <v>640</v>
      </c>
      <c r="F38">
        <f>SUMIFS(WeeklyPicks!$M:$M,WeeklyPicks!$A:$A,"&lt;="&amp;$A38,WeeklyPicks!$C:$C,F$16)</f>
        <v>779</v>
      </c>
      <c r="G38">
        <f>SUMIFS(WeeklyPicks!$M:$M,WeeklyPicks!$A:$A,"&lt;="&amp;$A38,WeeklyPicks!$C:$C,G$16)</f>
        <v>575</v>
      </c>
      <c r="H38">
        <f>SUMIFS(WeeklyPicks!$M:$M,WeeklyPicks!$A:$A,"&lt;="&amp;$A38,WeeklyPicks!$C:$C,H$16)</f>
        <v>574</v>
      </c>
      <c r="I38">
        <f>SUMIFS(WeeklyPicks!$M:$M,WeeklyPicks!$A:$A,"&lt;="&amp;$A38,WeeklyPicks!$C:$C,I$16)</f>
        <v>337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433</v>
      </c>
      <c r="L38">
        <f>SUMIFS(WeeklyPicks!$M:$M,WeeklyPicks!$A:$A,"&lt;="&amp;$A38,WeeklyPicks!$C:$C,L$16)</f>
        <v>517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771</v>
      </c>
      <c r="D39">
        <f>SUMIFS(WeeklyPicks!$M:$M,WeeklyPicks!$A:$A,"&lt;="&amp;$A39,WeeklyPicks!$C:$C,D$16)</f>
        <v>784</v>
      </c>
      <c r="E39">
        <f>SUMIFS(WeeklyPicks!$M:$M,WeeklyPicks!$A:$A,"&lt;="&amp;$A39,WeeklyPicks!$C:$C,E$16)</f>
        <v>640</v>
      </c>
      <c r="F39">
        <f>SUMIFS(WeeklyPicks!$M:$M,WeeklyPicks!$A:$A,"&lt;="&amp;$A39,WeeklyPicks!$C:$C,F$16)</f>
        <v>779</v>
      </c>
      <c r="G39">
        <f>SUMIFS(WeeklyPicks!$M:$M,WeeklyPicks!$A:$A,"&lt;="&amp;$A39,WeeklyPicks!$C:$C,G$16)</f>
        <v>575</v>
      </c>
      <c r="H39">
        <f>SUMIFS(WeeklyPicks!$M:$M,WeeklyPicks!$A:$A,"&lt;="&amp;$A39,WeeklyPicks!$C:$C,H$16)</f>
        <v>574</v>
      </c>
      <c r="I39">
        <f>SUMIFS(WeeklyPicks!$M:$M,WeeklyPicks!$A:$A,"&lt;="&amp;$A39,WeeklyPicks!$C:$C,I$16)</f>
        <v>337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433</v>
      </c>
      <c r="L39">
        <f>SUMIFS(WeeklyPicks!$M:$M,WeeklyPicks!$A:$A,"&lt;="&amp;$A39,WeeklyPicks!$C:$C,L$16)</f>
        <v>517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771</v>
      </c>
      <c r="D40">
        <f>SUMIFS(WeeklyPicks!$M:$M,WeeklyPicks!$A:$A,"&lt;="&amp;$A40,WeeklyPicks!$C:$C,D$16)</f>
        <v>784</v>
      </c>
      <c r="E40">
        <f>SUMIFS(WeeklyPicks!$M:$M,WeeklyPicks!$A:$A,"&lt;="&amp;$A40,WeeklyPicks!$C:$C,E$16)</f>
        <v>640</v>
      </c>
      <c r="F40">
        <f>SUMIFS(WeeklyPicks!$M:$M,WeeklyPicks!$A:$A,"&lt;="&amp;$A40,WeeklyPicks!$C:$C,F$16)</f>
        <v>779</v>
      </c>
      <c r="G40">
        <f>SUMIFS(WeeklyPicks!$M:$M,WeeklyPicks!$A:$A,"&lt;="&amp;$A40,WeeklyPicks!$C:$C,G$16)</f>
        <v>575</v>
      </c>
      <c r="H40">
        <f>SUMIFS(WeeklyPicks!$M:$M,WeeklyPicks!$A:$A,"&lt;="&amp;$A40,WeeklyPicks!$C:$C,H$16)</f>
        <v>574</v>
      </c>
      <c r="I40">
        <f>SUMIFS(WeeklyPicks!$M:$M,WeeklyPicks!$A:$A,"&lt;="&amp;$A40,WeeklyPicks!$C:$C,I$16)</f>
        <v>337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433</v>
      </c>
      <c r="L40">
        <f>SUMIFS(WeeklyPicks!$M:$M,WeeklyPicks!$A:$A,"&lt;="&amp;$A40,WeeklyPicks!$C:$C,L$16)</f>
        <v>517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771</v>
      </c>
      <c r="D41">
        <f>SUMIFS(WeeklyPicks!$M:$M,WeeklyPicks!$A:$A,"&lt;="&amp;$A41,WeeklyPicks!$C:$C,D$16)</f>
        <v>784</v>
      </c>
      <c r="E41">
        <f>SUMIFS(WeeklyPicks!$M:$M,WeeklyPicks!$A:$A,"&lt;="&amp;$A41,WeeklyPicks!$C:$C,E$16)</f>
        <v>640</v>
      </c>
      <c r="F41">
        <f>SUMIFS(WeeklyPicks!$M:$M,WeeklyPicks!$A:$A,"&lt;="&amp;$A41,WeeklyPicks!$C:$C,F$16)</f>
        <v>779</v>
      </c>
      <c r="G41">
        <f>SUMIFS(WeeklyPicks!$M:$M,WeeklyPicks!$A:$A,"&lt;="&amp;$A41,WeeklyPicks!$C:$C,G$16)</f>
        <v>575</v>
      </c>
      <c r="H41">
        <f>SUMIFS(WeeklyPicks!$M:$M,WeeklyPicks!$A:$A,"&lt;="&amp;$A41,WeeklyPicks!$C:$C,H$16)</f>
        <v>574</v>
      </c>
      <c r="I41">
        <f>SUMIFS(WeeklyPicks!$M:$M,WeeklyPicks!$A:$A,"&lt;="&amp;$A41,WeeklyPicks!$C:$C,I$16)</f>
        <v>337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433</v>
      </c>
      <c r="L41">
        <f>SUMIFS(WeeklyPicks!$M:$M,WeeklyPicks!$A:$A,"&lt;="&amp;$A41,WeeklyPicks!$C:$C,L$16)</f>
        <v>517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771</v>
      </c>
      <c r="D42">
        <f>SUMIFS(WeeklyPicks!$M:$M,WeeklyPicks!$A:$A,"&lt;="&amp;$A42,WeeklyPicks!$C:$C,D$16)</f>
        <v>784</v>
      </c>
      <c r="E42">
        <f>SUMIFS(WeeklyPicks!$M:$M,WeeklyPicks!$A:$A,"&lt;="&amp;$A42,WeeklyPicks!$C:$C,E$16)</f>
        <v>640</v>
      </c>
      <c r="F42">
        <f>SUMIFS(WeeklyPicks!$M:$M,WeeklyPicks!$A:$A,"&lt;="&amp;$A42,WeeklyPicks!$C:$C,F$16)</f>
        <v>779</v>
      </c>
      <c r="G42">
        <f>SUMIFS(WeeklyPicks!$M:$M,WeeklyPicks!$A:$A,"&lt;="&amp;$A42,WeeklyPicks!$C:$C,G$16)</f>
        <v>575</v>
      </c>
      <c r="H42">
        <f>SUMIFS(WeeklyPicks!$M:$M,WeeklyPicks!$A:$A,"&lt;="&amp;$A42,WeeklyPicks!$C:$C,H$16)</f>
        <v>574</v>
      </c>
      <c r="I42">
        <f>SUMIFS(WeeklyPicks!$M:$M,WeeklyPicks!$A:$A,"&lt;="&amp;$A42,WeeklyPicks!$C:$C,I$16)</f>
        <v>337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433</v>
      </c>
      <c r="L42">
        <f>SUMIFS(WeeklyPicks!$M:$M,WeeklyPicks!$A:$A,"&lt;="&amp;$A42,WeeklyPicks!$C:$C,L$16)</f>
        <v>517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771</v>
      </c>
      <c r="D43">
        <f>SUMIFS(WeeklyPicks!$M:$M,WeeklyPicks!$A:$A,"&lt;="&amp;$A43,WeeklyPicks!$C:$C,D$16)</f>
        <v>784</v>
      </c>
      <c r="E43">
        <f>SUMIFS(WeeklyPicks!$M:$M,WeeklyPicks!$A:$A,"&lt;="&amp;$A43,WeeklyPicks!$C:$C,E$16)</f>
        <v>640</v>
      </c>
      <c r="F43">
        <f>SUMIFS(WeeklyPicks!$M:$M,WeeklyPicks!$A:$A,"&lt;="&amp;$A43,WeeklyPicks!$C:$C,F$16)</f>
        <v>779</v>
      </c>
      <c r="G43">
        <f>SUMIFS(WeeklyPicks!$M:$M,WeeklyPicks!$A:$A,"&lt;="&amp;$A43,WeeklyPicks!$C:$C,G$16)</f>
        <v>575</v>
      </c>
      <c r="H43">
        <f>SUMIFS(WeeklyPicks!$M:$M,WeeklyPicks!$A:$A,"&lt;="&amp;$A43,WeeklyPicks!$C:$C,H$16)</f>
        <v>574</v>
      </c>
      <c r="I43">
        <f>SUMIFS(WeeklyPicks!$M:$M,WeeklyPicks!$A:$A,"&lt;="&amp;$A43,WeeklyPicks!$C:$C,I$16)</f>
        <v>337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433</v>
      </c>
      <c r="L43">
        <f>SUMIFS(WeeklyPicks!$M:$M,WeeklyPicks!$A:$A,"&lt;="&amp;$A43,WeeklyPicks!$C:$C,L$16)</f>
        <v>517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771</v>
      </c>
      <c r="D44">
        <f>SUMIFS(WeeklyPicks!$M:$M,WeeklyPicks!$A:$A,"&lt;="&amp;$A44,WeeklyPicks!$C:$C,D$16)</f>
        <v>784</v>
      </c>
      <c r="E44">
        <f>SUMIFS(WeeklyPicks!$M:$M,WeeklyPicks!$A:$A,"&lt;="&amp;$A44,WeeklyPicks!$C:$C,E$16)</f>
        <v>640</v>
      </c>
      <c r="F44">
        <f>SUMIFS(WeeklyPicks!$M:$M,WeeklyPicks!$A:$A,"&lt;="&amp;$A44,WeeklyPicks!$C:$C,F$16)</f>
        <v>779</v>
      </c>
      <c r="G44">
        <f>SUMIFS(WeeklyPicks!$M:$M,WeeklyPicks!$A:$A,"&lt;="&amp;$A44,WeeklyPicks!$C:$C,G$16)</f>
        <v>575</v>
      </c>
      <c r="H44">
        <f>SUMIFS(WeeklyPicks!$M:$M,WeeklyPicks!$A:$A,"&lt;="&amp;$A44,WeeklyPicks!$C:$C,H$16)</f>
        <v>574</v>
      </c>
      <c r="I44">
        <f>SUMIFS(WeeklyPicks!$M:$M,WeeklyPicks!$A:$A,"&lt;="&amp;$A44,WeeklyPicks!$C:$C,I$16)</f>
        <v>337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433</v>
      </c>
      <c r="L44">
        <f>SUMIFS(WeeklyPicks!$M:$M,WeeklyPicks!$A:$A,"&lt;="&amp;$A44,WeeklyPicks!$C:$C,L$16)</f>
        <v>517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771</v>
      </c>
      <c r="D45">
        <f>SUMIFS(WeeklyPicks!$M:$M,WeeklyPicks!$A:$A,"&lt;="&amp;$A45,WeeklyPicks!$C:$C,D$16)</f>
        <v>784</v>
      </c>
      <c r="E45">
        <f>SUMIFS(WeeklyPicks!$M:$M,WeeklyPicks!$A:$A,"&lt;="&amp;$A45,WeeklyPicks!$C:$C,E$16)</f>
        <v>640</v>
      </c>
      <c r="F45">
        <f>SUMIFS(WeeklyPicks!$M:$M,WeeklyPicks!$A:$A,"&lt;="&amp;$A45,WeeklyPicks!$C:$C,F$16)</f>
        <v>779</v>
      </c>
      <c r="G45">
        <f>SUMIFS(WeeklyPicks!$M:$M,WeeklyPicks!$A:$A,"&lt;="&amp;$A45,WeeklyPicks!$C:$C,G$16)</f>
        <v>575</v>
      </c>
      <c r="H45">
        <f>SUMIFS(WeeklyPicks!$M:$M,WeeklyPicks!$A:$A,"&lt;="&amp;$A45,WeeklyPicks!$C:$C,H$16)</f>
        <v>574</v>
      </c>
      <c r="I45">
        <f>SUMIFS(WeeklyPicks!$M:$M,WeeklyPicks!$A:$A,"&lt;="&amp;$A45,WeeklyPicks!$C:$C,I$16)</f>
        <v>337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433</v>
      </c>
      <c r="L45">
        <f>SUMIFS(WeeklyPicks!$M:$M,WeeklyPicks!$A:$A,"&lt;="&amp;$A45,WeeklyPicks!$C:$C,L$16)</f>
        <v>517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771</v>
      </c>
      <c r="D46">
        <f>SUMIFS(WeeklyPicks!$M:$M,WeeklyPicks!$A:$A,"&lt;="&amp;$A46,WeeklyPicks!$C:$C,D$16)</f>
        <v>784</v>
      </c>
      <c r="E46">
        <f>SUMIFS(WeeklyPicks!$M:$M,WeeklyPicks!$A:$A,"&lt;="&amp;$A46,WeeklyPicks!$C:$C,E$16)</f>
        <v>640</v>
      </c>
      <c r="F46">
        <f>SUMIFS(WeeklyPicks!$M:$M,WeeklyPicks!$A:$A,"&lt;="&amp;$A46,WeeklyPicks!$C:$C,F$16)</f>
        <v>779</v>
      </c>
      <c r="G46">
        <f>SUMIFS(WeeklyPicks!$M:$M,WeeklyPicks!$A:$A,"&lt;="&amp;$A46,WeeklyPicks!$C:$C,G$16)</f>
        <v>575</v>
      </c>
      <c r="H46">
        <f>SUMIFS(WeeklyPicks!$M:$M,WeeklyPicks!$A:$A,"&lt;="&amp;$A46,WeeklyPicks!$C:$C,H$16)</f>
        <v>574</v>
      </c>
      <c r="I46">
        <f>SUMIFS(WeeklyPicks!$M:$M,WeeklyPicks!$A:$A,"&lt;="&amp;$A46,WeeklyPicks!$C:$C,I$16)</f>
        <v>337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433</v>
      </c>
      <c r="L46">
        <f>SUMIFS(WeeklyPicks!$M:$M,WeeklyPicks!$A:$A,"&lt;="&amp;$A46,WeeklyPicks!$C:$C,L$16)</f>
        <v>517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771</v>
      </c>
      <c r="D47">
        <f>SUMIFS(WeeklyPicks!$M:$M,WeeklyPicks!$A:$A,"&lt;="&amp;$A47,WeeklyPicks!$C:$C,D$16)</f>
        <v>784</v>
      </c>
      <c r="E47">
        <f>SUMIFS(WeeklyPicks!$M:$M,WeeklyPicks!$A:$A,"&lt;="&amp;$A47,WeeklyPicks!$C:$C,E$16)</f>
        <v>640</v>
      </c>
      <c r="F47">
        <f>SUMIFS(WeeklyPicks!$M:$M,WeeklyPicks!$A:$A,"&lt;="&amp;$A47,WeeklyPicks!$C:$C,F$16)</f>
        <v>779</v>
      </c>
      <c r="G47">
        <f>SUMIFS(WeeklyPicks!$M:$M,WeeklyPicks!$A:$A,"&lt;="&amp;$A47,WeeklyPicks!$C:$C,G$16)</f>
        <v>575</v>
      </c>
      <c r="H47">
        <f>SUMIFS(WeeklyPicks!$M:$M,WeeklyPicks!$A:$A,"&lt;="&amp;$A47,WeeklyPicks!$C:$C,H$16)</f>
        <v>574</v>
      </c>
      <c r="I47">
        <f>SUMIFS(WeeklyPicks!$M:$M,WeeklyPicks!$A:$A,"&lt;="&amp;$A47,WeeklyPicks!$C:$C,I$16)</f>
        <v>337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433</v>
      </c>
      <c r="L47">
        <f>SUMIFS(WeeklyPicks!$M:$M,WeeklyPicks!$A:$A,"&lt;="&amp;$A47,WeeklyPicks!$C:$C,L$16)</f>
        <v>517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771</v>
      </c>
      <c r="D48">
        <f>SUMIFS(WeeklyPicks!$M:$M,WeeklyPicks!$A:$A,"&lt;="&amp;$A48,WeeklyPicks!$C:$C,D$16)</f>
        <v>784</v>
      </c>
      <c r="E48">
        <f>SUMIFS(WeeklyPicks!$M:$M,WeeklyPicks!$A:$A,"&lt;="&amp;$A48,WeeklyPicks!$C:$C,E$16)</f>
        <v>640</v>
      </c>
      <c r="F48">
        <f>SUMIFS(WeeklyPicks!$M:$M,WeeklyPicks!$A:$A,"&lt;="&amp;$A48,WeeklyPicks!$C:$C,F$16)</f>
        <v>779</v>
      </c>
      <c r="G48">
        <f>SUMIFS(WeeklyPicks!$M:$M,WeeklyPicks!$A:$A,"&lt;="&amp;$A48,WeeklyPicks!$C:$C,G$16)</f>
        <v>575</v>
      </c>
      <c r="H48">
        <f>SUMIFS(WeeklyPicks!$M:$M,WeeklyPicks!$A:$A,"&lt;="&amp;$A48,WeeklyPicks!$C:$C,H$16)</f>
        <v>574</v>
      </c>
      <c r="I48">
        <f>SUMIFS(WeeklyPicks!$M:$M,WeeklyPicks!$A:$A,"&lt;="&amp;$A48,WeeklyPicks!$C:$C,I$16)</f>
        <v>337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433</v>
      </c>
      <c r="L48">
        <f>SUMIFS(WeeklyPicks!$M:$M,WeeklyPicks!$A:$A,"&lt;="&amp;$A48,WeeklyPicks!$C:$C,L$16)</f>
        <v>517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771</v>
      </c>
      <c r="D49">
        <f>SUMIFS(WeeklyPicks!$M:$M,WeeklyPicks!$A:$A,"&lt;="&amp;$A49,WeeklyPicks!$C:$C,D$16)</f>
        <v>784</v>
      </c>
      <c r="E49">
        <f>SUMIFS(WeeklyPicks!$M:$M,WeeklyPicks!$A:$A,"&lt;="&amp;$A49,WeeklyPicks!$C:$C,E$16)</f>
        <v>640</v>
      </c>
      <c r="F49">
        <f>SUMIFS(WeeklyPicks!$M:$M,WeeklyPicks!$A:$A,"&lt;="&amp;$A49,WeeklyPicks!$C:$C,F$16)</f>
        <v>779</v>
      </c>
      <c r="G49">
        <f>SUMIFS(WeeklyPicks!$M:$M,WeeklyPicks!$A:$A,"&lt;="&amp;$A49,WeeklyPicks!$C:$C,G$16)</f>
        <v>575</v>
      </c>
      <c r="H49">
        <f>SUMIFS(WeeklyPicks!$M:$M,WeeklyPicks!$A:$A,"&lt;="&amp;$A49,WeeklyPicks!$C:$C,H$16)</f>
        <v>574</v>
      </c>
      <c r="I49">
        <f>SUMIFS(WeeklyPicks!$M:$M,WeeklyPicks!$A:$A,"&lt;="&amp;$A49,WeeklyPicks!$C:$C,I$16)</f>
        <v>337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433</v>
      </c>
      <c r="L49">
        <f>SUMIFS(WeeklyPicks!$M:$M,WeeklyPicks!$A:$A,"&lt;="&amp;$A49,WeeklyPicks!$C:$C,L$16)</f>
        <v>517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771</v>
      </c>
      <c r="D50">
        <f>SUMIFS(WeeklyPicks!$M:$M,WeeklyPicks!$A:$A,"&lt;="&amp;$A50,WeeklyPicks!$C:$C,D$16)</f>
        <v>784</v>
      </c>
      <c r="E50">
        <f>SUMIFS(WeeklyPicks!$M:$M,WeeklyPicks!$A:$A,"&lt;="&amp;$A50,WeeklyPicks!$C:$C,E$16)</f>
        <v>640</v>
      </c>
      <c r="F50">
        <f>SUMIFS(WeeklyPicks!$M:$M,WeeklyPicks!$A:$A,"&lt;="&amp;$A50,WeeklyPicks!$C:$C,F$16)</f>
        <v>779</v>
      </c>
      <c r="G50">
        <f>SUMIFS(WeeklyPicks!$M:$M,WeeklyPicks!$A:$A,"&lt;="&amp;$A50,WeeklyPicks!$C:$C,G$16)</f>
        <v>575</v>
      </c>
      <c r="H50">
        <f>SUMIFS(WeeklyPicks!$M:$M,WeeklyPicks!$A:$A,"&lt;="&amp;$A50,WeeklyPicks!$C:$C,H$16)</f>
        <v>574</v>
      </c>
      <c r="I50">
        <f>SUMIFS(WeeklyPicks!$M:$M,WeeklyPicks!$A:$A,"&lt;="&amp;$A50,WeeklyPicks!$C:$C,I$16)</f>
        <v>337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433</v>
      </c>
      <c r="L50">
        <f>SUMIFS(WeeklyPicks!$M:$M,WeeklyPicks!$A:$A,"&lt;="&amp;$A50,WeeklyPicks!$C:$C,L$16)</f>
        <v>517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771</v>
      </c>
      <c r="D51">
        <f>SUMIFS(WeeklyPicks!$M:$M,WeeklyPicks!$A:$A,"&lt;="&amp;$A51,WeeklyPicks!$C:$C,D$16)</f>
        <v>784</v>
      </c>
      <c r="E51">
        <f>SUMIFS(WeeklyPicks!$M:$M,WeeklyPicks!$A:$A,"&lt;="&amp;$A51,WeeklyPicks!$C:$C,E$16)</f>
        <v>640</v>
      </c>
      <c r="F51">
        <f>SUMIFS(WeeklyPicks!$M:$M,WeeklyPicks!$A:$A,"&lt;="&amp;$A51,WeeklyPicks!$C:$C,F$16)</f>
        <v>779</v>
      </c>
      <c r="G51">
        <f>SUMIFS(WeeklyPicks!$M:$M,WeeklyPicks!$A:$A,"&lt;="&amp;$A51,WeeklyPicks!$C:$C,G$16)</f>
        <v>575</v>
      </c>
      <c r="H51">
        <f>SUMIFS(WeeklyPicks!$M:$M,WeeklyPicks!$A:$A,"&lt;="&amp;$A51,WeeklyPicks!$C:$C,H$16)</f>
        <v>574</v>
      </c>
      <c r="I51">
        <f>SUMIFS(WeeklyPicks!$M:$M,WeeklyPicks!$A:$A,"&lt;="&amp;$A51,WeeklyPicks!$C:$C,I$16)</f>
        <v>337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433</v>
      </c>
      <c r="L51">
        <f>SUMIFS(WeeklyPicks!$M:$M,WeeklyPicks!$A:$A,"&lt;="&amp;$A51,WeeklyPicks!$C:$C,L$16)</f>
        <v>517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771</v>
      </c>
      <c r="D52">
        <f>SUMIFS(WeeklyPicks!$M:$M,WeeklyPicks!$A:$A,"&lt;="&amp;$A52,WeeklyPicks!$C:$C,D$16)</f>
        <v>784</v>
      </c>
      <c r="E52">
        <f>SUMIFS(WeeklyPicks!$M:$M,WeeklyPicks!$A:$A,"&lt;="&amp;$A52,WeeklyPicks!$C:$C,E$16)</f>
        <v>640</v>
      </c>
      <c r="F52">
        <f>SUMIFS(WeeklyPicks!$M:$M,WeeklyPicks!$A:$A,"&lt;="&amp;$A52,WeeklyPicks!$C:$C,F$16)</f>
        <v>779</v>
      </c>
      <c r="G52">
        <f>SUMIFS(WeeklyPicks!$M:$M,WeeklyPicks!$A:$A,"&lt;="&amp;$A52,WeeklyPicks!$C:$C,G$16)</f>
        <v>575</v>
      </c>
      <c r="H52">
        <f>SUMIFS(WeeklyPicks!$M:$M,WeeklyPicks!$A:$A,"&lt;="&amp;$A52,WeeklyPicks!$C:$C,H$16)</f>
        <v>574</v>
      </c>
      <c r="I52">
        <f>SUMIFS(WeeklyPicks!$M:$M,WeeklyPicks!$A:$A,"&lt;="&amp;$A52,WeeklyPicks!$C:$C,I$16)</f>
        <v>337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433</v>
      </c>
      <c r="L52">
        <f>SUMIFS(WeeklyPicks!$M:$M,WeeklyPicks!$A:$A,"&lt;="&amp;$A52,WeeklyPicks!$C:$C,L$16)</f>
        <v>517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3</v>
      </c>
      <c r="B5" s="16" t="str">
        <f>Dashboard!B4</f>
        <v>Pat</v>
      </c>
      <c r="C5" s="16">
        <f>Dashboard!C4</f>
        <v>771</v>
      </c>
      <c r="D5" s="16">
        <f>Dashboard!D4</f>
        <v>2</v>
      </c>
      <c r="E5" s="16">
        <f>Dashboard!G4</f>
        <v>82</v>
      </c>
    </row>
    <row r="6" spans="1:6" ht="18" customHeight="1" x14ac:dyDescent="0.3">
      <c r="A6" s="16">
        <f>Dashboard!A5</f>
        <v>1</v>
      </c>
      <c r="B6" s="16" t="str">
        <f>Dashboard!B5</f>
        <v>Meg</v>
      </c>
      <c r="C6" s="16">
        <f>Dashboard!C5</f>
        <v>784</v>
      </c>
      <c r="D6" s="16">
        <f>Dashboard!D5</f>
        <v>3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640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2</v>
      </c>
      <c r="B8" s="16" t="str">
        <f>Dashboard!B7</f>
        <v>Alz</v>
      </c>
      <c r="C8" s="16">
        <f>Dashboard!C7</f>
        <v>779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5</v>
      </c>
      <c r="B9" s="16" t="str">
        <f>Dashboard!B8</f>
        <v>Joe</v>
      </c>
      <c r="C9" s="16">
        <f>Dashboard!C8</f>
        <v>575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6</v>
      </c>
      <c r="B10" s="16" t="str">
        <f>Dashboard!B9</f>
        <v>Evelyn</v>
      </c>
      <c r="C10" s="16">
        <f>Dashboard!C9</f>
        <v>574</v>
      </c>
      <c r="D10" s="16">
        <f>Dashboard!D9</f>
        <v>0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337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8</v>
      </c>
      <c r="B13" s="16" t="str">
        <f>Dashboard!B12</f>
        <v>Jay</v>
      </c>
      <c r="C13" s="16">
        <f>Dashboard!C12</f>
        <v>433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7</v>
      </c>
      <c r="B14" s="16" t="str">
        <f>Dashboard!B13</f>
        <v>Ryan</v>
      </c>
      <c r="C14" s="16">
        <f>Dashboard!C13</f>
        <v>517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2026-05-03T22:55:26Z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