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642" documentId="8_{64ED620B-E9CD-47B3-A172-B982AAA909D5}" xr6:coauthVersionLast="47" xr6:coauthVersionMax="47" xr10:uidLastSave="{EFFDF7E0-3DD7-4BE2-BA2A-D98266849421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49" i="10" l="1"/>
  <c r="C2" i="10"/>
  <c r="C3" i="10"/>
  <c r="C78" i="10"/>
  <c r="C18" i="10"/>
  <c r="C8" i="10"/>
  <c r="M47" i="5"/>
  <c r="C55" i="10"/>
  <c r="C23" i="10"/>
  <c r="M51" i="5"/>
  <c r="L22" i="11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0" i="11"/>
  <c r="L19" i="11"/>
  <c r="C20" i="10"/>
  <c r="H20" i="11"/>
  <c r="D29" i="6"/>
  <c r="D37" i="6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G26" i="11" l="1"/>
  <c r="H26" i="1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<sst xmlns="http://schemas.openxmlformats.org/spreadsheetml/2006/main" count="8285" uniqueCount="159">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</sst>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709</c:v>
                </c:pt>
                <c:pt idx="1">
                  <c:v>680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1019</c:v>
                </c:pt>
                <c:pt idx="19">
                  <c:v>1019</c:v>
                </c:pt>
                <c:pt idx="20">
                  <c:v>1019</c:v>
                </c:pt>
                <c:pt idx="21">
                  <c:v>1019</c:v>
                </c:pt>
                <c:pt idx="22">
                  <c:v>1019</c:v>
                </c:pt>
                <c:pt idx="23">
                  <c:v>1019</c:v>
                </c:pt>
                <c:pt idx="24">
                  <c:v>1019</c:v>
                </c:pt>
                <c:pt idx="25">
                  <c:v>1019</c:v>
                </c:pt>
                <c:pt idx="26">
                  <c:v>1019</c:v>
                </c:pt>
                <c:pt idx="27">
                  <c:v>1019</c:v>
                </c:pt>
                <c:pt idx="28">
                  <c:v>1019</c:v>
                </c:pt>
                <c:pt idx="29">
                  <c:v>1019</c:v>
                </c:pt>
                <c:pt idx="30">
                  <c:v>1019</c:v>
                </c:pt>
                <c:pt idx="31">
                  <c:v>1019</c:v>
                </c:pt>
                <c:pt idx="32">
                  <c:v>1019</c:v>
                </c:pt>
                <c:pt idx="33">
                  <c:v>1019</c:v>
                </c:pt>
                <c:pt idx="34">
                  <c:v>1019</c:v>
                </c:pt>
                <c:pt idx="35">
                  <c:v>1019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1078</c:v>
                </c:pt>
                <c:pt idx="19">
                  <c:v>1078</c:v>
                </c:pt>
                <c:pt idx="20">
                  <c:v>1078</c:v>
                </c:pt>
                <c:pt idx="21">
                  <c:v>1078</c:v>
                </c:pt>
                <c:pt idx="22">
                  <c:v>1078</c:v>
                </c:pt>
                <c:pt idx="23">
                  <c:v>1078</c:v>
                </c:pt>
                <c:pt idx="24">
                  <c:v>1078</c:v>
                </c:pt>
                <c:pt idx="25">
                  <c:v>1078</c:v>
                </c:pt>
                <c:pt idx="26">
                  <c:v>1078</c:v>
                </c:pt>
                <c:pt idx="27">
                  <c:v>1078</c:v>
                </c:pt>
                <c:pt idx="28">
                  <c:v>1078</c:v>
                </c:pt>
                <c:pt idx="29">
                  <c:v>1078</c:v>
                </c:pt>
                <c:pt idx="30">
                  <c:v>1078</c:v>
                </c:pt>
                <c:pt idx="31">
                  <c:v>1078</c:v>
                </c:pt>
                <c:pt idx="32">
                  <c:v>1078</c:v>
                </c:pt>
                <c:pt idx="33">
                  <c:v>1078</c:v>
                </c:pt>
                <c:pt idx="34">
                  <c:v>1078</c:v>
                </c:pt>
                <c:pt idx="35">
                  <c:v>1078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19.694444444444443</c:v>
                </c:pt>
                <c:pt idx="1">
                  <c:v>18.888888888888889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919</c:v>
                </c:pt>
                <c:pt idx="19">
                  <c:v>919</c:v>
                </c:pt>
                <c:pt idx="20">
                  <c:v>919</c:v>
                </c:pt>
                <c:pt idx="21">
                  <c:v>919</c:v>
                </c:pt>
                <c:pt idx="22">
                  <c:v>919</c:v>
                </c:pt>
                <c:pt idx="23">
                  <c:v>919</c:v>
                </c:pt>
                <c:pt idx="24">
                  <c:v>919</c:v>
                </c:pt>
                <c:pt idx="25">
                  <c:v>919</c:v>
                </c:pt>
                <c:pt idx="26">
                  <c:v>919</c:v>
                </c:pt>
                <c:pt idx="27">
                  <c:v>919</c:v>
                </c:pt>
                <c:pt idx="28">
                  <c:v>919</c:v>
                </c:pt>
                <c:pt idx="29">
                  <c:v>919</c:v>
                </c:pt>
                <c:pt idx="30">
                  <c:v>919</c:v>
                </c:pt>
                <c:pt idx="31">
                  <c:v>919</c:v>
                </c:pt>
                <c:pt idx="32">
                  <c:v>919</c:v>
                </c:pt>
                <c:pt idx="33">
                  <c:v>919</c:v>
                </c:pt>
                <c:pt idx="34">
                  <c:v>919</c:v>
                </c:pt>
                <c:pt idx="35">
                  <c:v>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1088</c:v>
                </c:pt>
                <c:pt idx="19">
                  <c:v>1088</c:v>
                </c:pt>
                <c:pt idx="20">
                  <c:v>1088</c:v>
                </c:pt>
                <c:pt idx="21">
                  <c:v>1088</c:v>
                </c:pt>
                <c:pt idx="22">
                  <c:v>1088</c:v>
                </c:pt>
                <c:pt idx="23">
                  <c:v>1088</c:v>
                </c:pt>
                <c:pt idx="24">
                  <c:v>1088</c:v>
                </c:pt>
                <c:pt idx="25">
                  <c:v>1088</c:v>
                </c:pt>
                <c:pt idx="26">
                  <c:v>1088</c:v>
                </c:pt>
                <c:pt idx="27">
                  <c:v>1088</c:v>
                </c:pt>
                <c:pt idx="28">
                  <c:v>1088</c:v>
                </c:pt>
                <c:pt idx="29">
                  <c:v>1088</c:v>
                </c:pt>
                <c:pt idx="30">
                  <c:v>1088</c:v>
                </c:pt>
                <c:pt idx="31">
                  <c:v>1088</c:v>
                </c:pt>
                <c:pt idx="32">
                  <c:v>1088</c:v>
                </c:pt>
                <c:pt idx="33">
                  <c:v>1088</c:v>
                </c:pt>
                <c:pt idx="34">
                  <c:v>1088</c:v>
                </c:pt>
                <c:pt idx="35">
                  <c:v>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28" activePane="bottomLeft" state="frozen"/>
      <selection pane="bottomLeft" activeCell="A135" sqref="A135:XFD135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11">
        <f>IF(D122="","",SUMIFS(RaceResults!$C:$C,RaceResults!$A:$A,$A122,RaceResults!$D:$D,D122))</f>
        <v>4</v>
      </c>
      <c r="H122" s="11">
        <f>IF(E122="","",SUMIFS(RaceResults!$C:$C,RaceResults!$A:$A,$A122,RaceResults!$D:$D,E122))</f>
        <v>7</v>
      </c>
      <c r="I122" s="11">
        <f>IF(F122="","",SUMIFS(RaceResults!$C:$C,RaceResults!$A:$A,$A122,RaceResults!$D:$D,F122))</f>
        <v>35</v>
      </c>
      <c r="J122" s="11">
        <f>IF(D122="","",SUMIFS(RaceResults!$E:$E,RaceResults!$A:$A,$A122,RaceResults!$D:$D,D122))</f>
        <v>33</v>
      </c>
      <c r="K122" s="11">
        <f>IF(E122="","",SUMIFS(RaceResults!$E:$E,RaceResults!$A:$A,$A122,RaceResults!$D:$D,E122))</f>
        <v>30</v>
      </c>
      <c r="L122" s="11">
        <f>IF(F122="","",SUMIFS(RaceResults!$E:$E,RaceResults!$A:$A,$A122,RaceResults!$D:$D,F122))</f>
        <v>2</v>
      </c>
      <c r="M122" s="11">
        <f t="shared" si="1"/>
        <v>65</v>
      </c>
    </row>
    <row r="123" spans="1:13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11">
        <f>IF(D123="","",SUMIFS(RaceResults!$C:$C,RaceResults!$A:$A,$A123,RaceResults!$D:$D,D123))</f>
        <v>4</v>
      </c>
      <c r="H123" s="11">
        <f>IF(E123="","",SUMIFS(RaceResults!$C:$C,RaceResults!$A:$A,$A123,RaceResults!$D:$D,E123))</f>
        <v>3</v>
      </c>
      <c r="I123" s="11">
        <f>IF(F123="","",SUMIFS(RaceResults!$C:$C,RaceResults!$A:$A,$A123,RaceResults!$D:$D,F123))</f>
        <v>5</v>
      </c>
      <c r="J123" s="11">
        <f>IF(D123="","",SUMIFS(RaceResults!$E:$E,RaceResults!$A:$A,$A123,RaceResults!$D:$D,D123))</f>
        <v>33</v>
      </c>
      <c r="K123" s="11">
        <f>IF(E123="","",SUMIFS(RaceResults!$E:$E,RaceResults!$A:$A,$A123,RaceResults!$D:$D,E123))</f>
        <v>34</v>
      </c>
      <c r="L123" s="11">
        <f>IF(F123="","",SUMIFS(RaceResults!$E:$E,RaceResults!$A:$A,$A123,RaceResults!$D:$D,F123))</f>
        <v>32</v>
      </c>
      <c r="M123" s="11">
        <f t="shared" si="1"/>
        <v>99</v>
      </c>
    </row>
    <row r="124" spans="1:13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11">
        <f>IF(D124="","",SUMIFS(RaceResults!$C:$C,RaceResults!$A:$A,$A124,RaceResults!$D:$D,D124))</f>
        <v>3</v>
      </c>
      <c r="H124" s="11">
        <f>IF(E124="","",SUMIFS(RaceResults!$C:$C,RaceResults!$A:$A,$A124,RaceResults!$D:$D,E124))</f>
        <v>35</v>
      </c>
      <c r="I124" s="11">
        <f>IF(F124="","",SUMIFS(RaceResults!$C:$C,RaceResults!$A:$A,$A124,RaceResults!$D:$D,F124))</f>
        <v>9</v>
      </c>
      <c r="J124" s="11">
        <f>IF(D124="","",SUMIFS(RaceResults!$E:$E,RaceResults!$A:$A,$A124,RaceResults!$D:$D,D124))</f>
        <v>34</v>
      </c>
      <c r="K124" s="11">
        <f>IF(E124="","",SUMIFS(RaceResults!$E:$E,RaceResults!$A:$A,$A124,RaceResults!$D:$D,E124))</f>
        <v>2</v>
      </c>
      <c r="L124" s="11">
        <f>IF(F124="","",SUMIFS(RaceResults!$E:$E,RaceResults!$A:$A,$A124,RaceResults!$D:$D,F124))</f>
        <v>28</v>
      </c>
      <c r="M124" s="11">
        <f t="shared" si="1"/>
        <v>64</v>
      </c>
    </row>
    <row r="125" spans="1:13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11">
        <f>IF(D125="","",SUMIFS(RaceResults!$C:$C,RaceResults!$A:$A,$A125,RaceResults!$D:$D,D125))</f>
        <v>3</v>
      </c>
      <c r="H125" s="11">
        <f>IF(E125="","",SUMIFS(RaceResults!$C:$C,RaceResults!$A:$A,$A125,RaceResults!$D:$D,E125))</f>
        <v>4</v>
      </c>
      <c r="I125" s="11">
        <f>IF(F125="","",SUMIFS(RaceResults!$C:$C,RaceResults!$A:$A,$A125,RaceResults!$D:$D,F125))</f>
        <v>7</v>
      </c>
      <c r="J125" s="11">
        <f>IF(D125="","",SUMIFS(RaceResults!$E:$E,RaceResults!$A:$A,$A125,RaceResults!$D:$D,D125))</f>
        <v>34</v>
      </c>
      <c r="K125" s="11">
        <f>IF(E125="","",SUMIFS(RaceResults!$E:$E,RaceResults!$A:$A,$A125,RaceResults!$D:$D,E125))</f>
        <v>33</v>
      </c>
      <c r="L125" s="11">
        <f>IF(F125="","",SUMIFS(RaceResults!$E:$E,RaceResults!$A:$A,$A125,RaceResults!$D:$D,F125))</f>
        <v>30</v>
      </c>
      <c r="M125" s="11">
        <f t="shared" si="1"/>
        <v>97</v>
      </c>
    </row>
    <row r="126" spans="1:13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11">
        <f>IF(D126="","",SUMIFS(RaceResults!$C:$C,RaceResults!$A:$A,$A126,RaceResults!$D:$D,D126))</f>
        <v>4</v>
      </c>
      <c r="H126" s="11">
        <f>IF(E126="","",SUMIFS(RaceResults!$C:$C,RaceResults!$A:$A,$A126,RaceResults!$D:$D,E126))</f>
        <v>7</v>
      </c>
      <c r="I126" s="11">
        <f>IF(F126="","",SUMIFS(RaceResults!$C:$C,RaceResults!$A:$A,$A126,RaceResults!$D:$D,F126))</f>
        <v>38</v>
      </c>
      <c r="J126" s="11">
        <f>IF(D126="","",SUMIFS(RaceResults!$E:$E,RaceResults!$A:$A,$A126,RaceResults!$D:$D,D126))</f>
        <v>33</v>
      </c>
      <c r="K126" s="11">
        <f>IF(E126="","",SUMIFS(RaceResults!$E:$E,RaceResults!$A:$A,$A126,RaceResults!$D:$D,E126))</f>
        <v>30</v>
      </c>
      <c r="L126" s="11">
        <f>IF(F126="","",SUMIFS(RaceResults!$E:$E,RaceResults!$A:$A,$A126,RaceResults!$D:$D,F126))</f>
        <v>1</v>
      </c>
      <c r="M126" s="11">
        <f t="shared" si="1"/>
        <v>64</v>
      </c>
    </row>
    <row r="127" spans="1:13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11">
        <f>IF(D127="","",SUMIFS(RaceResults!$C:$C,RaceResults!$A:$A,$A127,RaceResults!$D:$D,D127))</f>
        <v>22</v>
      </c>
      <c r="H127" s="11">
        <f>IF(E127="","",SUMIFS(RaceResults!$C:$C,RaceResults!$A:$A,$A127,RaceResults!$D:$D,E127))</f>
        <v>5</v>
      </c>
      <c r="I127" s="11">
        <f>IF(F127="","",SUMIFS(RaceResults!$C:$C,RaceResults!$A:$A,$A127,RaceResults!$D:$D,F127))</f>
        <v>3</v>
      </c>
      <c r="J127" s="11">
        <f>IF(D127="","",SUMIFS(RaceResults!$E:$E,RaceResults!$A:$A,$A127,RaceResults!$D:$D,D127))</f>
        <v>15</v>
      </c>
      <c r="K127" s="11">
        <f>IF(E127="","",SUMIFS(RaceResults!$E:$E,RaceResults!$A:$A,$A127,RaceResults!$D:$D,E127))</f>
        <v>32</v>
      </c>
      <c r="L127" s="11">
        <f>IF(F127="","",SUMIFS(RaceResults!$E:$E,RaceResults!$A:$A,$A127,RaceResults!$D:$D,F127))</f>
        <v>34</v>
      </c>
      <c r="M127" s="11">
        <f t="shared" si="1"/>
        <v>81</v>
      </c>
    </row>
    <row r="128" spans="1:13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11">
        <f>IF(D128="","",SUMIFS(RaceResults!$C:$C,RaceResults!$A:$A,$A128,RaceResults!$D:$D,D128))</f>
        <v>37</v>
      </c>
      <c r="H128" s="11">
        <f>IF(E128="","",SUMIFS(RaceResults!$C:$C,RaceResults!$A:$A,$A128,RaceResults!$D:$D,E128))</f>
        <v>5</v>
      </c>
      <c r="I128" s="11">
        <f>IF(F128="","",SUMIFS(RaceResults!$C:$C,RaceResults!$A:$A,$A128,RaceResults!$D:$D,F128))</f>
        <v>17</v>
      </c>
      <c r="J128" s="11">
        <f>IF(D128="","",SUMIFS(RaceResults!$E:$E,RaceResults!$A:$A,$A128,RaceResults!$D:$D,D128))</f>
        <v>1</v>
      </c>
      <c r="K128" s="11">
        <f>IF(E128="","",SUMIFS(RaceResults!$E:$E,RaceResults!$A:$A,$A128,RaceResults!$D:$D,E128))</f>
        <v>32</v>
      </c>
      <c r="L128" s="11">
        <f>IF(F128="","",SUMIFS(RaceResults!$E:$E,RaceResults!$A:$A,$A128,RaceResults!$D:$D,F128))</f>
        <v>20</v>
      </c>
      <c r="M128" s="11">
        <f t="shared" si="1"/>
        <v>53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11">
        <f>IF(D130="","",SUMIFS(RaceResults!$C:$C,RaceResults!$A:$A,$A130,RaceResults!$D:$D,D130))</f>
        <v>5</v>
      </c>
      <c r="H130" s="11">
        <f>IF(E130="","",SUMIFS(RaceResults!$C:$C,RaceResults!$A:$A,$A130,RaceResults!$D:$D,E130))</f>
        <v>3</v>
      </c>
      <c r="I130" s="11">
        <f>IF(F130="","",SUMIFS(RaceResults!$C:$C,RaceResults!$A:$A,$A130,RaceResults!$D:$D,F130))</f>
        <v>7</v>
      </c>
      <c r="J130" s="11">
        <f>IF(D130="","",SUMIFS(RaceResults!$E:$E,RaceResults!$A:$A,$A130,RaceResults!$D:$D,D130))</f>
        <v>32</v>
      </c>
      <c r="K130" s="11">
        <f>IF(E130="","",SUMIFS(RaceResults!$E:$E,RaceResults!$A:$A,$A130,RaceResults!$D:$D,E130))</f>
        <v>34</v>
      </c>
      <c r="L130" s="11">
        <f>IF(F130="","",SUMIFS(RaceResults!$E:$E,RaceResults!$A:$A,$A130,RaceResults!$D:$D,F130))</f>
        <v>30</v>
      </c>
      <c r="M130" s="11">
        <f t="shared" ref="M130:M193" si="2">SUM(J130:L130)</f>
        <v>96</v>
      </c>
    </row>
    <row r="131" spans="1:13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11">
        <f>IF(D131="","",SUMIFS(RaceResults!$C:$C,RaceResults!$A:$A,$A131,RaceResults!$D:$D,D131))</f>
        <v>6</v>
      </c>
      <c r="H131" s="11">
        <f>IF(E131="","",SUMIFS(RaceResults!$C:$C,RaceResults!$A:$A,$A131,RaceResults!$D:$D,E131))</f>
        <v>4</v>
      </c>
      <c r="I131" s="11">
        <f>IF(F131="","",SUMIFS(RaceResults!$C:$C,RaceResults!$A:$A,$A131,RaceResults!$D:$D,F131))</f>
        <v>34</v>
      </c>
      <c r="J131" s="11">
        <f>IF(D131="","",SUMIFS(RaceResults!$E:$E,RaceResults!$A:$A,$A131,RaceResults!$D:$D,D131))</f>
        <v>31</v>
      </c>
      <c r="K131" s="11">
        <f>IF(E131="","",SUMIFS(RaceResults!$E:$E,RaceResults!$A:$A,$A131,RaceResults!$D:$D,E131))</f>
        <v>33</v>
      </c>
      <c r="L131" s="11">
        <f>IF(F131="","",SUMIFS(RaceResults!$E:$E,RaceResults!$A:$A,$A131,RaceResults!$D:$D,F131))</f>
        <v>3</v>
      </c>
      <c r="M131" s="11">
        <f t="shared" si="2"/>
        <v>67</v>
      </c>
    </row>
    <row r="132" spans="1:13" x14ac:dyDescent="0.3">
      <c r="A132" s="9">
        <v>14</v>
      </c>
      <c r="B132" s="9" t="s">
        <v>76</v>
      </c>
      <c r="C132" s="10" t="s">
        <v>21</v>
      </c>
      <c r="D132" s="3">
        <v>5</v>
      </c>
      <c r="E132" s="3">
        <v>45</v>
      </c>
      <c r="F132" s="3">
        <v>12</v>
      </c>
      <c r="G132" s="11">
        <f>IF(D132="","",SUMIFS(RaceResults!$C:$C,RaceResults!$A:$A,$A132,RaceResults!$D:$D,D132))</f>
        <v>23</v>
      </c>
      <c r="H132" s="11">
        <f>IF(E132="","",SUMIFS(RaceResults!$C:$C,RaceResults!$A:$A,$A132,RaceResults!$D:$D,E132))</f>
        <v>6</v>
      </c>
      <c r="I132" s="11">
        <f>IF(F132="","",SUMIFS(RaceResults!$C:$C,RaceResults!$A:$A,$A132,RaceResults!$D:$D,F132))</f>
        <v>8</v>
      </c>
      <c r="J132" s="11">
        <f>IF(D132="","",SUMIFS(RaceResults!$E:$E,RaceResults!$A:$A,$A132,RaceResults!$D:$D,D132))</f>
        <v>14</v>
      </c>
      <c r="K132" s="11">
        <f>IF(E132="","",SUMIFS(RaceResults!$E:$E,RaceResults!$A:$A,$A132,RaceResults!$D:$D,E132))</f>
        <v>31</v>
      </c>
      <c r="L132" s="11">
        <f>IF(F132="","",SUMIFS(RaceResults!$E:$E,RaceResults!$A:$A,$A132,RaceResults!$D:$D,F132))</f>
        <v>29</v>
      </c>
      <c r="M132" s="11">
        <f t="shared" si="2"/>
        <v>74</v>
      </c>
    </row>
    <row r="133" spans="1:13" x14ac:dyDescent="0.3">
      <c r="A133" s="9">
        <v>14</v>
      </c>
      <c r="B133" s="9" t="s">
        <v>76</v>
      </c>
      <c r="C133" s="10" t="s">
        <v>22</v>
      </c>
      <c r="D133" s="3">
        <v>45</v>
      </c>
      <c r="E133" s="3">
        <v>11</v>
      </c>
      <c r="F133" s="3">
        <v>7</v>
      </c>
      <c r="G133" s="11">
        <f>IF(D133="","",SUMIFS(RaceResults!$C:$C,RaceResults!$A:$A,$A133,RaceResults!$D:$D,D133))</f>
        <v>6</v>
      </c>
      <c r="H133" s="11">
        <f>IF(E133="","",SUMIFS(RaceResults!$C:$C,RaceResults!$A:$A,$A133,RaceResults!$D:$D,E133))</f>
        <v>1</v>
      </c>
      <c r="I133" s="11">
        <f>IF(F133="","",SUMIFS(RaceResults!$C:$C,RaceResults!$A:$A,$A133,RaceResults!$D:$D,F133))</f>
        <v>19</v>
      </c>
      <c r="J133" s="11">
        <f>IF(D133="","",SUMIFS(RaceResults!$E:$E,RaceResults!$A:$A,$A133,RaceResults!$D:$D,D133))</f>
        <v>31</v>
      </c>
      <c r="K133" s="11">
        <f>IF(E133="","",SUMIFS(RaceResults!$E:$E,RaceResults!$A:$A,$A133,RaceResults!$D:$D,E133))</f>
        <v>55</v>
      </c>
      <c r="L133" s="11">
        <f>IF(F133="","",SUMIFS(RaceResults!$E:$E,RaceResults!$A:$A,$A133,RaceResults!$D:$D,F133))</f>
        <v>18</v>
      </c>
      <c r="M133" s="11">
        <f t="shared" si="2"/>
        <v>104</v>
      </c>
    </row>
    <row r="134" spans="1:13" x14ac:dyDescent="0.3">
      <c r="A134" s="9">
        <v>14</v>
      </c>
      <c r="B134" s="9" t="s">
        <v>76</v>
      </c>
      <c r="C134" s="10" t="s">
        <v>25</v>
      </c>
      <c r="D134" s="3">
        <v>11</v>
      </c>
      <c r="E134" s="3">
        <v>20</v>
      </c>
      <c r="F134" s="3">
        <v>12</v>
      </c>
      <c r="G134" s="11">
        <f>IF(D134="","",SUMIFS(RaceResults!$C:$C,RaceResults!$A:$A,$A134,RaceResults!$D:$D,D134))</f>
        <v>1</v>
      </c>
      <c r="H134" s="11">
        <f>IF(E134="","",SUMIFS(RaceResults!$C:$C,RaceResults!$A:$A,$A134,RaceResults!$D:$D,E134))</f>
        <v>2</v>
      </c>
      <c r="I134" s="11">
        <f>IF(F134="","",SUMIFS(RaceResults!$C:$C,RaceResults!$A:$A,$A134,RaceResults!$D:$D,F134))</f>
        <v>8</v>
      </c>
      <c r="J134" s="11">
        <f>IF(D134="","",SUMIFS(RaceResults!$E:$E,RaceResults!$A:$A,$A134,RaceResults!$D:$D,D134))</f>
        <v>55</v>
      </c>
      <c r="K134" s="11">
        <f>IF(E134="","",SUMIFS(RaceResults!$E:$E,RaceResults!$A:$A,$A134,RaceResults!$D:$D,E134))</f>
        <v>35</v>
      </c>
      <c r="L134" s="11">
        <f>IF(F134="","",SUMIFS(RaceResults!$E:$E,RaceResults!$A:$A,$A134,RaceResults!$D:$D,F134))</f>
        <v>29</v>
      </c>
      <c r="M134" s="11">
        <f t="shared" si="2"/>
        <v>119</v>
      </c>
    </row>
    <row r="135" spans="1:13" x14ac:dyDescent="0.3">
      <c r="A135" s="9">
        <v>14</v>
      </c>
      <c r="B135" s="9" t="s">
        <v>76</v>
      </c>
      <c r="C135" s="10" t="s">
        <v>26</v>
      </c>
      <c r="D135" s="3">
        <v>11</v>
      </c>
      <c r="E135" s="3">
        <v>12</v>
      </c>
      <c r="F135" s="3">
        <v>45</v>
      </c>
      <c r="G135" s="11">
        <f>IF(D135="","",SUMIFS(RaceResults!$C:$C,RaceResults!$A:$A,$A135,RaceResults!$D:$D,D135))</f>
        <v>1</v>
      </c>
      <c r="H135" s="11">
        <f>IF(E135="","",SUMIFS(RaceResults!$C:$C,RaceResults!$A:$A,$A135,RaceResults!$D:$D,E135))</f>
        <v>8</v>
      </c>
      <c r="I135" s="11">
        <f>IF(F135="","",SUMIFS(RaceResults!$C:$C,RaceResults!$A:$A,$A135,RaceResults!$D:$D,F135))</f>
        <v>6</v>
      </c>
      <c r="J135" s="11">
        <f>IF(D135="","",SUMIFS(RaceResults!$E:$E,RaceResults!$A:$A,$A135,RaceResults!$D:$D,D135))</f>
        <v>55</v>
      </c>
      <c r="K135" s="11">
        <f>IF(E135="","",SUMIFS(RaceResults!$E:$E,RaceResults!$A:$A,$A135,RaceResults!$D:$D,E135))</f>
        <v>29</v>
      </c>
      <c r="L135" s="11">
        <f>IF(F135="","",SUMIFS(RaceResults!$E:$E,RaceResults!$A:$A,$A135,RaceResults!$D:$D,F135))</f>
        <v>31</v>
      </c>
      <c r="M135" s="11">
        <f t="shared" si="2"/>
        <v>115</v>
      </c>
    </row>
    <row r="136" spans="1:13" x14ac:dyDescent="0.3">
      <c r="A136" s="9">
        <v>14</v>
      </c>
      <c r="B136" s="9" t="s">
        <v>76</v>
      </c>
      <c r="C136" s="10" t="s">
        <v>27</v>
      </c>
      <c r="D136" s="3">
        <v>11</v>
      </c>
      <c r="E136" s="3">
        <v>45</v>
      </c>
      <c r="F136" s="3">
        <v>7</v>
      </c>
      <c r="G136" s="11">
        <f>IF(D136="","",SUMIFS(RaceResults!$C:$C,RaceResults!$A:$A,$A136,RaceResults!$D:$D,D136))</f>
        <v>1</v>
      </c>
      <c r="H136" s="11">
        <f>IF(E136="","",SUMIFS(RaceResults!$C:$C,RaceResults!$A:$A,$A136,RaceResults!$D:$D,E136))</f>
        <v>6</v>
      </c>
      <c r="I136" s="11">
        <f>IF(F136="","",SUMIFS(RaceResults!$C:$C,RaceResults!$A:$A,$A136,RaceResults!$D:$D,F136))</f>
        <v>19</v>
      </c>
      <c r="J136" s="11">
        <f>IF(D136="","",SUMIFS(RaceResults!$E:$E,RaceResults!$A:$A,$A136,RaceResults!$D:$D,D136))</f>
        <v>55</v>
      </c>
      <c r="K136" s="11">
        <f>IF(E136="","",SUMIFS(RaceResults!$E:$E,RaceResults!$A:$A,$A136,RaceResults!$D:$D,E136))</f>
        <v>31</v>
      </c>
      <c r="L136" s="11">
        <f>IF(F136="","",SUMIFS(RaceResults!$E:$E,RaceResults!$A:$A,$A136,RaceResults!$D:$D,F136))</f>
        <v>18</v>
      </c>
      <c r="M136" s="11">
        <f t="shared" si="2"/>
        <v>104</v>
      </c>
    </row>
    <row r="137" spans="1:13" x14ac:dyDescent="0.3">
      <c r="A137" s="9">
        <v>14</v>
      </c>
      <c r="B137" s="9" t="s">
        <v>76</v>
      </c>
      <c r="C137" s="10" t="s">
        <v>28</v>
      </c>
      <c r="D137" s="3">
        <v>11</v>
      </c>
      <c r="E137" s="3">
        <v>45</v>
      </c>
      <c r="F137" s="3">
        <v>20</v>
      </c>
      <c r="G137" s="11">
        <f>IF(D137="","",SUMIFS(RaceResults!$C:$C,RaceResults!$A:$A,$A137,RaceResults!$D:$D,D137))</f>
        <v>1</v>
      </c>
      <c r="H137" s="11">
        <f>IF(E137="","",SUMIFS(RaceResults!$C:$C,RaceResults!$A:$A,$A137,RaceResults!$D:$D,E137))</f>
        <v>6</v>
      </c>
      <c r="I137" s="11">
        <f>IF(F137="","",SUMIFS(RaceResults!$C:$C,RaceResults!$A:$A,$A137,RaceResults!$D:$D,F137))</f>
        <v>2</v>
      </c>
      <c r="J137" s="11">
        <f>IF(D137="","",SUMIFS(RaceResults!$E:$E,RaceResults!$A:$A,$A137,RaceResults!$D:$D,D137))</f>
        <v>55</v>
      </c>
      <c r="K137" s="11">
        <f>IF(E137="","",SUMIFS(RaceResults!$E:$E,RaceResults!$A:$A,$A137,RaceResults!$D:$D,E137))</f>
        <v>31</v>
      </c>
      <c r="L137" s="11">
        <f>IF(F137="","",SUMIFS(RaceResults!$E:$E,RaceResults!$A:$A,$A137,RaceResults!$D:$D,F137))</f>
        <v>35</v>
      </c>
      <c r="M137" s="11">
        <f t="shared" si="2"/>
        <v>121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>
        <v>12</v>
      </c>
      <c r="E140" s="3">
        <v>5</v>
      </c>
      <c r="F140" s="3">
        <v>11</v>
      </c>
      <c r="G140" s="11">
        <f>IF(D140="","",SUMIFS(RaceResults!$C:$C,RaceResults!$A:$A,$A140,RaceResults!$D:$D,D140))</f>
        <v>8</v>
      </c>
      <c r="H140" s="11">
        <f>IF(E140="","",SUMIFS(RaceResults!$C:$C,RaceResults!$A:$A,$A140,RaceResults!$D:$D,E140))</f>
        <v>23</v>
      </c>
      <c r="I140" s="11">
        <f>IF(F140="","",SUMIFS(RaceResults!$C:$C,RaceResults!$A:$A,$A140,RaceResults!$D:$D,F140))</f>
        <v>1</v>
      </c>
      <c r="J140" s="11">
        <f>IF(D140="","",SUMIFS(RaceResults!$E:$E,RaceResults!$A:$A,$A140,RaceResults!$D:$D,D140))</f>
        <v>29</v>
      </c>
      <c r="K140" s="11">
        <f>IF(E140="","",SUMIFS(RaceResults!$E:$E,RaceResults!$A:$A,$A140,RaceResults!$D:$D,E140))</f>
        <v>14</v>
      </c>
      <c r="L140" s="11">
        <f>IF(F140="","",SUMIFS(RaceResults!$E:$E,RaceResults!$A:$A,$A140,RaceResults!$D:$D,F140))</f>
        <v>55</v>
      </c>
      <c r="M140" s="11">
        <f t="shared" si="2"/>
        <v>98</v>
      </c>
    </row>
    <row r="141" spans="1:13" x14ac:dyDescent="0.3">
      <c r="A141" s="9">
        <v>14</v>
      </c>
      <c r="B141" s="9" t="s">
        <v>76</v>
      </c>
      <c r="C141" s="10" t="s">
        <v>32</v>
      </c>
      <c r="D141" s="3">
        <v>54</v>
      </c>
      <c r="E141" s="3">
        <v>45</v>
      </c>
      <c r="F141" s="3">
        <v>5</v>
      </c>
      <c r="G141" s="11">
        <f>IF(D141="","",SUMIFS(RaceResults!$C:$C,RaceResults!$A:$A,$A141,RaceResults!$D:$D,D141))</f>
        <v>13</v>
      </c>
      <c r="H141" s="11">
        <f>IF(E141="","",SUMIFS(RaceResults!$C:$C,RaceResults!$A:$A,$A141,RaceResults!$D:$D,E141))</f>
        <v>6</v>
      </c>
      <c r="I141" s="11">
        <f>IF(F141="","",SUMIFS(RaceResults!$C:$C,RaceResults!$A:$A,$A141,RaceResults!$D:$D,F141))</f>
        <v>23</v>
      </c>
      <c r="J141" s="11">
        <f>IF(D141="","",SUMIFS(RaceResults!$E:$E,RaceResults!$A:$A,$A141,RaceResults!$D:$D,D141))</f>
        <v>24</v>
      </c>
      <c r="K141" s="11">
        <f>IF(E141="","",SUMIFS(RaceResults!$E:$E,RaceResults!$A:$A,$A141,RaceResults!$D:$D,E141))</f>
        <v>31</v>
      </c>
      <c r="L141" s="11">
        <f>IF(F141="","",SUMIFS(RaceResults!$E:$E,RaceResults!$A:$A,$A141,RaceResults!$D:$D,F141))</f>
        <v>14</v>
      </c>
      <c r="M141" s="11">
        <f t="shared" si="2"/>
        <v>69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>Meg</v>
      </c>
      <c r="D14">
        <f>MAX(WeeklyPicks!$M$122:$M$131)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>Evelyn</v>
      </c>
      <c r="D15">
        <f>MAX(WeeklyPicks!$M$132:$M$141)</f>
        <v>121</v>
      </c>
      <c r="E15">
        <f>IF(MAX(CountCalc!$D$1289:$D$1387)=0,"",INDEX(CountCalc!$C$1289:$C$1387,MATCH(MAX(CountCalc!$D$1289:$D$1387),CountCalc!$D$1289:$D$1387,0)))</f>
        <v>11</v>
      </c>
      <c r="F15">
        <f>MAX(CountCalc!$D$1289:$D$1387)</f>
        <v>6</v>
      </c>
      <c r="G15">
        <f>IF(MAX(Calc!$F$392:$F$421)=0,"",INDEX(Calc!$E$392:$E$421,MATCH(MAX(Calc!$F$392:$F$421),Calc!$F$392:$F$421,0)))</f>
        <v>5</v>
      </c>
      <c r="H15">
        <f>MAX(Calc!$F$392:$F$421)</f>
        <v>23</v>
      </c>
      <c r="I15" t="str">
        <f>IF(H15=0,"",INDEX(Calc!$C$392:$C$421,MATCH(H15,Calc!$F$392:$F$421,0)))</f>
        <v>Pat</v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543" activePane="bottomLeft" state="frozen"/>
      <selection pane="bottomLeft" activeCell="D561" sqref="D56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>
        <v>11</v>
      </c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>
        <v>20</v>
      </c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>
        <v>19</v>
      </c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>
        <v>47</v>
      </c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>
        <v>97</v>
      </c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>
        <v>45</v>
      </c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>
        <v>9</v>
      </c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>
        <v>12</v>
      </c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>
        <v>38</v>
      </c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>
        <v>77</v>
      </c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>
        <v>43</v>
      </c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>
        <v>10</v>
      </c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>
        <v>54</v>
      </c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>
        <v>22</v>
      </c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>
        <v>71</v>
      </c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>
        <v>4</v>
      </c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>
        <v>35</v>
      </c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>
        <v>3</v>
      </c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>
        <v>7</v>
      </c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>
        <v>34</v>
      </c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>
        <v>41</v>
      </c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>
        <v>51</v>
      </c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>
        <v>5</v>
      </c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>
        <v>42</v>
      </c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>
        <v>67</v>
      </c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>
        <v>2</v>
      </c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>
        <v>33</v>
      </c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>
        <v>66</v>
      </c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>
        <v>17</v>
      </c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>
        <v>24</v>
      </c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>
        <v>21</v>
      </c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>
        <v>23</v>
      </c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>
        <v>48</v>
      </c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>
        <v>6</v>
      </c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>
        <v>16</v>
      </c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>
        <v>60</v>
      </c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>
        <v>1</v>
      </c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>
        <v>88</v>
      </c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5</v>
      </c>
      <c r="F392">
        <f>IF(E392="","",SUMIFS(RaceResults!$C:$C,RaceResults!$A:$A,A392,RaceResults!$D:$D,E392))</f>
        <v>23</v>
      </c>
      <c r="G392">
        <f>IF(E392="","",SUMIFS(RaceResults!$E:$E,RaceResults!$A:$A,A392,RaceResults!$D:$D,E392))</f>
        <v>14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45</v>
      </c>
      <c r="F393">
        <f>IF(E393="","",SUMIFS(RaceResults!$C:$C,RaceResults!$A:$A,A393,RaceResults!$D:$D,E393))</f>
        <v>6</v>
      </c>
      <c r="G393">
        <f>IF(E393="","",SUMIFS(RaceResults!$E:$E,RaceResults!$A:$A,A393,RaceResults!$D:$D,E393))</f>
        <v>31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12</v>
      </c>
      <c r="F394">
        <f>IF(E394="","",SUMIFS(RaceResults!$C:$C,RaceResults!$A:$A,A394,RaceResults!$D:$D,E394))</f>
        <v>8</v>
      </c>
      <c r="G394">
        <f>IF(E394="","",SUMIFS(RaceResults!$E:$E,RaceResults!$A:$A,A394,RaceResults!$D:$D,E394))</f>
        <v>29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45</v>
      </c>
      <c r="F395">
        <f>IF(E395="","",SUMIFS(RaceResults!$C:$C,RaceResults!$A:$A,A395,RaceResults!$D:$D,E395))</f>
        <v>6</v>
      </c>
      <c r="G395">
        <f>IF(E395="","",SUMIFS(RaceResults!$E:$E,RaceResults!$A:$A,A395,RaceResults!$D:$D,E395))</f>
        <v>31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11</v>
      </c>
      <c r="F396">
        <f>IF(E396="","",SUMIFS(RaceResults!$C:$C,RaceResults!$A:$A,A396,RaceResults!$D:$D,E396))</f>
        <v>1</v>
      </c>
      <c r="G396">
        <f>IF(E396="","",SUMIFS(RaceResults!$E:$E,RaceResults!$A:$A,A396,RaceResults!$D:$D,E396))</f>
        <v>55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7</v>
      </c>
      <c r="F397">
        <f>IF(E397="","",SUMIFS(RaceResults!$C:$C,RaceResults!$A:$A,A397,RaceResults!$D:$D,E397))</f>
        <v>19</v>
      </c>
      <c r="G397">
        <f>IF(E397="","",SUMIFS(RaceResults!$E:$E,RaceResults!$A:$A,A397,RaceResults!$D:$D,E397))</f>
        <v>18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11</v>
      </c>
      <c r="F398">
        <f>IF(E398="","",SUMIFS(RaceResults!$C:$C,RaceResults!$A:$A,A398,RaceResults!$D:$D,E398))</f>
        <v>1</v>
      </c>
      <c r="G398">
        <f>IF(E398="","",SUMIFS(RaceResults!$E:$E,RaceResults!$A:$A,A398,RaceResults!$D:$D,E398))</f>
        <v>55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20</v>
      </c>
      <c r="F399">
        <f>IF(E399="","",SUMIFS(RaceResults!$C:$C,RaceResults!$A:$A,A399,RaceResults!$D:$D,E399))</f>
        <v>2</v>
      </c>
      <c r="G399">
        <f>IF(E399="","",SUMIFS(RaceResults!$E:$E,RaceResults!$A:$A,A399,RaceResults!$D:$D,E399))</f>
        <v>35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12</v>
      </c>
      <c r="F400">
        <f>IF(E400="","",SUMIFS(RaceResults!$C:$C,RaceResults!$A:$A,A400,RaceResults!$D:$D,E400))</f>
        <v>8</v>
      </c>
      <c r="G400">
        <f>IF(E400="","",SUMIFS(RaceResults!$E:$E,RaceResults!$A:$A,A400,RaceResults!$D:$D,E400))</f>
        <v>29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11</v>
      </c>
      <c r="F401">
        <f>IF(E401="","",SUMIFS(RaceResults!$C:$C,RaceResults!$A:$A,A401,RaceResults!$D:$D,E401))</f>
        <v>1</v>
      </c>
      <c r="G401">
        <f>IF(E401="","",SUMIFS(RaceResults!$E:$E,RaceResults!$A:$A,A401,RaceResults!$D:$D,E401))</f>
        <v>55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12</v>
      </c>
      <c r="F402">
        <f>IF(E402="","",SUMIFS(RaceResults!$C:$C,RaceResults!$A:$A,A402,RaceResults!$D:$D,E402))</f>
        <v>8</v>
      </c>
      <c r="G402">
        <f>IF(E402="","",SUMIFS(RaceResults!$E:$E,RaceResults!$A:$A,A402,RaceResults!$D:$D,E402))</f>
        <v>29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45</v>
      </c>
      <c r="F403">
        <f>IF(E403="","",SUMIFS(RaceResults!$C:$C,RaceResults!$A:$A,A403,RaceResults!$D:$D,E403))</f>
        <v>6</v>
      </c>
      <c r="G403">
        <f>IF(E403="","",SUMIFS(RaceResults!$E:$E,RaceResults!$A:$A,A403,RaceResults!$D:$D,E403))</f>
        <v>31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11</v>
      </c>
      <c r="F404">
        <f>IF(E404="","",SUMIFS(RaceResults!$C:$C,RaceResults!$A:$A,A404,RaceResults!$D:$D,E404))</f>
        <v>1</v>
      </c>
      <c r="G404">
        <f>IF(E404="","",SUMIFS(RaceResults!$E:$E,RaceResults!$A:$A,A404,RaceResults!$D:$D,E404))</f>
        <v>55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45</v>
      </c>
      <c r="F405">
        <f>IF(E405="","",SUMIFS(RaceResults!$C:$C,RaceResults!$A:$A,A405,RaceResults!$D:$D,E405))</f>
        <v>6</v>
      </c>
      <c r="G405">
        <f>IF(E405="","",SUMIFS(RaceResults!$E:$E,RaceResults!$A:$A,A405,RaceResults!$D:$D,E405))</f>
        <v>31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7</v>
      </c>
      <c r="F406">
        <f>IF(E406="","",SUMIFS(RaceResults!$C:$C,RaceResults!$A:$A,A406,RaceResults!$D:$D,E406))</f>
        <v>19</v>
      </c>
      <c r="G406">
        <f>IF(E406="","",SUMIFS(RaceResults!$E:$E,RaceResults!$A:$A,A406,RaceResults!$D:$D,E406))</f>
        <v>18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11</v>
      </c>
      <c r="F407">
        <f>IF(E407="","",SUMIFS(RaceResults!$C:$C,RaceResults!$A:$A,A407,RaceResults!$D:$D,E407))</f>
        <v>1</v>
      </c>
      <c r="G407">
        <f>IF(E407="","",SUMIFS(RaceResults!$E:$E,RaceResults!$A:$A,A407,RaceResults!$D:$D,E407))</f>
        <v>55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45</v>
      </c>
      <c r="F408">
        <f>IF(E408="","",SUMIFS(RaceResults!$C:$C,RaceResults!$A:$A,A408,RaceResults!$D:$D,E408))</f>
        <v>6</v>
      </c>
      <c r="G408">
        <f>IF(E408="","",SUMIFS(RaceResults!$E:$E,RaceResults!$A:$A,A408,RaceResults!$D:$D,E408))</f>
        <v>31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20</v>
      </c>
      <c r="F409">
        <f>IF(E409="","",SUMIFS(RaceResults!$C:$C,RaceResults!$A:$A,A409,RaceResults!$D:$D,E409))</f>
        <v>2</v>
      </c>
      <c r="G409">
        <f>IF(E409="","",SUMIFS(RaceResults!$E:$E,RaceResults!$A:$A,A409,RaceResults!$D:$D,E409))</f>
        <v>35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12</v>
      </c>
      <c r="F416">
        <f>IF(E416="","",SUMIFS(RaceResults!$C:$C,RaceResults!$A:$A,A416,RaceResults!$D:$D,E416))</f>
        <v>8</v>
      </c>
      <c r="G416">
        <f>IF(E416="","",SUMIFS(RaceResults!$E:$E,RaceResults!$A:$A,A416,RaceResults!$D:$D,E416))</f>
        <v>29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5</v>
      </c>
      <c r="F417">
        <f>IF(E417="","",SUMIFS(RaceResults!$C:$C,RaceResults!$A:$A,A417,RaceResults!$D:$D,E417))</f>
        <v>23</v>
      </c>
      <c r="G417">
        <f>IF(E417="","",SUMIFS(RaceResults!$E:$E,RaceResults!$A:$A,A417,RaceResults!$D:$D,E417))</f>
        <v>14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11</v>
      </c>
      <c r="F418">
        <f>IF(E418="","",SUMIFS(RaceResults!$C:$C,RaceResults!$A:$A,A418,RaceResults!$D:$D,E418))</f>
        <v>1</v>
      </c>
      <c r="G418">
        <f>IF(E418="","",SUMIFS(RaceResults!$E:$E,RaceResults!$A:$A,A418,RaceResults!$D:$D,E418))</f>
        <v>55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54</v>
      </c>
      <c r="F419">
        <f>IF(E419="","",SUMIFS(RaceResults!$C:$C,RaceResults!$A:$A,A419,RaceResults!$D:$D,E419))</f>
        <v>13</v>
      </c>
      <c r="G419">
        <f>IF(E419="","",SUMIFS(RaceResults!$E:$E,RaceResults!$A:$A,A419,RaceResults!$D:$D,E419))</f>
        <v>24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45</v>
      </c>
      <c r="F420">
        <f>IF(E420="","",SUMIFS(RaceResults!$C:$C,RaceResults!$A:$A,A420,RaceResults!$D:$D,E420))</f>
        <v>6</v>
      </c>
      <c r="G420">
        <f>IF(E420="","",SUMIFS(RaceResults!$E:$E,RaceResults!$A:$A,A420,RaceResults!$D:$D,E420))</f>
        <v>31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5</v>
      </c>
      <c r="F421">
        <f>IF(E421="","",SUMIFS(RaceResults!$C:$C,RaceResults!$A:$A,A421,RaceResults!$D:$D,E421))</f>
        <v>23</v>
      </c>
      <c r="G421">
        <f>IF(E421="","",SUMIFS(RaceResults!$E:$E,RaceResults!$A:$A,A421,RaceResults!$D:$D,E421))</f>
        <v>14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3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2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6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4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2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6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1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4</v>
      </c>
      <c r="C3">
        <f>SUMIF(Calc!$E$2:$E$1081,A3,Calc!$G$2:$G$1081)</f>
        <v>60</v>
      </c>
      <c r="D3">
        <f>IF(B3=0,"",AVERAGEIF(Calc!$E$2:$E$1081,A3,Calc!$F$2:$F$1081))</f>
        <v>22.5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42</v>
      </c>
      <c r="C6">
        <f>SUMIF(Calc!$E$2:$E$1081,A6,Calc!$G$2:$G$1081)</f>
        <v>893</v>
      </c>
      <c r="D6">
        <f>IF(B6=0,"",AVERAGEIF(Calc!$E$2:$E$1081,A6,Calc!$F$2:$F$1081))</f>
        <v>16.30952380952381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4</v>
      </c>
      <c r="C8">
        <f>SUMIF(Calc!$E$2:$E$1081,A8,Calc!$G$2:$G$1081)</f>
        <v>74</v>
      </c>
      <c r="D8">
        <f>IF(B8=0,"",AVERAGEIF(Calc!$E$2:$E$1081,A8,Calc!$F$2:$F$1081))</f>
        <v>18.5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12</v>
      </c>
      <c r="C10">
        <f>SUMIF(Calc!$E$2:$E$1081,A10,Calc!$G$2:$G$1081)</f>
        <v>396</v>
      </c>
      <c r="D10">
        <f>IF(B10=0,"",AVERAGEIF(Calc!$E$2:$E$1081,A10,Calc!$F$2:$F$1081))</f>
        <v>10.416666666666666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47</v>
      </c>
      <c r="C12">
        <f>SUMIF(Calc!$E$2:$E$1081,A12,Calc!$G$2:$G$1081)</f>
        <v>1716</v>
      </c>
      <c r="D12">
        <f>IF(B12=0,"",AVERAGEIF(Calc!$E$2:$E$1081,A12,Calc!$F$2:$F$1081))</f>
        <v>4.5319148936170217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39</v>
      </c>
      <c r="C13">
        <f>SUMIF(Calc!$E$2:$E$1081,A13,Calc!$G$2:$G$1081)</f>
        <v>1051</v>
      </c>
      <c r="D13">
        <f>IF(B13=0,"",AVERAGEIF(Calc!$E$2:$E$1081,A13,Calc!$F$2:$F$1081))</f>
        <v>11.615384615384615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6</v>
      </c>
      <c r="C20">
        <f>SUMIF(Calc!$E$2:$E$1081,A20,Calc!$G$2:$G$1081)</f>
        <v>34</v>
      </c>
      <c r="D20">
        <f>IF(B20=0,"",AVERAGEIF(Calc!$E$2:$E$1081,A20,Calc!$F$2:$F$1081))</f>
        <v>31.833333333333332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18</v>
      </c>
      <c r="C21">
        <f>SUMIF(Calc!$E$2:$E$1081,A21,Calc!$G$2:$G$1081)</f>
        <v>386</v>
      </c>
      <c r="D21">
        <f>IF(B21=0,"",AVERAGEIF(Calc!$E$2:$E$1081,A21,Calc!$F$2:$F$1081))</f>
        <v>15.777777777777779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16</v>
      </c>
      <c r="C25">
        <f>SUMIF(Calc!$E$2:$E$1081,A25,Calc!$G$2:$G$1081)</f>
        <v>344</v>
      </c>
      <c r="D25">
        <f>IF(B25=0,"",AVERAGEIF(Calc!$E$2:$E$1081,A25,Calc!$F$2:$F$1081))</f>
        <v>15.5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36</v>
      </c>
      <c r="C46">
        <f>SUMIF(Calc!$E$2:$E$1081,A46,Calc!$G$2:$G$1081)</f>
        <v>1265</v>
      </c>
      <c r="D46">
        <f>IF(B46=0,"",AVERAGEIF(Calc!$E$2:$E$1081,A46,Calc!$F$2:$F$1081))</f>
        <v>6.083333333333333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2</v>
      </c>
      <c r="C49">
        <f>SUMIF(Calc!$E$2:$E$1081,A49,Calc!$G$2:$G$1081)</f>
        <v>54</v>
      </c>
      <c r="D49">
        <f>IF(B49=0,"",AVERAGEIF(Calc!$E$2:$E$1081,A49,Calc!$F$2:$F$1081))</f>
        <v>10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13</v>
      </c>
      <c r="C55">
        <f>SUMIF(Calc!$E$2:$E$1081,A55,Calc!$G$2:$G$1081)</f>
        <v>395</v>
      </c>
      <c r="D55">
        <f>IF(B55=0,"",AVERAGEIF(Calc!$E$2:$E$1081,A55,Calc!$F$2:$F$1081))</f>
        <v>11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6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1019</v>
      </c>
      <c r="D4">
        <f>COUNTIF(RaceSummary!$C:$C,B4)</f>
        <v>3</v>
      </c>
      <c r="E4">
        <f>IF(COUNTIF(WeeklyPicks!$C:$C,B4)=0,"",AVERAGEIF(WeeklyPicks!$C:$C,B4,WeeklyPicks!$M:$M))</f>
        <v>28.305555555555557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2</v>
      </c>
      <c r="B5" t="s">
        <v>22</v>
      </c>
      <c r="C5">
        <f>SUMIF(WeeklyPicks!$C:$C,B5,WeeklyPicks!$M:$M)</f>
        <v>1078</v>
      </c>
      <c r="D5">
        <f>COUNTIF(RaceSummary!$C:$C,B5)</f>
        <v>4</v>
      </c>
      <c r="E5">
        <f>IF(COUNTIF(WeeklyPicks!$C:$C,B5)=0,"",AVERAGEIF(WeeklyPicks!$C:$C,B5,WeeklyPicks!$M:$M))</f>
        <v>29.944444444444443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919</v>
      </c>
      <c r="D6">
        <f>COUNTIF(RaceSummary!$C:$C,B6)</f>
        <v>1</v>
      </c>
      <c r="E6">
        <f>IF(COUNTIF(WeeklyPicks!$C:$C,B6)=0,"",AVERAGEIF(WeeklyPicks!$C:$C,B6,WeeklyPicks!$M:$M))</f>
        <v>25.527777777777779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1088</v>
      </c>
      <c r="D7">
        <f>COUNTIF(RaceSummary!$C:$C,B7)</f>
        <v>1</v>
      </c>
      <c r="E7">
        <f>IF(COUNTIF(WeeklyPicks!$C:$C,B7)=0,"",AVERAGEIF(WeeklyPicks!$C:$C,B7,WeeklyPicks!$M:$M))</f>
        <v>30.222222222222221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788</v>
      </c>
      <c r="D8">
        <f>COUNTIF(RaceSummary!$C:$C,B8)</f>
        <v>1</v>
      </c>
      <c r="E8">
        <f>IF(COUNTIF(WeeklyPicks!$C:$C,B8)=0,"",AVERAGEIF(WeeklyPicks!$C:$C,B8,WeeklyPicks!$M:$M))</f>
        <v>21.888888888888889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879</v>
      </c>
      <c r="D9">
        <f>COUNTIF(RaceSummary!$C:$C,B9)</f>
        <v>1</v>
      </c>
      <c r="E9">
        <f>IF(COUNTIF(WeeklyPicks!$C:$C,B9)=0,"",AVERAGEIF(WeeklyPicks!$C:$C,B9,WeeklyPicks!$M:$M))</f>
        <v>24.416666666666668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418</v>
      </c>
      <c r="D10" s="21">
        <f>COUNTIF(RaceSummary!$C:$C,B10)</f>
        <v>0</v>
      </c>
      <c r="E10" s="21">
        <f>IF(COUNTIF(WeeklyPicks!$C:$C,B10)=0,"",AVERAGEIF(WeeklyPicks!$C:$C,B10,WeeklyPicks!$M:$M))</f>
        <v>11.611111111111111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SUMIF(WeeklyPicks!$C:$C,B12,WeeklyPicks!$M:$M)</f>
        <v>709</v>
      </c>
      <c r="D12">
        <f>COUNTIF(RaceSummary!$C:$C,B12)</f>
        <v>0</v>
      </c>
      <c r="E12">
        <f>IF(COUNTIF(WeeklyPicks!$C:$C,B12)=0,"",AVERAGEIF(WeeklyPicks!$C:$C,B12,WeeklyPicks!$M:$M))</f>
        <v>19.694444444444443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8</v>
      </c>
      <c r="B13" t="s">
        <v>32</v>
      </c>
      <c r="C13">
        <f>SUMIF(WeeklyPicks!$C:$C,B13,WeeklyPicks!$M:$M)</f>
        <v>680</v>
      </c>
      <c r="D13">
        <f>COUNTIF(RaceSummary!$C:$C,B13)</f>
        <v>1</v>
      </c>
      <c r="E13">
        <f>IF(COUNTIF(WeeklyPicks!$C:$C,B13)=0,"",AVERAGEIF(WeeklyPicks!$C:$C,B13,WeeklyPicks!$M:$M))</f>
        <v>18.888888888888889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945</v>
      </c>
      <c r="D29">
        <f>SUMIFS(WeeklyPicks!$M:$M,WeeklyPicks!$A:$A,"&lt;="&amp;$A29,WeeklyPicks!$C:$C,D$16)</f>
        <v>974</v>
      </c>
      <c r="E29">
        <f>SUMIFS(WeeklyPicks!$M:$M,WeeklyPicks!$A:$A,"&lt;="&amp;$A29,WeeklyPicks!$C:$C,E$16)</f>
        <v>800</v>
      </c>
      <c r="F29">
        <f>SUMIFS(WeeklyPicks!$M:$M,WeeklyPicks!$A:$A,"&lt;="&amp;$A29,WeeklyPicks!$C:$C,F$16)</f>
        <v>973</v>
      </c>
      <c r="G29">
        <f>SUMIFS(WeeklyPicks!$M:$M,WeeklyPicks!$A:$A,"&lt;="&amp;$A29,WeeklyPicks!$C:$C,G$16)</f>
        <v>684</v>
      </c>
      <c r="H29">
        <f>SUMIFS(WeeklyPicks!$M:$M,WeeklyPicks!$A:$A,"&lt;="&amp;$A29,WeeklyPicks!$C:$C,H$16)</f>
        <v>758</v>
      </c>
      <c r="I29">
        <f>SUMIFS(WeeklyPicks!$M:$M,WeeklyPicks!$A:$A,"&lt;="&amp;$A29,WeeklyPicks!$C:$C,I$16)</f>
        <v>418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611</v>
      </c>
      <c r="L29">
        <f>SUMIFS(WeeklyPicks!$M:$M,WeeklyPicks!$A:$A,"&lt;="&amp;$A29,WeeklyPicks!$C:$C,L$16)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1019</v>
      </c>
      <c r="D30">
        <f>SUMIFS(WeeklyPicks!$M:$M,WeeklyPicks!$A:$A,"&lt;="&amp;$A30,WeeklyPicks!$C:$C,D$16)</f>
        <v>1078</v>
      </c>
      <c r="E30">
        <f>SUMIFS(WeeklyPicks!$M:$M,WeeklyPicks!$A:$A,"&lt;="&amp;$A30,WeeklyPicks!$C:$C,E$16)</f>
        <v>919</v>
      </c>
      <c r="F30">
        <f>SUMIFS(WeeklyPicks!$M:$M,WeeklyPicks!$A:$A,"&lt;="&amp;$A30,WeeklyPicks!$C:$C,F$16)</f>
        <v>1088</v>
      </c>
      <c r="G30">
        <f>SUMIFS(WeeklyPicks!$M:$M,WeeklyPicks!$A:$A,"&lt;="&amp;$A30,WeeklyPicks!$C:$C,G$16)</f>
        <v>788</v>
      </c>
      <c r="H30">
        <f>SUMIFS(WeeklyPicks!$M:$M,WeeklyPicks!$A:$A,"&lt;="&amp;$A30,WeeklyPicks!$C:$C,H$16)</f>
        <v>879</v>
      </c>
      <c r="I30">
        <f>SUMIFS(WeeklyPicks!$M:$M,WeeklyPicks!$A:$A,"&lt;="&amp;$A30,WeeklyPicks!$C:$C,I$16)</f>
        <v>418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709</v>
      </c>
      <c r="L30">
        <f>SUMIFS(WeeklyPicks!$M:$M,WeeklyPicks!$A:$A,"&lt;="&amp;$A30,WeeklyPicks!$C:$C,L$16)</f>
        <v>680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1019</v>
      </c>
      <c r="D31">
        <f>SUMIFS(WeeklyPicks!$M:$M,WeeklyPicks!$A:$A,"&lt;="&amp;$A31,WeeklyPicks!$C:$C,D$16)</f>
        <v>1078</v>
      </c>
      <c r="E31">
        <f>SUMIFS(WeeklyPicks!$M:$M,WeeklyPicks!$A:$A,"&lt;="&amp;$A31,WeeklyPicks!$C:$C,E$16)</f>
        <v>919</v>
      </c>
      <c r="F31">
        <f>SUMIFS(WeeklyPicks!$M:$M,WeeklyPicks!$A:$A,"&lt;="&amp;$A31,WeeklyPicks!$C:$C,F$16)</f>
        <v>1088</v>
      </c>
      <c r="G31">
        <f>SUMIFS(WeeklyPicks!$M:$M,WeeklyPicks!$A:$A,"&lt;="&amp;$A31,WeeklyPicks!$C:$C,G$16)</f>
        <v>788</v>
      </c>
      <c r="H31">
        <f>SUMIFS(WeeklyPicks!$M:$M,WeeklyPicks!$A:$A,"&lt;="&amp;$A31,WeeklyPicks!$C:$C,H$16)</f>
        <v>879</v>
      </c>
      <c r="I31">
        <f>SUMIFS(WeeklyPicks!$M:$M,WeeklyPicks!$A:$A,"&lt;="&amp;$A31,WeeklyPicks!$C:$C,I$16)</f>
        <v>418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709</v>
      </c>
      <c r="L31">
        <f>SUMIFS(WeeklyPicks!$M:$M,WeeklyPicks!$A:$A,"&lt;="&amp;$A31,WeeklyPicks!$C:$C,L$16)</f>
        <v>680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1019</v>
      </c>
      <c r="D32">
        <f>SUMIFS(WeeklyPicks!$M:$M,WeeklyPicks!$A:$A,"&lt;="&amp;$A32,WeeklyPicks!$C:$C,D$16)</f>
        <v>1078</v>
      </c>
      <c r="E32">
        <f>SUMIFS(WeeklyPicks!$M:$M,WeeklyPicks!$A:$A,"&lt;="&amp;$A32,WeeklyPicks!$C:$C,E$16)</f>
        <v>919</v>
      </c>
      <c r="F32">
        <f>SUMIFS(WeeklyPicks!$M:$M,WeeklyPicks!$A:$A,"&lt;="&amp;$A32,WeeklyPicks!$C:$C,F$16)</f>
        <v>1088</v>
      </c>
      <c r="G32">
        <f>SUMIFS(WeeklyPicks!$M:$M,WeeklyPicks!$A:$A,"&lt;="&amp;$A32,WeeklyPicks!$C:$C,G$16)</f>
        <v>788</v>
      </c>
      <c r="H32">
        <f>SUMIFS(WeeklyPicks!$M:$M,WeeklyPicks!$A:$A,"&lt;="&amp;$A32,WeeklyPicks!$C:$C,H$16)</f>
        <v>879</v>
      </c>
      <c r="I32">
        <f>SUMIFS(WeeklyPicks!$M:$M,WeeklyPicks!$A:$A,"&lt;="&amp;$A32,WeeklyPicks!$C:$C,I$16)</f>
        <v>418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709</v>
      </c>
      <c r="L32">
        <f>SUMIFS(WeeklyPicks!$M:$M,WeeklyPicks!$A:$A,"&lt;="&amp;$A32,WeeklyPicks!$C:$C,L$16)</f>
        <v>680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1019</v>
      </c>
      <c r="D33">
        <f>SUMIFS(WeeklyPicks!$M:$M,WeeklyPicks!$A:$A,"&lt;="&amp;$A33,WeeklyPicks!$C:$C,D$16)</f>
        <v>1078</v>
      </c>
      <c r="E33">
        <f>SUMIFS(WeeklyPicks!$M:$M,WeeklyPicks!$A:$A,"&lt;="&amp;$A33,WeeklyPicks!$C:$C,E$16)</f>
        <v>919</v>
      </c>
      <c r="F33">
        <f>SUMIFS(WeeklyPicks!$M:$M,WeeklyPicks!$A:$A,"&lt;="&amp;$A33,WeeklyPicks!$C:$C,F$16)</f>
        <v>1088</v>
      </c>
      <c r="G33">
        <f>SUMIFS(WeeklyPicks!$M:$M,WeeklyPicks!$A:$A,"&lt;="&amp;$A33,WeeklyPicks!$C:$C,G$16)</f>
        <v>788</v>
      </c>
      <c r="H33">
        <f>SUMIFS(WeeklyPicks!$M:$M,WeeklyPicks!$A:$A,"&lt;="&amp;$A33,WeeklyPicks!$C:$C,H$16)</f>
        <v>879</v>
      </c>
      <c r="I33">
        <f>SUMIFS(WeeklyPicks!$M:$M,WeeklyPicks!$A:$A,"&lt;="&amp;$A33,WeeklyPicks!$C:$C,I$16)</f>
        <v>418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709</v>
      </c>
      <c r="L33">
        <f>SUMIFS(WeeklyPicks!$M:$M,WeeklyPicks!$A:$A,"&lt;="&amp;$A33,WeeklyPicks!$C:$C,L$16)</f>
        <v>680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1019</v>
      </c>
      <c r="D34">
        <f>SUMIFS(WeeklyPicks!$M:$M,WeeklyPicks!$A:$A,"&lt;="&amp;$A34,WeeklyPicks!$C:$C,D$16)</f>
        <v>1078</v>
      </c>
      <c r="E34">
        <f>SUMIFS(WeeklyPicks!$M:$M,WeeklyPicks!$A:$A,"&lt;="&amp;$A34,WeeklyPicks!$C:$C,E$16)</f>
        <v>919</v>
      </c>
      <c r="F34">
        <f>SUMIFS(WeeklyPicks!$M:$M,WeeklyPicks!$A:$A,"&lt;="&amp;$A34,WeeklyPicks!$C:$C,F$16)</f>
        <v>1088</v>
      </c>
      <c r="G34">
        <f>SUMIFS(WeeklyPicks!$M:$M,WeeklyPicks!$A:$A,"&lt;="&amp;$A34,WeeklyPicks!$C:$C,G$16)</f>
        <v>788</v>
      </c>
      <c r="H34">
        <f>SUMIFS(WeeklyPicks!$M:$M,WeeklyPicks!$A:$A,"&lt;="&amp;$A34,WeeklyPicks!$C:$C,H$16)</f>
        <v>879</v>
      </c>
      <c r="I34">
        <f>SUMIFS(WeeklyPicks!$M:$M,WeeklyPicks!$A:$A,"&lt;="&amp;$A34,WeeklyPicks!$C:$C,I$16)</f>
        <v>418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709</v>
      </c>
      <c r="L34">
        <f>SUMIFS(WeeklyPicks!$M:$M,WeeklyPicks!$A:$A,"&lt;="&amp;$A34,WeeklyPicks!$C:$C,L$16)</f>
        <v>680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1019</v>
      </c>
      <c r="D35">
        <f>SUMIFS(WeeklyPicks!$M:$M,WeeklyPicks!$A:$A,"&lt;="&amp;$A35,WeeklyPicks!$C:$C,D$16)</f>
        <v>1078</v>
      </c>
      <c r="E35">
        <f>SUMIFS(WeeklyPicks!$M:$M,WeeklyPicks!$A:$A,"&lt;="&amp;$A35,WeeklyPicks!$C:$C,E$16)</f>
        <v>919</v>
      </c>
      <c r="F35">
        <f>SUMIFS(WeeklyPicks!$M:$M,WeeklyPicks!$A:$A,"&lt;="&amp;$A35,WeeklyPicks!$C:$C,F$16)</f>
        <v>1088</v>
      </c>
      <c r="G35">
        <f>SUMIFS(WeeklyPicks!$M:$M,WeeklyPicks!$A:$A,"&lt;="&amp;$A35,WeeklyPicks!$C:$C,G$16)</f>
        <v>788</v>
      </c>
      <c r="H35">
        <f>SUMIFS(WeeklyPicks!$M:$M,WeeklyPicks!$A:$A,"&lt;="&amp;$A35,WeeklyPicks!$C:$C,H$16)</f>
        <v>879</v>
      </c>
      <c r="I35">
        <f>SUMIFS(WeeklyPicks!$M:$M,WeeklyPicks!$A:$A,"&lt;="&amp;$A35,WeeklyPicks!$C:$C,I$16)</f>
        <v>418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709</v>
      </c>
      <c r="L35">
        <f>SUMIFS(WeeklyPicks!$M:$M,WeeklyPicks!$A:$A,"&lt;="&amp;$A35,WeeklyPicks!$C:$C,L$16)</f>
        <v>680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1019</v>
      </c>
      <c r="D36">
        <f>SUMIFS(WeeklyPicks!$M:$M,WeeklyPicks!$A:$A,"&lt;="&amp;$A36,WeeklyPicks!$C:$C,D$16)</f>
        <v>1078</v>
      </c>
      <c r="E36">
        <f>SUMIFS(WeeklyPicks!$M:$M,WeeklyPicks!$A:$A,"&lt;="&amp;$A36,WeeklyPicks!$C:$C,E$16)</f>
        <v>919</v>
      </c>
      <c r="F36">
        <f>SUMIFS(WeeklyPicks!$M:$M,WeeklyPicks!$A:$A,"&lt;="&amp;$A36,WeeklyPicks!$C:$C,F$16)</f>
        <v>1088</v>
      </c>
      <c r="G36">
        <f>SUMIFS(WeeklyPicks!$M:$M,WeeklyPicks!$A:$A,"&lt;="&amp;$A36,WeeklyPicks!$C:$C,G$16)</f>
        <v>788</v>
      </c>
      <c r="H36">
        <f>SUMIFS(WeeklyPicks!$M:$M,WeeklyPicks!$A:$A,"&lt;="&amp;$A36,WeeklyPicks!$C:$C,H$16)</f>
        <v>879</v>
      </c>
      <c r="I36">
        <f>SUMIFS(WeeklyPicks!$M:$M,WeeklyPicks!$A:$A,"&lt;="&amp;$A36,WeeklyPicks!$C:$C,I$16)</f>
        <v>418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709</v>
      </c>
      <c r="L36">
        <f>SUMIFS(WeeklyPicks!$M:$M,WeeklyPicks!$A:$A,"&lt;="&amp;$A36,WeeklyPicks!$C:$C,L$16)</f>
        <v>680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1019</v>
      </c>
      <c r="D37">
        <f>SUMIFS(WeeklyPicks!$M:$M,WeeklyPicks!$A:$A,"&lt;="&amp;$A37,WeeklyPicks!$C:$C,D$16)</f>
        <v>1078</v>
      </c>
      <c r="E37">
        <f>SUMIFS(WeeklyPicks!$M:$M,WeeklyPicks!$A:$A,"&lt;="&amp;$A37,WeeklyPicks!$C:$C,E$16)</f>
        <v>919</v>
      </c>
      <c r="F37">
        <f>SUMIFS(WeeklyPicks!$M:$M,WeeklyPicks!$A:$A,"&lt;="&amp;$A37,WeeklyPicks!$C:$C,F$16)</f>
        <v>1088</v>
      </c>
      <c r="G37">
        <f>SUMIFS(WeeklyPicks!$M:$M,WeeklyPicks!$A:$A,"&lt;="&amp;$A37,WeeklyPicks!$C:$C,G$16)</f>
        <v>788</v>
      </c>
      <c r="H37">
        <f>SUMIFS(WeeklyPicks!$M:$M,WeeklyPicks!$A:$A,"&lt;="&amp;$A37,WeeklyPicks!$C:$C,H$16)</f>
        <v>879</v>
      </c>
      <c r="I37">
        <f>SUMIFS(WeeklyPicks!$M:$M,WeeklyPicks!$A:$A,"&lt;="&amp;$A37,WeeklyPicks!$C:$C,I$16)</f>
        <v>418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709</v>
      </c>
      <c r="L37">
        <f>SUMIFS(WeeklyPicks!$M:$M,WeeklyPicks!$A:$A,"&lt;="&amp;$A37,WeeklyPicks!$C:$C,L$16)</f>
        <v>680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1019</v>
      </c>
      <c r="D38">
        <f>SUMIFS(WeeklyPicks!$M:$M,WeeklyPicks!$A:$A,"&lt;="&amp;$A38,WeeklyPicks!$C:$C,D$16)</f>
        <v>1078</v>
      </c>
      <c r="E38">
        <f>SUMIFS(WeeklyPicks!$M:$M,WeeklyPicks!$A:$A,"&lt;="&amp;$A38,WeeklyPicks!$C:$C,E$16)</f>
        <v>919</v>
      </c>
      <c r="F38">
        <f>SUMIFS(WeeklyPicks!$M:$M,WeeklyPicks!$A:$A,"&lt;="&amp;$A38,WeeklyPicks!$C:$C,F$16)</f>
        <v>1088</v>
      </c>
      <c r="G38">
        <f>SUMIFS(WeeklyPicks!$M:$M,WeeklyPicks!$A:$A,"&lt;="&amp;$A38,WeeklyPicks!$C:$C,G$16)</f>
        <v>788</v>
      </c>
      <c r="H38">
        <f>SUMIFS(WeeklyPicks!$M:$M,WeeklyPicks!$A:$A,"&lt;="&amp;$A38,WeeklyPicks!$C:$C,H$16)</f>
        <v>879</v>
      </c>
      <c r="I38">
        <f>SUMIFS(WeeklyPicks!$M:$M,WeeklyPicks!$A:$A,"&lt;="&amp;$A38,WeeklyPicks!$C:$C,I$16)</f>
        <v>418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709</v>
      </c>
      <c r="L38">
        <f>SUMIFS(WeeklyPicks!$M:$M,WeeklyPicks!$A:$A,"&lt;="&amp;$A38,WeeklyPicks!$C:$C,L$16)</f>
        <v>680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1019</v>
      </c>
      <c r="D39">
        <f>SUMIFS(WeeklyPicks!$M:$M,WeeklyPicks!$A:$A,"&lt;="&amp;$A39,WeeklyPicks!$C:$C,D$16)</f>
        <v>1078</v>
      </c>
      <c r="E39">
        <f>SUMIFS(WeeklyPicks!$M:$M,WeeklyPicks!$A:$A,"&lt;="&amp;$A39,WeeklyPicks!$C:$C,E$16)</f>
        <v>919</v>
      </c>
      <c r="F39">
        <f>SUMIFS(WeeklyPicks!$M:$M,WeeklyPicks!$A:$A,"&lt;="&amp;$A39,WeeklyPicks!$C:$C,F$16)</f>
        <v>1088</v>
      </c>
      <c r="G39">
        <f>SUMIFS(WeeklyPicks!$M:$M,WeeklyPicks!$A:$A,"&lt;="&amp;$A39,WeeklyPicks!$C:$C,G$16)</f>
        <v>788</v>
      </c>
      <c r="H39">
        <f>SUMIFS(WeeklyPicks!$M:$M,WeeklyPicks!$A:$A,"&lt;="&amp;$A39,WeeklyPicks!$C:$C,H$16)</f>
        <v>879</v>
      </c>
      <c r="I39">
        <f>SUMIFS(WeeklyPicks!$M:$M,WeeklyPicks!$A:$A,"&lt;="&amp;$A39,WeeklyPicks!$C:$C,I$16)</f>
        <v>418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709</v>
      </c>
      <c r="L39">
        <f>SUMIFS(WeeklyPicks!$M:$M,WeeklyPicks!$A:$A,"&lt;="&amp;$A39,WeeklyPicks!$C:$C,L$16)</f>
        <v>680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1019</v>
      </c>
      <c r="D40">
        <f>SUMIFS(WeeklyPicks!$M:$M,WeeklyPicks!$A:$A,"&lt;="&amp;$A40,WeeklyPicks!$C:$C,D$16)</f>
        <v>1078</v>
      </c>
      <c r="E40">
        <f>SUMIFS(WeeklyPicks!$M:$M,WeeklyPicks!$A:$A,"&lt;="&amp;$A40,WeeklyPicks!$C:$C,E$16)</f>
        <v>919</v>
      </c>
      <c r="F40">
        <f>SUMIFS(WeeklyPicks!$M:$M,WeeklyPicks!$A:$A,"&lt;="&amp;$A40,WeeklyPicks!$C:$C,F$16)</f>
        <v>1088</v>
      </c>
      <c r="G40">
        <f>SUMIFS(WeeklyPicks!$M:$M,WeeklyPicks!$A:$A,"&lt;="&amp;$A40,WeeklyPicks!$C:$C,G$16)</f>
        <v>788</v>
      </c>
      <c r="H40">
        <f>SUMIFS(WeeklyPicks!$M:$M,WeeklyPicks!$A:$A,"&lt;="&amp;$A40,WeeklyPicks!$C:$C,H$16)</f>
        <v>879</v>
      </c>
      <c r="I40">
        <f>SUMIFS(WeeklyPicks!$M:$M,WeeklyPicks!$A:$A,"&lt;="&amp;$A40,WeeklyPicks!$C:$C,I$16)</f>
        <v>418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709</v>
      </c>
      <c r="L40">
        <f>SUMIFS(WeeklyPicks!$M:$M,WeeklyPicks!$A:$A,"&lt;="&amp;$A40,WeeklyPicks!$C:$C,L$16)</f>
        <v>680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1019</v>
      </c>
      <c r="D41">
        <f>SUMIFS(WeeklyPicks!$M:$M,WeeklyPicks!$A:$A,"&lt;="&amp;$A41,WeeklyPicks!$C:$C,D$16)</f>
        <v>1078</v>
      </c>
      <c r="E41">
        <f>SUMIFS(WeeklyPicks!$M:$M,WeeklyPicks!$A:$A,"&lt;="&amp;$A41,WeeklyPicks!$C:$C,E$16)</f>
        <v>919</v>
      </c>
      <c r="F41">
        <f>SUMIFS(WeeklyPicks!$M:$M,WeeklyPicks!$A:$A,"&lt;="&amp;$A41,WeeklyPicks!$C:$C,F$16)</f>
        <v>1088</v>
      </c>
      <c r="G41">
        <f>SUMIFS(WeeklyPicks!$M:$M,WeeklyPicks!$A:$A,"&lt;="&amp;$A41,WeeklyPicks!$C:$C,G$16)</f>
        <v>788</v>
      </c>
      <c r="H41">
        <f>SUMIFS(WeeklyPicks!$M:$M,WeeklyPicks!$A:$A,"&lt;="&amp;$A41,WeeklyPicks!$C:$C,H$16)</f>
        <v>879</v>
      </c>
      <c r="I41">
        <f>SUMIFS(WeeklyPicks!$M:$M,WeeklyPicks!$A:$A,"&lt;="&amp;$A41,WeeklyPicks!$C:$C,I$16)</f>
        <v>418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709</v>
      </c>
      <c r="L41">
        <f>SUMIFS(WeeklyPicks!$M:$M,WeeklyPicks!$A:$A,"&lt;="&amp;$A41,WeeklyPicks!$C:$C,L$16)</f>
        <v>680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1019</v>
      </c>
      <c r="D42">
        <f>SUMIFS(WeeklyPicks!$M:$M,WeeklyPicks!$A:$A,"&lt;="&amp;$A42,WeeklyPicks!$C:$C,D$16)</f>
        <v>1078</v>
      </c>
      <c r="E42">
        <f>SUMIFS(WeeklyPicks!$M:$M,WeeklyPicks!$A:$A,"&lt;="&amp;$A42,WeeklyPicks!$C:$C,E$16)</f>
        <v>919</v>
      </c>
      <c r="F42">
        <f>SUMIFS(WeeklyPicks!$M:$M,WeeklyPicks!$A:$A,"&lt;="&amp;$A42,WeeklyPicks!$C:$C,F$16)</f>
        <v>1088</v>
      </c>
      <c r="G42">
        <f>SUMIFS(WeeklyPicks!$M:$M,WeeklyPicks!$A:$A,"&lt;="&amp;$A42,WeeklyPicks!$C:$C,G$16)</f>
        <v>788</v>
      </c>
      <c r="H42">
        <f>SUMIFS(WeeklyPicks!$M:$M,WeeklyPicks!$A:$A,"&lt;="&amp;$A42,WeeklyPicks!$C:$C,H$16)</f>
        <v>879</v>
      </c>
      <c r="I42">
        <f>SUMIFS(WeeklyPicks!$M:$M,WeeklyPicks!$A:$A,"&lt;="&amp;$A42,WeeklyPicks!$C:$C,I$16)</f>
        <v>418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709</v>
      </c>
      <c r="L42">
        <f>SUMIFS(WeeklyPicks!$M:$M,WeeklyPicks!$A:$A,"&lt;="&amp;$A42,WeeklyPicks!$C:$C,L$16)</f>
        <v>680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1019</v>
      </c>
      <c r="D43">
        <f>SUMIFS(WeeklyPicks!$M:$M,WeeklyPicks!$A:$A,"&lt;="&amp;$A43,WeeklyPicks!$C:$C,D$16)</f>
        <v>1078</v>
      </c>
      <c r="E43">
        <f>SUMIFS(WeeklyPicks!$M:$M,WeeklyPicks!$A:$A,"&lt;="&amp;$A43,WeeklyPicks!$C:$C,E$16)</f>
        <v>919</v>
      </c>
      <c r="F43">
        <f>SUMIFS(WeeklyPicks!$M:$M,WeeklyPicks!$A:$A,"&lt;="&amp;$A43,WeeklyPicks!$C:$C,F$16)</f>
        <v>1088</v>
      </c>
      <c r="G43">
        <f>SUMIFS(WeeklyPicks!$M:$M,WeeklyPicks!$A:$A,"&lt;="&amp;$A43,WeeklyPicks!$C:$C,G$16)</f>
        <v>788</v>
      </c>
      <c r="H43">
        <f>SUMIFS(WeeklyPicks!$M:$M,WeeklyPicks!$A:$A,"&lt;="&amp;$A43,WeeklyPicks!$C:$C,H$16)</f>
        <v>879</v>
      </c>
      <c r="I43">
        <f>SUMIFS(WeeklyPicks!$M:$M,WeeklyPicks!$A:$A,"&lt;="&amp;$A43,WeeklyPicks!$C:$C,I$16)</f>
        <v>418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709</v>
      </c>
      <c r="L43">
        <f>SUMIFS(WeeklyPicks!$M:$M,WeeklyPicks!$A:$A,"&lt;="&amp;$A43,WeeklyPicks!$C:$C,L$16)</f>
        <v>680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1019</v>
      </c>
      <c r="D44">
        <f>SUMIFS(WeeklyPicks!$M:$M,WeeklyPicks!$A:$A,"&lt;="&amp;$A44,WeeklyPicks!$C:$C,D$16)</f>
        <v>1078</v>
      </c>
      <c r="E44">
        <f>SUMIFS(WeeklyPicks!$M:$M,WeeklyPicks!$A:$A,"&lt;="&amp;$A44,WeeklyPicks!$C:$C,E$16)</f>
        <v>919</v>
      </c>
      <c r="F44">
        <f>SUMIFS(WeeklyPicks!$M:$M,WeeklyPicks!$A:$A,"&lt;="&amp;$A44,WeeklyPicks!$C:$C,F$16)</f>
        <v>1088</v>
      </c>
      <c r="G44">
        <f>SUMIFS(WeeklyPicks!$M:$M,WeeklyPicks!$A:$A,"&lt;="&amp;$A44,WeeklyPicks!$C:$C,G$16)</f>
        <v>788</v>
      </c>
      <c r="H44">
        <f>SUMIFS(WeeklyPicks!$M:$M,WeeklyPicks!$A:$A,"&lt;="&amp;$A44,WeeklyPicks!$C:$C,H$16)</f>
        <v>879</v>
      </c>
      <c r="I44">
        <f>SUMIFS(WeeklyPicks!$M:$M,WeeklyPicks!$A:$A,"&lt;="&amp;$A44,WeeklyPicks!$C:$C,I$16)</f>
        <v>418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709</v>
      </c>
      <c r="L44">
        <f>SUMIFS(WeeklyPicks!$M:$M,WeeklyPicks!$A:$A,"&lt;="&amp;$A44,WeeklyPicks!$C:$C,L$16)</f>
        <v>680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1019</v>
      </c>
      <c r="D45">
        <f>SUMIFS(WeeklyPicks!$M:$M,WeeklyPicks!$A:$A,"&lt;="&amp;$A45,WeeklyPicks!$C:$C,D$16)</f>
        <v>1078</v>
      </c>
      <c r="E45">
        <f>SUMIFS(WeeklyPicks!$M:$M,WeeklyPicks!$A:$A,"&lt;="&amp;$A45,WeeklyPicks!$C:$C,E$16)</f>
        <v>919</v>
      </c>
      <c r="F45">
        <f>SUMIFS(WeeklyPicks!$M:$M,WeeklyPicks!$A:$A,"&lt;="&amp;$A45,WeeklyPicks!$C:$C,F$16)</f>
        <v>1088</v>
      </c>
      <c r="G45">
        <f>SUMIFS(WeeklyPicks!$M:$M,WeeklyPicks!$A:$A,"&lt;="&amp;$A45,WeeklyPicks!$C:$C,G$16)</f>
        <v>788</v>
      </c>
      <c r="H45">
        <f>SUMIFS(WeeklyPicks!$M:$M,WeeklyPicks!$A:$A,"&lt;="&amp;$A45,WeeklyPicks!$C:$C,H$16)</f>
        <v>879</v>
      </c>
      <c r="I45">
        <f>SUMIFS(WeeklyPicks!$M:$M,WeeklyPicks!$A:$A,"&lt;="&amp;$A45,WeeklyPicks!$C:$C,I$16)</f>
        <v>418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709</v>
      </c>
      <c r="L45">
        <f>SUMIFS(WeeklyPicks!$M:$M,WeeklyPicks!$A:$A,"&lt;="&amp;$A45,WeeklyPicks!$C:$C,L$16)</f>
        <v>680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1019</v>
      </c>
      <c r="D46">
        <f>SUMIFS(WeeklyPicks!$M:$M,WeeklyPicks!$A:$A,"&lt;="&amp;$A46,WeeklyPicks!$C:$C,D$16)</f>
        <v>1078</v>
      </c>
      <c r="E46">
        <f>SUMIFS(WeeklyPicks!$M:$M,WeeklyPicks!$A:$A,"&lt;="&amp;$A46,WeeklyPicks!$C:$C,E$16)</f>
        <v>919</v>
      </c>
      <c r="F46">
        <f>SUMIFS(WeeklyPicks!$M:$M,WeeklyPicks!$A:$A,"&lt;="&amp;$A46,WeeklyPicks!$C:$C,F$16)</f>
        <v>1088</v>
      </c>
      <c r="G46">
        <f>SUMIFS(WeeklyPicks!$M:$M,WeeklyPicks!$A:$A,"&lt;="&amp;$A46,WeeklyPicks!$C:$C,G$16)</f>
        <v>788</v>
      </c>
      <c r="H46">
        <f>SUMIFS(WeeklyPicks!$M:$M,WeeklyPicks!$A:$A,"&lt;="&amp;$A46,WeeklyPicks!$C:$C,H$16)</f>
        <v>879</v>
      </c>
      <c r="I46">
        <f>SUMIFS(WeeklyPicks!$M:$M,WeeklyPicks!$A:$A,"&lt;="&amp;$A46,WeeklyPicks!$C:$C,I$16)</f>
        <v>418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709</v>
      </c>
      <c r="L46">
        <f>SUMIFS(WeeklyPicks!$M:$M,WeeklyPicks!$A:$A,"&lt;="&amp;$A46,WeeklyPicks!$C:$C,L$16)</f>
        <v>680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1019</v>
      </c>
      <c r="D47">
        <f>SUMIFS(WeeklyPicks!$M:$M,WeeklyPicks!$A:$A,"&lt;="&amp;$A47,WeeklyPicks!$C:$C,D$16)</f>
        <v>1078</v>
      </c>
      <c r="E47">
        <f>SUMIFS(WeeklyPicks!$M:$M,WeeklyPicks!$A:$A,"&lt;="&amp;$A47,WeeklyPicks!$C:$C,E$16)</f>
        <v>919</v>
      </c>
      <c r="F47">
        <f>SUMIFS(WeeklyPicks!$M:$M,WeeklyPicks!$A:$A,"&lt;="&amp;$A47,WeeklyPicks!$C:$C,F$16)</f>
        <v>1088</v>
      </c>
      <c r="G47">
        <f>SUMIFS(WeeklyPicks!$M:$M,WeeklyPicks!$A:$A,"&lt;="&amp;$A47,WeeklyPicks!$C:$C,G$16)</f>
        <v>788</v>
      </c>
      <c r="H47">
        <f>SUMIFS(WeeklyPicks!$M:$M,WeeklyPicks!$A:$A,"&lt;="&amp;$A47,WeeklyPicks!$C:$C,H$16)</f>
        <v>879</v>
      </c>
      <c r="I47">
        <f>SUMIFS(WeeklyPicks!$M:$M,WeeklyPicks!$A:$A,"&lt;="&amp;$A47,WeeklyPicks!$C:$C,I$16)</f>
        <v>418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709</v>
      </c>
      <c r="L47">
        <f>SUMIFS(WeeklyPicks!$M:$M,WeeklyPicks!$A:$A,"&lt;="&amp;$A47,WeeklyPicks!$C:$C,L$16)</f>
        <v>680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1019</v>
      </c>
      <c r="D48">
        <f>SUMIFS(WeeklyPicks!$M:$M,WeeklyPicks!$A:$A,"&lt;="&amp;$A48,WeeklyPicks!$C:$C,D$16)</f>
        <v>1078</v>
      </c>
      <c r="E48">
        <f>SUMIFS(WeeklyPicks!$M:$M,WeeklyPicks!$A:$A,"&lt;="&amp;$A48,WeeklyPicks!$C:$C,E$16)</f>
        <v>919</v>
      </c>
      <c r="F48">
        <f>SUMIFS(WeeklyPicks!$M:$M,WeeklyPicks!$A:$A,"&lt;="&amp;$A48,WeeklyPicks!$C:$C,F$16)</f>
        <v>1088</v>
      </c>
      <c r="G48">
        <f>SUMIFS(WeeklyPicks!$M:$M,WeeklyPicks!$A:$A,"&lt;="&amp;$A48,WeeklyPicks!$C:$C,G$16)</f>
        <v>788</v>
      </c>
      <c r="H48">
        <f>SUMIFS(WeeklyPicks!$M:$M,WeeklyPicks!$A:$A,"&lt;="&amp;$A48,WeeklyPicks!$C:$C,H$16)</f>
        <v>879</v>
      </c>
      <c r="I48">
        <f>SUMIFS(WeeklyPicks!$M:$M,WeeklyPicks!$A:$A,"&lt;="&amp;$A48,WeeklyPicks!$C:$C,I$16)</f>
        <v>418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709</v>
      </c>
      <c r="L48">
        <f>SUMIFS(WeeklyPicks!$M:$M,WeeklyPicks!$A:$A,"&lt;="&amp;$A48,WeeklyPicks!$C:$C,L$16)</f>
        <v>680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1019</v>
      </c>
      <c r="D49">
        <f>SUMIFS(WeeklyPicks!$M:$M,WeeklyPicks!$A:$A,"&lt;="&amp;$A49,WeeklyPicks!$C:$C,D$16)</f>
        <v>1078</v>
      </c>
      <c r="E49">
        <f>SUMIFS(WeeklyPicks!$M:$M,WeeklyPicks!$A:$A,"&lt;="&amp;$A49,WeeklyPicks!$C:$C,E$16)</f>
        <v>919</v>
      </c>
      <c r="F49">
        <f>SUMIFS(WeeklyPicks!$M:$M,WeeklyPicks!$A:$A,"&lt;="&amp;$A49,WeeklyPicks!$C:$C,F$16)</f>
        <v>1088</v>
      </c>
      <c r="G49">
        <f>SUMIFS(WeeklyPicks!$M:$M,WeeklyPicks!$A:$A,"&lt;="&amp;$A49,WeeklyPicks!$C:$C,G$16)</f>
        <v>788</v>
      </c>
      <c r="H49">
        <f>SUMIFS(WeeklyPicks!$M:$M,WeeklyPicks!$A:$A,"&lt;="&amp;$A49,WeeklyPicks!$C:$C,H$16)</f>
        <v>879</v>
      </c>
      <c r="I49">
        <f>SUMIFS(WeeklyPicks!$M:$M,WeeklyPicks!$A:$A,"&lt;="&amp;$A49,WeeklyPicks!$C:$C,I$16)</f>
        <v>418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709</v>
      </c>
      <c r="L49">
        <f>SUMIFS(WeeklyPicks!$M:$M,WeeklyPicks!$A:$A,"&lt;="&amp;$A49,WeeklyPicks!$C:$C,L$16)</f>
        <v>680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1019</v>
      </c>
      <c r="D50">
        <f>SUMIFS(WeeklyPicks!$M:$M,WeeklyPicks!$A:$A,"&lt;="&amp;$A50,WeeklyPicks!$C:$C,D$16)</f>
        <v>1078</v>
      </c>
      <c r="E50">
        <f>SUMIFS(WeeklyPicks!$M:$M,WeeklyPicks!$A:$A,"&lt;="&amp;$A50,WeeklyPicks!$C:$C,E$16)</f>
        <v>919</v>
      </c>
      <c r="F50">
        <f>SUMIFS(WeeklyPicks!$M:$M,WeeklyPicks!$A:$A,"&lt;="&amp;$A50,WeeklyPicks!$C:$C,F$16)</f>
        <v>1088</v>
      </c>
      <c r="G50">
        <f>SUMIFS(WeeklyPicks!$M:$M,WeeklyPicks!$A:$A,"&lt;="&amp;$A50,WeeklyPicks!$C:$C,G$16)</f>
        <v>788</v>
      </c>
      <c r="H50">
        <f>SUMIFS(WeeklyPicks!$M:$M,WeeklyPicks!$A:$A,"&lt;="&amp;$A50,WeeklyPicks!$C:$C,H$16)</f>
        <v>879</v>
      </c>
      <c r="I50">
        <f>SUMIFS(WeeklyPicks!$M:$M,WeeklyPicks!$A:$A,"&lt;="&amp;$A50,WeeklyPicks!$C:$C,I$16)</f>
        <v>418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709</v>
      </c>
      <c r="L50">
        <f>SUMIFS(WeeklyPicks!$M:$M,WeeklyPicks!$A:$A,"&lt;="&amp;$A50,WeeklyPicks!$C:$C,L$16)</f>
        <v>680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1019</v>
      </c>
      <c r="D51">
        <f>SUMIFS(WeeklyPicks!$M:$M,WeeklyPicks!$A:$A,"&lt;="&amp;$A51,WeeklyPicks!$C:$C,D$16)</f>
        <v>1078</v>
      </c>
      <c r="E51">
        <f>SUMIFS(WeeklyPicks!$M:$M,WeeklyPicks!$A:$A,"&lt;="&amp;$A51,WeeklyPicks!$C:$C,E$16)</f>
        <v>919</v>
      </c>
      <c r="F51">
        <f>SUMIFS(WeeklyPicks!$M:$M,WeeklyPicks!$A:$A,"&lt;="&amp;$A51,WeeklyPicks!$C:$C,F$16)</f>
        <v>1088</v>
      </c>
      <c r="G51">
        <f>SUMIFS(WeeklyPicks!$M:$M,WeeklyPicks!$A:$A,"&lt;="&amp;$A51,WeeklyPicks!$C:$C,G$16)</f>
        <v>788</v>
      </c>
      <c r="H51">
        <f>SUMIFS(WeeklyPicks!$M:$M,WeeklyPicks!$A:$A,"&lt;="&amp;$A51,WeeklyPicks!$C:$C,H$16)</f>
        <v>879</v>
      </c>
      <c r="I51">
        <f>SUMIFS(WeeklyPicks!$M:$M,WeeklyPicks!$A:$A,"&lt;="&amp;$A51,WeeklyPicks!$C:$C,I$16)</f>
        <v>418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709</v>
      </c>
      <c r="L51">
        <f>SUMIFS(WeeklyPicks!$M:$M,WeeklyPicks!$A:$A,"&lt;="&amp;$A51,WeeklyPicks!$C:$C,L$16)</f>
        <v>680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1019</v>
      </c>
      <c r="D52">
        <f>SUMIFS(WeeklyPicks!$M:$M,WeeklyPicks!$A:$A,"&lt;="&amp;$A52,WeeklyPicks!$C:$C,D$16)</f>
        <v>1078</v>
      </c>
      <c r="E52">
        <f>SUMIFS(WeeklyPicks!$M:$M,WeeklyPicks!$A:$A,"&lt;="&amp;$A52,WeeklyPicks!$C:$C,E$16)</f>
        <v>919</v>
      </c>
      <c r="F52">
        <f>SUMIFS(WeeklyPicks!$M:$M,WeeklyPicks!$A:$A,"&lt;="&amp;$A52,WeeklyPicks!$C:$C,F$16)</f>
        <v>1088</v>
      </c>
      <c r="G52">
        <f>SUMIFS(WeeklyPicks!$M:$M,WeeklyPicks!$A:$A,"&lt;="&amp;$A52,WeeklyPicks!$C:$C,G$16)</f>
        <v>788</v>
      </c>
      <c r="H52">
        <f>SUMIFS(WeeklyPicks!$M:$M,WeeklyPicks!$A:$A,"&lt;="&amp;$A52,WeeklyPicks!$C:$C,H$16)</f>
        <v>879</v>
      </c>
      <c r="I52">
        <f>SUMIFS(WeeklyPicks!$M:$M,WeeklyPicks!$A:$A,"&lt;="&amp;$A52,WeeklyPicks!$C:$C,I$16)</f>
        <v>418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709</v>
      </c>
      <c r="L52">
        <f>SUMIFS(WeeklyPicks!$M:$M,WeeklyPicks!$A:$A,"&lt;="&amp;$A52,WeeklyPicks!$C:$C,L$16)</f>
        <v>680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1019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2</v>
      </c>
      <c r="B6" s="16" t="str">
        <f>Dashboard!B5</f>
        <v>Meg</v>
      </c>
      <c r="C6" s="16">
        <f>Dashboard!C5</f>
        <v>1078</v>
      </c>
      <c r="D6" s="16">
        <f>Dashboard!D5</f>
        <v>4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919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1088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788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879</v>
      </c>
      <c r="D10" s="16">
        <f>Dashboard!D9</f>
        <v>1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418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709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8</v>
      </c>
      <c r="B14" s="16" t="str">
        <f>Dashboard!B13</f>
        <v>Ryan</v>
      </c>
      <c r="C14" s="16">
        <f>Dashboard!C13</f>
        <v>680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2026-06-01T20:13:33Z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