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354" documentId="8_{64ED620B-E9CD-47B3-A172-B982AAA909D5}" xr6:coauthVersionLast="47" xr6:coauthVersionMax="47" xr10:uidLastSave="{870C20DD-7CD4-4DC6-913B-20D4ADAB557F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78" i="10" l="1"/>
  <c r="C18" i="10"/>
  <c r="C8" i="10"/>
  <c r="M47" i="5"/>
  <c r="H39" i="11" s="1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K33" i="11"/>
  <c r="H26" i="11"/>
  <c r="K21" i="11"/>
  <c r="B17" i="12"/>
  <c r="J7" i="11"/>
  <c r="D23" i="11"/>
  <c r="H35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38" i="11" l="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10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<sst xmlns="http://schemas.openxmlformats.org/spreadsheetml/2006/main" count="8285" uniqueCount="159">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</sst>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365</c:v>
                </c:pt>
                <c:pt idx="1">
                  <c:v>464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703</c:v>
                </c:pt>
                <c:pt idx="16">
                  <c:v>703</c:v>
                </c:pt>
                <c:pt idx="17">
                  <c:v>703</c:v>
                </c:pt>
                <c:pt idx="18">
                  <c:v>703</c:v>
                </c:pt>
                <c:pt idx="19">
                  <c:v>703</c:v>
                </c:pt>
                <c:pt idx="20">
                  <c:v>703</c:v>
                </c:pt>
                <c:pt idx="21">
                  <c:v>703</c:v>
                </c:pt>
                <c:pt idx="22">
                  <c:v>703</c:v>
                </c:pt>
                <c:pt idx="23">
                  <c:v>703</c:v>
                </c:pt>
                <c:pt idx="24">
                  <c:v>703</c:v>
                </c:pt>
                <c:pt idx="25">
                  <c:v>703</c:v>
                </c:pt>
                <c:pt idx="26">
                  <c:v>703</c:v>
                </c:pt>
                <c:pt idx="27">
                  <c:v>703</c:v>
                </c:pt>
                <c:pt idx="28">
                  <c:v>703</c:v>
                </c:pt>
                <c:pt idx="29">
                  <c:v>703</c:v>
                </c:pt>
                <c:pt idx="30">
                  <c:v>703</c:v>
                </c:pt>
                <c:pt idx="31">
                  <c:v>703</c:v>
                </c:pt>
                <c:pt idx="32">
                  <c:v>703</c:v>
                </c:pt>
                <c:pt idx="33">
                  <c:v>703</c:v>
                </c:pt>
                <c:pt idx="34">
                  <c:v>703</c:v>
                </c:pt>
                <c:pt idx="35">
                  <c:v>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685</c:v>
                </c:pt>
                <c:pt idx="16">
                  <c:v>685</c:v>
                </c:pt>
                <c:pt idx="17">
                  <c:v>685</c:v>
                </c:pt>
                <c:pt idx="18">
                  <c:v>685</c:v>
                </c:pt>
                <c:pt idx="19">
                  <c:v>685</c:v>
                </c:pt>
                <c:pt idx="20">
                  <c:v>685</c:v>
                </c:pt>
                <c:pt idx="21">
                  <c:v>685</c:v>
                </c:pt>
                <c:pt idx="22">
                  <c:v>685</c:v>
                </c:pt>
                <c:pt idx="23">
                  <c:v>685</c:v>
                </c:pt>
                <c:pt idx="24">
                  <c:v>685</c:v>
                </c:pt>
                <c:pt idx="25">
                  <c:v>685</c:v>
                </c:pt>
                <c:pt idx="26">
                  <c:v>685</c:v>
                </c:pt>
                <c:pt idx="27">
                  <c:v>685</c:v>
                </c:pt>
                <c:pt idx="28">
                  <c:v>685</c:v>
                </c:pt>
                <c:pt idx="29">
                  <c:v>685</c:v>
                </c:pt>
                <c:pt idx="30">
                  <c:v>685</c:v>
                </c:pt>
                <c:pt idx="31">
                  <c:v>685</c:v>
                </c:pt>
                <c:pt idx="32">
                  <c:v>685</c:v>
                </c:pt>
                <c:pt idx="33">
                  <c:v>685</c:v>
                </c:pt>
                <c:pt idx="34">
                  <c:v>685</c:v>
                </c:pt>
                <c:pt idx="35">
                  <c:v>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10.138888888888889</c:v>
                </c:pt>
                <c:pt idx="1">
                  <c:v>12.888888888888889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593</c:v>
                </c:pt>
                <c:pt idx="16">
                  <c:v>593</c:v>
                </c:pt>
                <c:pt idx="17">
                  <c:v>593</c:v>
                </c:pt>
                <c:pt idx="18">
                  <c:v>593</c:v>
                </c:pt>
                <c:pt idx="19">
                  <c:v>593</c:v>
                </c:pt>
                <c:pt idx="20">
                  <c:v>593</c:v>
                </c:pt>
                <c:pt idx="21">
                  <c:v>593</c:v>
                </c:pt>
                <c:pt idx="22">
                  <c:v>593</c:v>
                </c:pt>
                <c:pt idx="23">
                  <c:v>593</c:v>
                </c:pt>
                <c:pt idx="24">
                  <c:v>593</c:v>
                </c:pt>
                <c:pt idx="25">
                  <c:v>593</c:v>
                </c:pt>
                <c:pt idx="26">
                  <c:v>593</c:v>
                </c:pt>
                <c:pt idx="27">
                  <c:v>593</c:v>
                </c:pt>
                <c:pt idx="28">
                  <c:v>593</c:v>
                </c:pt>
                <c:pt idx="29">
                  <c:v>593</c:v>
                </c:pt>
                <c:pt idx="30">
                  <c:v>593</c:v>
                </c:pt>
                <c:pt idx="31">
                  <c:v>593</c:v>
                </c:pt>
                <c:pt idx="32">
                  <c:v>593</c:v>
                </c:pt>
                <c:pt idx="33">
                  <c:v>593</c:v>
                </c:pt>
                <c:pt idx="34">
                  <c:v>593</c:v>
                </c:pt>
                <c:pt idx="35">
                  <c:v>593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687</c:v>
                </c:pt>
                <c:pt idx="16">
                  <c:v>687</c:v>
                </c:pt>
                <c:pt idx="17">
                  <c:v>687</c:v>
                </c:pt>
                <c:pt idx="18">
                  <c:v>687</c:v>
                </c:pt>
                <c:pt idx="19">
                  <c:v>687</c:v>
                </c:pt>
                <c:pt idx="20">
                  <c:v>687</c:v>
                </c:pt>
                <c:pt idx="21">
                  <c:v>687</c:v>
                </c:pt>
                <c:pt idx="22">
                  <c:v>687</c:v>
                </c:pt>
                <c:pt idx="23">
                  <c:v>687</c:v>
                </c:pt>
                <c:pt idx="24">
                  <c:v>687</c:v>
                </c:pt>
                <c:pt idx="25">
                  <c:v>687</c:v>
                </c:pt>
                <c:pt idx="26">
                  <c:v>687</c:v>
                </c:pt>
                <c:pt idx="27">
                  <c:v>687</c:v>
                </c:pt>
                <c:pt idx="28">
                  <c:v>687</c:v>
                </c:pt>
                <c:pt idx="29">
                  <c:v>687</c:v>
                </c:pt>
                <c:pt idx="30">
                  <c:v>687</c:v>
                </c:pt>
                <c:pt idx="31">
                  <c:v>687</c:v>
                </c:pt>
                <c:pt idx="32">
                  <c:v>687</c:v>
                </c:pt>
                <c:pt idx="33">
                  <c:v>687</c:v>
                </c:pt>
                <c:pt idx="34">
                  <c:v>687</c:v>
                </c:pt>
                <c:pt idx="35">
                  <c:v>687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98" activePane="bottomLeft" state="frozen"/>
      <selection pane="bottomLeft" activeCell="G113" sqref="G113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0</v>
      </c>
      <c r="H102" s="11">
        <f>IF(E102="","",SUMIFS(RaceResults!$C:$C,RaceResults!$A:$A,$A102,RaceResults!$D:$D,E102))</f>
        <v>0</v>
      </c>
      <c r="I102" s="11">
        <f>IF(F102="","",SUMIFS(RaceResults!$C:$C,RaceResults!$A:$A,$A102,RaceResults!$D:$D,F102))</f>
        <v>0</v>
      </c>
      <c r="J102" s="11">
        <f>IF(D102="","",SUMIFS(RaceResults!$E:$E,RaceResults!$A:$A,$A102,RaceResults!$D:$D,D102))</f>
        <v>0</v>
      </c>
      <c r="K102" s="11">
        <f>IF(E102="","",SUMIFS(RaceResults!$E:$E,RaceResults!$A:$A,$A102,RaceResults!$D:$D,E102))</f>
        <v>0</v>
      </c>
      <c r="L102" s="11">
        <f>IF(F102="","",SUMIFS(RaceResults!$E:$E,RaceResults!$A:$A,$A102,RaceResults!$D:$D,F102))</f>
        <v>0</v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0</v>
      </c>
      <c r="H103" s="11">
        <f>IF(E103="","",SUMIFS(RaceResults!$C:$C,RaceResults!$A:$A,$A103,RaceResults!$D:$D,E103))</f>
        <v>0</v>
      </c>
      <c r="I103" s="11">
        <f>IF(F103="","",SUMIFS(RaceResults!$C:$C,RaceResults!$A:$A,$A103,RaceResults!$D:$D,F103))</f>
        <v>0</v>
      </c>
      <c r="J103" s="11">
        <f>IF(D103="","",SUMIFS(RaceResults!$E:$E,RaceResults!$A:$A,$A103,RaceResults!$D:$D,D103))</f>
        <v>0</v>
      </c>
      <c r="K103" s="11">
        <f>IF(E103="","",SUMIFS(RaceResults!$E:$E,RaceResults!$A:$A,$A103,RaceResults!$D:$D,E103))</f>
        <v>0</v>
      </c>
      <c r="L103" s="11">
        <f>IF(F103="","",SUMIFS(RaceResults!$E:$E,RaceResults!$A:$A,$A103,RaceResults!$D:$D,F103))</f>
        <v>0</v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0</v>
      </c>
      <c r="H104" s="11">
        <f>IF(E104="","",SUMIFS(RaceResults!$C:$C,RaceResults!$A:$A,$A104,RaceResults!$D:$D,E104))</f>
        <v>0</v>
      </c>
      <c r="I104" s="11">
        <f>IF(F104="","",SUMIFS(RaceResults!$C:$C,RaceResults!$A:$A,$A104,RaceResults!$D:$D,F104))</f>
        <v>0</v>
      </c>
      <c r="J104" s="11">
        <f>IF(D104="","",SUMIFS(RaceResults!$E:$E,RaceResults!$A:$A,$A104,RaceResults!$D:$D,D104))</f>
        <v>0</v>
      </c>
      <c r="K104" s="11">
        <f>IF(E104="","",SUMIFS(RaceResults!$E:$E,RaceResults!$A:$A,$A104,RaceResults!$D:$D,E104))</f>
        <v>0</v>
      </c>
      <c r="L104" s="11">
        <f>IF(F104="","",SUMIFS(RaceResults!$E:$E,RaceResults!$A:$A,$A104,RaceResults!$D:$D,F104))</f>
        <v>0</v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0</v>
      </c>
      <c r="H105" s="11">
        <f>IF(E105="","",SUMIFS(RaceResults!$C:$C,RaceResults!$A:$A,$A105,RaceResults!$D:$D,E105))</f>
        <v>0</v>
      </c>
      <c r="I105" s="11">
        <f>IF(F105="","",SUMIFS(RaceResults!$C:$C,RaceResults!$A:$A,$A105,RaceResults!$D:$D,F105))</f>
        <v>0</v>
      </c>
      <c r="J105" s="11">
        <f>IF(D105="","",SUMIFS(RaceResults!$E:$E,RaceResults!$A:$A,$A105,RaceResults!$D:$D,D105))</f>
        <v>0</v>
      </c>
      <c r="K105" s="11">
        <f>IF(E105="","",SUMIFS(RaceResults!$E:$E,RaceResults!$A:$A,$A105,RaceResults!$D:$D,E105))</f>
        <v>0</v>
      </c>
      <c r="L105" s="11">
        <f>IF(F105="","",SUMIFS(RaceResults!$E:$E,RaceResults!$A:$A,$A105,RaceResults!$D:$D,F105))</f>
        <v>0</v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0</v>
      </c>
      <c r="H106" s="11">
        <f>IF(E106="","",SUMIFS(RaceResults!$C:$C,RaceResults!$A:$A,$A106,RaceResults!$D:$D,E106))</f>
        <v>0</v>
      </c>
      <c r="I106" s="11">
        <f>IF(F106="","",SUMIFS(RaceResults!$C:$C,RaceResults!$A:$A,$A106,RaceResults!$D:$D,F106))</f>
        <v>0</v>
      </c>
      <c r="J106" s="11">
        <f>IF(D106="","",SUMIFS(RaceResults!$E:$E,RaceResults!$A:$A,$A106,RaceResults!$D:$D,D106))</f>
        <v>0</v>
      </c>
      <c r="K106" s="11">
        <f>IF(E106="","",SUMIFS(RaceResults!$E:$E,RaceResults!$A:$A,$A106,RaceResults!$D:$D,E106))</f>
        <v>0</v>
      </c>
      <c r="L106" s="11">
        <f>IF(F106="","",SUMIFS(RaceResults!$E:$E,RaceResults!$A:$A,$A106,RaceResults!$D:$D,F106))</f>
        <v>0</v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0</v>
      </c>
      <c r="H107" s="11">
        <f>IF(E107="","",SUMIFS(RaceResults!$C:$C,RaceResults!$A:$A,$A107,RaceResults!$D:$D,E107))</f>
        <v>0</v>
      </c>
      <c r="I107" s="11">
        <f>IF(F107="","",SUMIFS(RaceResults!$C:$C,RaceResults!$A:$A,$A107,RaceResults!$D:$D,F107))</f>
        <v>0</v>
      </c>
      <c r="J107" s="11">
        <f>IF(D107="","",SUMIFS(RaceResults!$E:$E,RaceResults!$A:$A,$A107,RaceResults!$D:$D,D107))</f>
        <v>0</v>
      </c>
      <c r="K107" s="11">
        <f>IF(E107="","",SUMIFS(RaceResults!$E:$E,RaceResults!$A:$A,$A107,RaceResults!$D:$D,E107))</f>
        <v>0</v>
      </c>
      <c r="L107" s="11">
        <f>IF(F107="","",SUMIFS(RaceResults!$E:$E,RaceResults!$A:$A,$A107,RaceResults!$D:$D,F107))</f>
        <v>0</v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0</v>
      </c>
      <c r="H110" s="11">
        <f>IF(E110="","",SUMIFS(RaceResults!$C:$C,RaceResults!$A:$A,$A110,RaceResults!$D:$D,E110))</f>
        <v>0</v>
      </c>
      <c r="I110" s="11">
        <f>IF(F110="","",SUMIFS(RaceResults!$C:$C,RaceResults!$A:$A,$A110,RaceResults!$D:$D,F110))</f>
        <v>0</v>
      </c>
      <c r="J110" s="11">
        <f>IF(D110="","",SUMIFS(RaceResults!$E:$E,RaceResults!$A:$A,$A110,RaceResults!$D:$D,D110))</f>
        <v>0</v>
      </c>
      <c r="K110" s="11">
        <f>IF(E110="","",SUMIFS(RaceResults!$E:$E,RaceResults!$A:$A,$A110,RaceResults!$D:$D,E110))</f>
        <v>0</v>
      </c>
      <c r="L110" s="11">
        <f>IF(F110="","",SUMIFS(RaceResults!$E:$E,RaceResults!$A:$A,$A110,RaceResults!$D:$D,F110))</f>
        <v>0</v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0</v>
      </c>
      <c r="H111" s="11">
        <f>IF(E111="","",SUMIFS(RaceResults!$C:$C,RaceResults!$A:$A,$A111,RaceResults!$D:$D,E111))</f>
        <v>0</v>
      </c>
      <c r="I111" s="11">
        <f>IF(F111="","",SUMIFS(RaceResults!$C:$C,RaceResults!$A:$A,$A111,RaceResults!$D:$D,F111))</f>
        <v>0</v>
      </c>
      <c r="J111" s="11">
        <f>IF(D111="","",SUMIFS(RaceResults!$E:$E,RaceResults!$A:$A,$A111,RaceResults!$D:$D,D111))</f>
        <v>0</v>
      </c>
      <c r="K111" s="11">
        <f>IF(E111="","",SUMIFS(RaceResults!$E:$E,RaceResults!$A:$A,$A111,RaceResults!$D:$D,E111))</f>
        <v>0</v>
      </c>
      <c r="L111" s="11">
        <f>IF(F111="","",SUMIFS(RaceResults!$E:$E,RaceResults!$A:$A,$A111,RaceResults!$D:$D,F111))</f>
        <v>0</v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385" activePane="bottomLeft" state="frozen"/>
      <selection pane="bottomLeft" activeCell="D403" sqref="D403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2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32</v>
      </c>
      <c r="C6">
        <f>SUMIF(Calc!$E$2:$E$1081,A6,Calc!$G$2:$G$1081)</f>
        <v>686</v>
      </c>
      <c r="D6">
        <f>IF(B6=0,"",AVERAGEIF(Calc!$E$2:$E$1081,A6,Calc!$F$2:$F$1081))</f>
        <v>14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7</v>
      </c>
      <c r="D8">
        <f>IF(B8=0,"",AVERAGEIF(Calc!$E$2:$E$1081,A8,Calc!$F$2:$F$1081))</f>
        <v>15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0</v>
      </c>
      <c r="D9">
        <f>IF(B9=0,"",AVERAGEIF(Calc!$E$2:$E$1081,A9,Calc!$F$2:$F$1081))</f>
        <v>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8</v>
      </c>
      <c r="C10">
        <f>SUMIF(Calc!$E$2:$E$1081,A10,Calc!$G$2:$G$1081)</f>
        <v>314</v>
      </c>
      <c r="D10">
        <f>IF(B10=0,"",AVERAGEIF(Calc!$E$2:$E$1081,A10,Calc!$F$2:$F$1081))</f>
        <v>4.875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36</v>
      </c>
      <c r="C12">
        <f>SUMIF(Calc!$E$2:$E$1081,A12,Calc!$G$2:$G$1081)</f>
        <v>1006</v>
      </c>
      <c r="D12">
        <f>IF(B12=0,"",AVERAGEIF(Calc!$E$2:$E$1081,A12,Calc!$F$2:$F$1081))</f>
        <v>5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28</v>
      </c>
      <c r="C13">
        <f>SUMIF(Calc!$E$2:$E$1081,A13,Calc!$G$2:$G$1081)</f>
        <v>710</v>
      </c>
      <c r="D13">
        <f>IF(B13=0,"",AVERAGEIF(Calc!$E$2:$E$1081,A13,Calc!$F$2:$F$1081))</f>
        <v>12.5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3</v>
      </c>
      <c r="C18">
        <f>SUMIF(Calc!$E$2:$E$1081,A18,Calc!$G$2:$G$1081)</f>
        <v>52</v>
      </c>
      <c r="D18">
        <f>IF(B18=0,"",AVERAGEIF(Calc!$E$2:$E$1081,A18,Calc!$F$2:$F$1081))</f>
        <v>7.333333333333333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5</v>
      </c>
      <c r="C20">
        <f>SUMIF(Calc!$E$2:$E$1081,A20,Calc!$G$2:$G$1081)</f>
        <v>3</v>
      </c>
      <c r="D20">
        <f>IF(B20=0,"",AVERAGEIF(Calc!$E$2:$E$1081,A20,Calc!$F$2:$F$1081))</f>
        <v>22.2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11</v>
      </c>
      <c r="C21">
        <f>SUMIF(Calc!$E$2:$E$1081,A21,Calc!$G$2:$G$1081)</f>
        <v>234</v>
      </c>
      <c r="D21">
        <f>IF(B21=0,"",AVERAGEIF(Calc!$E$2:$E$1081,A21,Calc!$F$2:$F$1081))</f>
        <v>9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6</v>
      </c>
      <c r="C23">
        <f>SUMIF(Calc!$E$2:$E$1081,A23,Calc!$G$2:$G$1081)</f>
        <v>42</v>
      </c>
      <c r="D23">
        <f>IF(B23=0,"",AVERAGEIF(Calc!$E$2:$E$1081,A23,Calc!$F$2:$F$1081))</f>
        <v>24.833333333333332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88</v>
      </c>
      <c r="D24">
        <f>IF(B24=0,"",AVERAGEIF(Calc!$E$2:$E$1081,A24,Calc!$F$2:$F$1081))</f>
        <v>24.428571428571427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14</v>
      </c>
      <c r="C25">
        <f>SUMIF(Calc!$E$2:$E$1081,A25,Calc!$G$2:$G$1081)</f>
        <v>315</v>
      </c>
      <c r="D25">
        <f>IF(B25=0,"",AVERAGEIF(Calc!$E$2:$E$1081,A25,Calc!$F$2:$F$1081))</f>
        <v>14.5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24</v>
      </c>
      <c r="C46">
        <f>SUMIF(Calc!$E$2:$E$1081,A46,Calc!$G$2:$G$1081)</f>
        <v>816</v>
      </c>
      <c r="D46">
        <f>IF(B46=0,"",AVERAGEIF(Calc!$E$2:$E$1081,A46,Calc!$F$2:$F$1081))</f>
        <v>6.25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11</v>
      </c>
      <c r="C55">
        <f>SUMIF(Calc!$E$2:$E$1081,A55,Calc!$G$2:$G$1081)</f>
        <v>339</v>
      </c>
      <c r="D55">
        <f>IF(B55=0,"",AVERAGEIF(Calc!$E$2:$E$1081,A55,Calc!$F$2:$F$1081))</f>
        <v>8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20</v>
      </c>
      <c r="D78">
        <f>IF(B78=0,"",AVERAGEIF(Calc!$E$2:$E$1081,A78,Calc!$F$2:$F$1081))</f>
        <v>3.4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5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1</v>
      </c>
      <c r="B4" t="s">
        <v>21</v>
      </c>
      <c r="C4">
        <f>SUMIF(WeeklyPicks!$C:$C,B4,WeeklyPicks!$M:$M)</f>
        <v>703</v>
      </c>
      <c r="D4">
        <f>COUNTIF(RaceSummary!$C:$C,B4)</f>
        <v>2</v>
      </c>
      <c r="E4">
        <f>IF(COUNTIF(WeeklyPicks!$C:$C,B4)=0,"",AVERAGEIF(WeeklyPicks!$C:$C,B4,WeeklyPicks!$M:$M))</f>
        <v>19.527777777777779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685</v>
      </c>
      <c r="D5">
        <f>COUNTIF(RaceSummary!$C:$C,B5)</f>
        <v>2</v>
      </c>
      <c r="E5">
        <f>IF(COUNTIF(WeeklyPicks!$C:$C,B5)=0,"",AVERAGEIF(WeeklyPicks!$C:$C,B5,WeeklyPicks!$M:$M))</f>
        <v>19.027777777777779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593</v>
      </c>
      <c r="D6">
        <f>COUNTIF(RaceSummary!$C:$C,B6)</f>
        <v>1</v>
      </c>
      <c r="E6">
        <f>IF(COUNTIF(WeeklyPicks!$C:$C,B6)=0,"",AVERAGEIF(WeeklyPicks!$C:$C,B6,WeeklyPicks!$M:$M))</f>
        <v>16.472222222222221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687</v>
      </c>
      <c r="D7">
        <f>COUNTIF(RaceSummary!$C:$C,B7)</f>
        <v>1</v>
      </c>
      <c r="E7">
        <f>IF(COUNTIF(WeeklyPicks!$C:$C,B7)=0,"",AVERAGEIF(WeeklyPicks!$C:$C,B7,WeeklyPicks!$M:$M))</f>
        <v>19.083333333333332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538</v>
      </c>
      <c r="D8">
        <f>COUNTIF(RaceSummary!$C:$C,B8)</f>
        <v>1</v>
      </c>
      <c r="E8">
        <f>IF(COUNTIF(WeeklyPicks!$C:$C,B8)=0,"",AVERAGEIF(WeeklyPicks!$C:$C,B8,WeeklyPicks!$M:$M))</f>
        <v>14.944444444444445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497</v>
      </c>
      <c r="D9">
        <f>COUNTIF(RaceSummary!$C:$C,B9)</f>
        <v>0</v>
      </c>
      <c r="E9">
        <f>IF(COUNTIF(WeeklyPicks!$C:$C,B9)=0,"",AVERAGEIF(WeeklyPicks!$C:$C,B9,WeeklyPicks!$M:$M))</f>
        <v>13.805555555555555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245</v>
      </c>
      <c r="D10" s="21">
        <f>COUNTIF(RaceSummary!$C:$C,B10)</f>
        <v>0</v>
      </c>
      <c r="E10" s="21">
        <f>IF(COUNTIF(WeeklyPicks!$C:$C,B10)=0,"",AVERAGEIF(WeeklyPicks!$C:$C,B10,WeeklyPicks!$M:$M))</f>
        <v>6.8055555555555554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365</v>
      </c>
      <c r="D12">
        <f>COUNTIF(RaceSummary!$C:$C,B12)</f>
        <v>0</v>
      </c>
      <c r="E12">
        <f>IF(COUNTIF(WeeklyPicks!$C:$C,B12)=0,"",AVERAGEIF(WeeklyPicks!$C:$C,B12,WeeklyPicks!$M:$M))</f>
        <v>10.138888888888889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464</v>
      </c>
      <c r="D13">
        <f>COUNTIF(RaceSummary!$C:$C,B13)</f>
        <v>1</v>
      </c>
      <c r="E13">
        <f>IF(COUNTIF(WeeklyPicks!$C:$C,B13)=0,"",AVERAGEIF(WeeklyPicks!$C:$C,B13,WeeklyPicks!$M:$M))</f>
        <v>12.888888888888889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703</v>
      </c>
      <c r="D27">
        <f>SUMIFS(WeeklyPicks!$M:$M,WeeklyPicks!$A:$A,"&lt;="&amp;$A27,WeeklyPicks!$C:$C,D$16)</f>
        <v>685</v>
      </c>
      <c r="E27">
        <f>SUMIFS(WeeklyPicks!$M:$M,WeeklyPicks!$A:$A,"&lt;="&amp;$A27,WeeklyPicks!$C:$C,E$16)</f>
        <v>593</v>
      </c>
      <c r="F27">
        <f>SUMIFS(WeeklyPicks!$M:$M,WeeklyPicks!$A:$A,"&lt;="&amp;$A27,WeeklyPicks!$C:$C,F$16)</f>
        <v>687</v>
      </c>
      <c r="G27">
        <f>SUMIFS(WeeklyPicks!$M:$M,WeeklyPicks!$A:$A,"&lt;="&amp;$A27,WeeklyPicks!$C:$C,G$16)</f>
        <v>538</v>
      </c>
      <c r="H27">
        <f>SUMIFS(WeeklyPicks!$M:$M,WeeklyPicks!$A:$A,"&lt;="&amp;$A27,WeeklyPicks!$C:$C,H$16)</f>
        <v>497</v>
      </c>
      <c r="I27">
        <f>SUMIFS(WeeklyPicks!$M:$M,WeeklyPicks!$A:$A,"&lt;="&amp;$A27,WeeklyPicks!$C:$C,I$16)</f>
        <v>245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365</v>
      </c>
      <c r="L27">
        <f>SUMIFS(WeeklyPicks!$M:$M,WeeklyPicks!$A:$A,"&lt;="&amp;$A27,WeeklyPicks!$C:$C,L$16)</f>
        <v>464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703</v>
      </c>
      <c r="D28">
        <f>SUMIFS(WeeklyPicks!$M:$M,WeeklyPicks!$A:$A,"&lt;="&amp;$A28,WeeklyPicks!$C:$C,D$16)</f>
        <v>685</v>
      </c>
      <c r="E28">
        <f>SUMIFS(WeeklyPicks!$M:$M,WeeklyPicks!$A:$A,"&lt;="&amp;$A28,WeeklyPicks!$C:$C,E$16)</f>
        <v>593</v>
      </c>
      <c r="F28">
        <f>SUMIFS(WeeklyPicks!$M:$M,WeeklyPicks!$A:$A,"&lt;="&amp;$A28,WeeklyPicks!$C:$C,F$16)</f>
        <v>687</v>
      </c>
      <c r="G28">
        <f>SUMIFS(WeeklyPicks!$M:$M,WeeklyPicks!$A:$A,"&lt;="&amp;$A28,WeeklyPicks!$C:$C,G$16)</f>
        <v>538</v>
      </c>
      <c r="H28">
        <f>SUMIFS(WeeklyPicks!$M:$M,WeeklyPicks!$A:$A,"&lt;="&amp;$A28,WeeklyPicks!$C:$C,H$16)</f>
        <v>497</v>
      </c>
      <c r="I28">
        <f>SUMIFS(WeeklyPicks!$M:$M,WeeklyPicks!$A:$A,"&lt;="&amp;$A28,WeeklyPicks!$C:$C,I$16)</f>
        <v>245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365</v>
      </c>
      <c r="L28">
        <f>SUMIFS(WeeklyPicks!$M:$M,WeeklyPicks!$A:$A,"&lt;="&amp;$A28,WeeklyPicks!$C:$C,L$16)</f>
        <v>464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703</v>
      </c>
      <c r="D29">
        <f>SUMIFS(WeeklyPicks!$M:$M,WeeklyPicks!$A:$A,"&lt;="&amp;$A29,WeeklyPicks!$C:$C,D$16)</f>
        <v>685</v>
      </c>
      <c r="E29">
        <f>SUMIFS(WeeklyPicks!$M:$M,WeeklyPicks!$A:$A,"&lt;="&amp;$A29,WeeklyPicks!$C:$C,E$16)</f>
        <v>593</v>
      </c>
      <c r="F29">
        <f>SUMIFS(WeeklyPicks!$M:$M,WeeklyPicks!$A:$A,"&lt;="&amp;$A29,WeeklyPicks!$C:$C,F$16)</f>
        <v>687</v>
      </c>
      <c r="G29">
        <f>SUMIFS(WeeklyPicks!$M:$M,WeeklyPicks!$A:$A,"&lt;="&amp;$A29,WeeklyPicks!$C:$C,G$16)</f>
        <v>538</v>
      </c>
      <c r="H29">
        <f>SUMIFS(WeeklyPicks!$M:$M,WeeklyPicks!$A:$A,"&lt;="&amp;$A29,WeeklyPicks!$C:$C,H$16)</f>
        <v>497</v>
      </c>
      <c r="I29">
        <f>SUMIFS(WeeklyPicks!$M:$M,WeeklyPicks!$A:$A,"&lt;="&amp;$A29,WeeklyPicks!$C:$C,I$16)</f>
        <v>245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365</v>
      </c>
      <c r="L29">
        <f>SUMIFS(WeeklyPicks!$M:$M,WeeklyPicks!$A:$A,"&lt;="&amp;$A29,WeeklyPicks!$C:$C,L$16)</f>
        <v>464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703</v>
      </c>
      <c r="D30">
        <f>SUMIFS(WeeklyPicks!$M:$M,WeeklyPicks!$A:$A,"&lt;="&amp;$A30,WeeklyPicks!$C:$C,D$16)</f>
        <v>685</v>
      </c>
      <c r="E30">
        <f>SUMIFS(WeeklyPicks!$M:$M,WeeklyPicks!$A:$A,"&lt;="&amp;$A30,WeeklyPicks!$C:$C,E$16)</f>
        <v>593</v>
      </c>
      <c r="F30">
        <f>SUMIFS(WeeklyPicks!$M:$M,WeeklyPicks!$A:$A,"&lt;="&amp;$A30,WeeklyPicks!$C:$C,F$16)</f>
        <v>687</v>
      </c>
      <c r="G30">
        <f>SUMIFS(WeeklyPicks!$M:$M,WeeklyPicks!$A:$A,"&lt;="&amp;$A30,WeeklyPicks!$C:$C,G$16)</f>
        <v>538</v>
      </c>
      <c r="H30">
        <f>SUMIFS(WeeklyPicks!$M:$M,WeeklyPicks!$A:$A,"&lt;="&amp;$A30,WeeklyPicks!$C:$C,H$16)</f>
        <v>497</v>
      </c>
      <c r="I30">
        <f>SUMIFS(WeeklyPicks!$M:$M,WeeklyPicks!$A:$A,"&lt;="&amp;$A30,WeeklyPicks!$C:$C,I$16)</f>
        <v>245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365</v>
      </c>
      <c r="L30">
        <f>SUMIFS(WeeklyPicks!$M:$M,WeeklyPicks!$A:$A,"&lt;="&amp;$A30,WeeklyPicks!$C:$C,L$16)</f>
        <v>464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703</v>
      </c>
      <c r="D31">
        <f>SUMIFS(WeeklyPicks!$M:$M,WeeklyPicks!$A:$A,"&lt;="&amp;$A31,WeeklyPicks!$C:$C,D$16)</f>
        <v>685</v>
      </c>
      <c r="E31">
        <f>SUMIFS(WeeklyPicks!$M:$M,WeeklyPicks!$A:$A,"&lt;="&amp;$A31,WeeklyPicks!$C:$C,E$16)</f>
        <v>593</v>
      </c>
      <c r="F31">
        <f>SUMIFS(WeeklyPicks!$M:$M,WeeklyPicks!$A:$A,"&lt;="&amp;$A31,WeeklyPicks!$C:$C,F$16)</f>
        <v>687</v>
      </c>
      <c r="G31">
        <f>SUMIFS(WeeklyPicks!$M:$M,WeeklyPicks!$A:$A,"&lt;="&amp;$A31,WeeklyPicks!$C:$C,G$16)</f>
        <v>538</v>
      </c>
      <c r="H31">
        <f>SUMIFS(WeeklyPicks!$M:$M,WeeklyPicks!$A:$A,"&lt;="&amp;$A31,WeeklyPicks!$C:$C,H$16)</f>
        <v>497</v>
      </c>
      <c r="I31">
        <f>SUMIFS(WeeklyPicks!$M:$M,WeeklyPicks!$A:$A,"&lt;="&amp;$A31,WeeklyPicks!$C:$C,I$16)</f>
        <v>245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365</v>
      </c>
      <c r="L31">
        <f>SUMIFS(WeeklyPicks!$M:$M,WeeklyPicks!$A:$A,"&lt;="&amp;$A31,WeeklyPicks!$C:$C,L$16)</f>
        <v>464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703</v>
      </c>
      <c r="D32">
        <f>SUMIFS(WeeklyPicks!$M:$M,WeeklyPicks!$A:$A,"&lt;="&amp;$A32,WeeklyPicks!$C:$C,D$16)</f>
        <v>685</v>
      </c>
      <c r="E32">
        <f>SUMIFS(WeeklyPicks!$M:$M,WeeklyPicks!$A:$A,"&lt;="&amp;$A32,WeeklyPicks!$C:$C,E$16)</f>
        <v>593</v>
      </c>
      <c r="F32">
        <f>SUMIFS(WeeklyPicks!$M:$M,WeeklyPicks!$A:$A,"&lt;="&amp;$A32,WeeklyPicks!$C:$C,F$16)</f>
        <v>687</v>
      </c>
      <c r="G32">
        <f>SUMIFS(WeeklyPicks!$M:$M,WeeklyPicks!$A:$A,"&lt;="&amp;$A32,WeeklyPicks!$C:$C,G$16)</f>
        <v>538</v>
      </c>
      <c r="H32">
        <f>SUMIFS(WeeklyPicks!$M:$M,WeeklyPicks!$A:$A,"&lt;="&amp;$A32,WeeklyPicks!$C:$C,H$16)</f>
        <v>497</v>
      </c>
      <c r="I32">
        <f>SUMIFS(WeeklyPicks!$M:$M,WeeklyPicks!$A:$A,"&lt;="&amp;$A32,WeeklyPicks!$C:$C,I$16)</f>
        <v>245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365</v>
      </c>
      <c r="L32">
        <f>SUMIFS(WeeklyPicks!$M:$M,WeeklyPicks!$A:$A,"&lt;="&amp;$A32,WeeklyPicks!$C:$C,L$16)</f>
        <v>464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703</v>
      </c>
      <c r="D33">
        <f>SUMIFS(WeeklyPicks!$M:$M,WeeklyPicks!$A:$A,"&lt;="&amp;$A33,WeeklyPicks!$C:$C,D$16)</f>
        <v>685</v>
      </c>
      <c r="E33">
        <f>SUMIFS(WeeklyPicks!$M:$M,WeeklyPicks!$A:$A,"&lt;="&amp;$A33,WeeklyPicks!$C:$C,E$16)</f>
        <v>593</v>
      </c>
      <c r="F33">
        <f>SUMIFS(WeeklyPicks!$M:$M,WeeklyPicks!$A:$A,"&lt;="&amp;$A33,WeeklyPicks!$C:$C,F$16)</f>
        <v>687</v>
      </c>
      <c r="G33">
        <f>SUMIFS(WeeklyPicks!$M:$M,WeeklyPicks!$A:$A,"&lt;="&amp;$A33,WeeklyPicks!$C:$C,G$16)</f>
        <v>538</v>
      </c>
      <c r="H33">
        <f>SUMIFS(WeeklyPicks!$M:$M,WeeklyPicks!$A:$A,"&lt;="&amp;$A33,WeeklyPicks!$C:$C,H$16)</f>
        <v>497</v>
      </c>
      <c r="I33">
        <f>SUMIFS(WeeklyPicks!$M:$M,WeeklyPicks!$A:$A,"&lt;="&amp;$A33,WeeklyPicks!$C:$C,I$16)</f>
        <v>245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365</v>
      </c>
      <c r="L33">
        <f>SUMIFS(WeeklyPicks!$M:$M,WeeklyPicks!$A:$A,"&lt;="&amp;$A33,WeeklyPicks!$C:$C,L$16)</f>
        <v>464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703</v>
      </c>
      <c r="D34">
        <f>SUMIFS(WeeklyPicks!$M:$M,WeeklyPicks!$A:$A,"&lt;="&amp;$A34,WeeklyPicks!$C:$C,D$16)</f>
        <v>685</v>
      </c>
      <c r="E34">
        <f>SUMIFS(WeeklyPicks!$M:$M,WeeklyPicks!$A:$A,"&lt;="&amp;$A34,WeeklyPicks!$C:$C,E$16)</f>
        <v>593</v>
      </c>
      <c r="F34">
        <f>SUMIFS(WeeklyPicks!$M:$M,WeeklyPicks!$A:$A,"&lt;="&amp;$A34,WeeklyPicks!$C:$C,F$16)</f>
        <v>687</v>
      </c>
      <c r="G34">
        <f>SUMIFS(WeeklyPicks!$M:$M,WeeklyPicks!$A:$A,"&lt;="&amp;$A34,WeeklyPicks!$C:$C,G$16)</f>
        <v>538</v>
      </c>
      <c r="H34">
        <f>SUMIFS(WeeklyPicks!$M:$M,WeeklyPicks!$A:$A,"&lt;="&amp;$A34,WeeklyPicks!$C:$C,H$16)</f>
        <v>497</v>
      </c>
      <c r="I34">
        <f>SUMIFS(WeeklyPicks!$M:$M,WeeklyPicks!$A:$A,"&lt;="&amp;$A34,WeeklyPicks!$C:$C,I$16)</f>
        <v>245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365</v>
      </c>
      <c r="L34">
        <f>SUMIFS(WeeklyPicks!$M:$M,WeeklyPicks!$A:$A,"&lt;="&amp;$A34,WeeklyPicks!$C:$C,L$16)</f>
        <v>464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703</v>
      </c>
      <c r="D35">
        <f>SUMIFS(WeeklyPicks!$M:$M,WeeklyPicks!$A:$A,"&lt;="&amp;$A35,WeeklyPicks!$C:$C,D$16)</f>
        <v>685</v>
      </c>
      <c r="E35">
        <f>SUMIFS(WeeklyPicks!$M:$M,WeeklyPicks!$A:$A,"&lt;="&amp;$A35,WeeklyPicks!$C:$C,E$16)</f>
        <v>593</v>
      </c>
      <c r="F35">
        <f>SUMIFS(WeeklyPicks!$M:$M,WeeklyPicks!$A:$A,"&lt;="&amp;$A35,WeeklyPicks!$C:$C,F$16)</f>
        <v>687</v>
      </c>
      <c r="G35">
        <f>SUMIFS(WeeklyPicks!$M:$M,WeeklyPicks!$A:$A,"&lt;="&amp;$A35,WeeklyPicks!$C:$C,G$16)</f>
        <v>538</v>
      </c>
      <c r="H35">
        <f>SUMIFS(WeeklyPicks!$M:$M,WeeklyPicks!$A:$A,"&lt;="&amp;$A35,WeeklyPicks!$C:$C,H$16)</f>
        <v>497</v>
      </c>
      <c r="I35">
        <f>SUMIFS(WeeklyPicks!$M:$M,WeeklyPicks!$A:$A,"&lt;="&amp;$A35,WeeklyPicks!$C:$C,I$16)</f>
        <v>245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365</v>
      </c>
      <c r="L35">
        <f>SUMIFS(WeeklyPicks!$M:$M,WeeklyPicks!$A:$A,"&lt;="&amp;$A35,WeeklyPicks!$C:$C,L$16)</f>
        <v>464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703</v>
      </c>
      <c r="D36">
        <f>SUMIFS(WeeklyPicks!$M:$M,WeeklyPicks!$A:$A,"&lt;="&amp;$A36,WeeklyPicks!$C:$C,D$16)</f>
        <v>685</v>
      </c>
      <c r="E36">
        <f>SUMIFS(WeeklyPicks!$M:$M,WeeklyPicks!$A:$A,"&lt;="&amp;$A36,WeeklyPicks!$C:$C,E$16)</f>
        <v>593</v>
      </c>
      <c r="F36">
        <f>SUMIFS(WeeklyPicks!$M:$M,WeeklyPicks!$A:$A,"&lt;="&amp;$A36,WeeklyPicks!$C:$C,F$16)</f>
        <v>687</v>
      </c>
      <c r="G36">
        <f>SUMIFS(WeeklyPicks!$M:$M,WeeklyPicks!$A:$A,"&lt;="&amp;$A36,WeeklyPicks!$C:$C,G$16)</f>
        <v>538</v>
      </c>
      <c r="H36">
        <f>SUMIFS(WeeklyPicks!$M:$M,WeeklyPicks!$A:$A,"&lt;="&amp;$A36,WeeklyPicks!$C:$C,H$16)</f>
        <v>497</v>
      </c>
      <c r="I36">
        <f>SUMIFS(WeeklyPicks!$M:$M,WeeklyPicks!$A:$A,"&lt;="&amp;$A36,WeeklyPicks!$C:$C,I$16)</f>
        <v>245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365</v>
      </c>
      <c r="L36">
        <f>SUMIFS(WeeklyPicks!$M:$M,WeeklyPicks!$A:$A,"&lt;="&amp;$A36,WeeklyPicks!$C:$C,L$16)</f>
        <v>464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703</v>
      </c>
      <c r="D37">
        <f>SUMIFS(WeeklyPicks!$M:$M,WeeklyPicks!$A:$A,"&lt;="&amp;$A37,WeeklyPicks!$C:$C,D$16)</f>
        <v>685</v>
      </c>
      <c r="E37">
        <f>SUMIFS(WeeklyPicks!$M:$M,WeeklyPicks!$A:$A,"&lt;="&amp;$A37,WeeklyPicks!$C:$C,E$16)</f>
        <v>593</v>
      </c>
      <c r="F37">
        <f>SUMIFS(WeeklyPicks!$M:$M,WeeklyPicks!$A:$A,"&lt;="&amp;$A37,WeeklyPicks!$C:$C,F$16)</f>
        <v>687</v>
      </c>
      <c r="G37">
        <f>SUMIFS(WeeklyPicks!$M:$M,WeeklyPicks!$A:$A,"&lt;="&amp;$A37,WeeklyPicks!$C:$C,G$16)</f>
        <v>538</v>
      </c>
      <c r="H37">
        <f>SUMIFS(WeeklyPicks!$M:$M,WeeklyPicks!$A:$A,"&lt;="&amp;$A37,WeeklyPicks!$C:$C,H$16)</f>
        <v>497</v>
      </c>
      <c r="I37">
        <f>SUMIFS(WeeklyPicks!$M:$M,WeeklyPicks!$A:$A,"&lt;="&amp;$A37,WeeklyPicks!$C:$C,I$16)</f>
        <v>245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365</v>
      </c>
      <c r="L37">
        <f>SUMIFS(WeeklyPicks!$M:$M,WeeklyPicks!$A:$A,"&lt;="&amp;$A37,WeeklyPicks!$C:$C,L$16)</f>
        <v>464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703</v>
      </c>
      <c r="D38">
        <f>SUMIFS(WeeklyPicks!$M:$M,WeeklyPicks!$A:$A,"&lt;="&amp;$A38,WeeklyPicks!$C:$C,D$16)</f>
        <v>685</v>
      </c>
      <c r="E38">
        <f>SUMIFS(WeeklyPicks!$M:$M,WeeklyPicks!$A:$A,"&lt;="&amp;$A38,WeeklyPicks!$C:$C,E$16)</f>
        <v>593</v>
      </c>
      <c r="F38">
        <f>SUMIFS(WeeklyPicks!$M:$M,WeeklyPicks!$A:$A,"&lt;="&amp;$A38,WeeklyPicks!$C:$C,F$16)</f>
        <v>687</v>
      </c>
      <c r="G38">
        <f>SUMIFS(WeeklyPicks!$M:$M,WeeklyPicks!$A:$A,"&lt;="&amp;$A38,WeeklyPicks!$C:$C,G$16)</f>
        <v>538</v>
      </c>
      <c r="H38">
        <f>SUMIFS(WeeklyPicks!$M:$M,WeeklyPicks!$A:$A,"&lt;="&amp;$A38,WeeklyPicks!$C:$C,H$16)</f>
        <v>497</v>
      </c>
      <c r="I38">
        <f>SUMIFS(WeeklyPicks!$M:$M,WeeklyPicks!$A:$A,"&lt;="&amp;$A38,WeeklyPicks!$C:$C,I$16)</f>
        <v>245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365</v>
      </c>
      <c r="L38">
        <f>SUMIFS(WeeklyPicks!$M:$M,WeeklyPicks!$A:$A,"&lt;="&amp;$A38,WeeklyPicks!$C:$C,L$16)</f>
        <v>464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703</v>
      </c>
      <c r="D39">
        <f>SUMIFS(WeeklyPicks!$M:$M,WeeklyPicks!$A:$A,"&lt;="&amp;$A39,WeeklyPicks!$C:$C,D$16)</f>
        <v>685</v>
      </c>
      <c r="E39">
        <f>SUMIFS(WeeklyPicks!$M:$M,WeeklyPicks!$A:$A,"&lt;="&amp;$A39,WeeklyPicks!$C:$C,E$16)</f>
        <v>593</v>
      </c>
      <c r="F39">
        <f>SUMIFS(WeeklyPicks!$M:$M,WeeklyPicks!$A:$A,"&lt;="&amp;$A39,WeeklyPicks!$C:$C,F$16)</f>
        <v>687</v>
      </c>
      <c r="G39">
        <f>SUMIFS(WeeklyPicks!$M:$M,WeeklyPicks!$A:$A,"&lt;="&amp;$A39,WeeklyPicks!$C:$C,G$16)</f>
        <v>538</v>
      </c>
      <c r="H39">
        <f>SUMIFS(WeeklyPicks!$M:$M,WeeklyPicks!$A:$A,"&lt;="&amp;$A39,WeeklyPicks!$C:$C,H$16)</f>
        <v>497</v>
      </c>
      <c r="I39">
        <f>SUMIFS(WeeklyPicks!$M:$M,WeeklyPicks!$A:$A,"&lt;="&amp;$A39,WeeklyPicks!$C:$C,I$16)</f>
        <v>245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365</v>
      </c>
      <c r="L39">
        <f>SUMIFS(WeeklyPicks!$M:$M,WeeklyPicks!$A:$A,"&lt;="&amp;$A39,WeeklyPicks!$C:$C,L$16)</f>
        <v>464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703</v>
      </c>
      <c r="D40">
        <f>SUMIFS(WeeklyPicks!$M:$M,WeeklyPicks!$A:$A,"&lt;="&amp;$A40,WeeklyPicks!$C:$C,D$16)</f>
        <v>685</v>
      </c>
      <c r="E40">
        <f>SUMIFS(WeeklyPicks!$M:$M,WeeklyPicks!$A:$A,"&lt;="&amp;$A40,WeeklyPicks!$C:$C,E$16)</f>
        <v>593</v>
      </c>
      <c r="F40">
        <f>SUMIFS(WeeklyPicks!$M:$M,WeeklyPicks!$A:$A,"&lt;="&amp;$A40,WeeklyPicks!$C:$C,F$16)</f>
        <v>687</v>
      </c>
      <c r="G40">
        <f>SUMIFS(WeeklyPicks!$M:$M,WeeklyPicks!$A:$A,"&lt;="&amp;$A40,WeeklyPicks!$C:$C,G$16)</f>
        <v>538</v>
      </c>
      <c r="H40">
        <f>SUMIFS(WeeklyPicks!$M:$M,WeeklyPicks!$A:$A,"&lt;="&amp;$A40,WeeklyPicks!$C:$C,H$16)</f>
        <v>497</v>
      </c>
      <c r="I40">
        <f>SUMIFS(WeeklyPicks!$M:$M,WeeklyPicks!$A:$A,"&lt;="&amp;$A40,WeeklyPicks!$C:$C,I$16)</f>
        <v>245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365</v>
      </c>
      <c r="L40">
        <f>SUMIFS(WeeklyPicks!$M:$M,WeeklyPicks!$A:$A,"&lt;="&amp;$A40,WeeklyPicks!$C:$C,L$16)</f>
        <v>464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703</v>
      </c>
      <c r="D41">
        <f>SUMIFS(WeeklyPicks!$M:$M,WeeklyPicks!$A:$A,"&lt;="&amp;$A41,WeeklyPicks!$C:$C,D$16)</f>
        <v>685</v>
      </c>
      <c r="E41">
        <f>SUMIFS(WeeklyPicks!$M:$M,WeeklyPicks!$A:$A,"&lt;="&amp;$A41,WeeklyPicks!$C:$C,E$16)</f>
        <v>593</v>
      </c>
      <c r="F41">
        <f>SUMIFS(WeeklyPicks!$M:$M,WeeklyPicks!$A:$A,"&lt;="&amp;$A41,WeeklyPicks!$C:$C,F$16)</f>
        <v>687</v>
      </c>
      <c r="G41">
        <f>SUMIFS(WeeklyPicks!$M:$M,WeeklyPicks!$A:$A,"&lt;="&amp;$A41,WeeklyPicks!$C:$C,G$16)</f>
        <v>538</v>
      </c>
      <c r="H41">
        <f>SUMIFS(WeeklyPicks!$M:$M,WeeklyPicks!$A:$A,"&lt;="&amp;$A41,WeeklyPicks!$C:$C,H$16)</f>
        <v>497</v>
      </c>
      <c r="I41">
        <f>SUMIFS(WeeklyPicks!$M:$M,WeeklyPicks!$A:$A,"&lt;="&amp;$A41,WeeklyPicks!$C:$C,I$16)</f>
        <v>245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365</v>
      </c>
      <c r="L41">
        <f>SUMIFS(WeeklyPicks!$M:$M,WeeklyPicks!$A:$A,"&lt;="&amp;$A41,WeeklyPicks!$C:$C,L$16)</f>
        <v>464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703</v>
      </c>
      <c r="D42">
        <f>SUMIFS(WeeklyPicks!$M:$M,WeeklyPicks!$A:$A,"&lt;="&amp;$A42,WeeklyPicks!$C:$C,D$16)</f>
        <v>685</v>
      </c>
      <c r="E42">
        <f>SUMIFS(WeeklyPicks!$M:$M,WeeklyPicks!$A:$A,"&lt;="&amp;$A42,WeeklyPicks!$C:$C,E$16)</f>
        <v>593</v>
      </c>
      <c r="F42">
        <f>SUMIFS(WeeklyPicks!$M:$M,WeeklyPicks!$A:$A,"&lt;="&amp;$A42,WeeklyPicks!$C:$C,F$16)</f>
        <v>687</v>
      </c>
      <c r="G42">
        <f>SUMIFS(WeeklyPicks!$M:$M,WeeklyPicks!$A:$A,"&lt;="&amp;$A42,WeeklyPicks!$C:$C,G$16)</f>
        <v>538</v>
      </c>
      <c r="H42">
        <f>SUMIFS(WeeklyPicks!$M:$M,WeeklyPicks!$A:$A,"&lt;="&amp;$A42,WeeklyPicks!$C:$C,H$16)</f>
        <v>497</v>
      </c>
      <c r="I42">
        <f>SUMIFS(WeeklyPicks!$M:$M,WeeklyPicks!$A:$A,"&lt;="&amp;$A42,WeeklyPicks!$C:$C,I$16)</f>
        <v>245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365</v>
      </c>
      <c r="L42">
        <f>SUMIFS(WeeklyPicks!$M:$M,WeeklyPicks!$A:$A,"&lt;="&amp;$A42,WeeklyPicks!$C:$C,L$16)</f>
        <v>464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703</v>
      </c>
      <c r="D43">
        <f>SUMIFS(WeeklyPicks!$M:$M,WeeklyPicks!$A:$A,"&lt;="&amp;$A43,WeeklyPicks!$C:$C,D$16)</f>
        <v>685</v>
      </c>
      <c r="E43">
        <f>SUMIFS(WeeklyPicks!$M:$M,WeeklyPicks!$A:$A,"&lt;="&amp;$A43,WeeklyPicks!$C:$C,E$16)</f>
        <v>593</v>
      </c>
      <c r="F43">
        <f>SUMIFS(WeeklyPicks!$M:$M,WeeklyPicks!$A:$A,"&lt;="&amp;$A43,WeeklyPicks!$C:$C,F$16)</f>
        <v>687</v>
      </c>
      <c r="G43">
        <f>SUMIFS(WeeklyPicks!$M:$M,WeeklyPicks!$A:$A,"&lt;="&amp;$A43,WeeklyPicks!$C:$C,G$16)</f>
        <v>538</v>
      </c>
      <c r="H43">
        <f>SUMIFS(WeeklyPicks!$M:$M,WeeklyPicks!$A:$A,"&lt;="&amp;$A43,WeeklyPicks!$C:$C,H$16)</f>
        <v>497</v>
      </c>
      <c r="I43">
        <f>SUMIFS(WeeklyPicks!$M:$M,WeeklyPicks!$A:$A,"&lt;="&amp;$A43,WeeklyPicks!$C:$C,I$16)</f>
        <v>245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365</v>
      </c>
      <c r="L43">
        <f>SUMIFS(WeeklyPicks!$M:$M,WeeklyPicks!$A:$A,"&lt;="&amp;$A43,WeeklyPicks!$C:$C,L$16)</f>
        <v>464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703</v>
      </c>
      <c r="D44">
        <f>SUMIFS(WeeklyPicks!$M:$M,WeeklyPicks!$A:$A,"&lt;="&amp;$A44,WeeklyPicks!$C:$C,D$16)</f>
        <v>685</v>
      </c>
      <c r="E44">
        <f>SUMIFS(WeeklyPicks!$M:$M,WeeklyPicks!$A:$A,"&lt;="&amp;$A44,WeeklyPicks!$C:$C,E$16)</f>
        <v>593</v>
      </c>
      <c r="F44">
        <f>SUMIFS(WeeklyPicks!$M:$M,WeeklyPicks!$A:$A,"&lt;="&amp;$A44,WeeklyPicks!$C:$C,F$16)</f>
        <v>687</v>
      </c>
      <c r="G44">
        <f>SUMIFS(WeeklyPicks!$M:$M,WeeklyPicks!$A:$A,"&lt;="&amp;$A44,WeeklyPicks!$C:$C,G$16)</f>
        <v>538</v>
      </c>
      <c r="H44">
        <f>SUMIFS(WeeklyPicks!$M:$M,WeeklyPicks!$A:$A,"&lt;="&amp;$A44,WeeklyPicks!$C:$C,H$16)</f>
        <v>497</v>
      </c>
      <c r="I44">
        <f>SUMIFS(WeeklyPicks!$M:$M,WeeklyPicks!$A:$A,"&lt;="&amp;$A44,WeeklyPicks!$C:$C,I$16)</f>
        <v>245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365</v>
      </c>
      <c r="L44">
        <f>SUMIFS(WeeklyPicks!$M:$M,WeeklyPicks!$A:$A,"&lt;="&amp;$A44,WeeklyPicks!$C:$C,L$16)</f>
        <v>464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703</v>
      </c>
      <c r="D45">
        <f>SUMIFS(WeeklyPicks!$M:$M,WeeklyPicks!$A:$A,"&lt;="&amp;$A45,WeeklyPicks!$C:$C,D$16)</f>
        <v>685</v>
      </c>
      <c r="E45">
        <f>SUMIFS(WeeklyPicks!$M:$M,WeeklyPicks!$A:$A,"&lt;="&amp;$A45,WeeklyPicks!$C:$C,E$16)</f>
        <v>593</v>
      </c>
      <c r="F45">
        <f>SUMIFS(WeeklyPicks!$M:$M,WeeklyPicks!$A:$A,"&lt;="&amp;$A45,WeeklyPicks!$C:$C,F$16)</f>
        <v>687</v>
      </c>
      <c r="G45">
        <f>SUMIFS(WeeklyPicks!$M:$M,WeeklyPicks!$A:$A,"&lt;="&amp;$A45,WeeklyPicks!$C:$C,G$16)</f>
        <v>538</v>
      </c>
      <c r="H45">
        <f>SUMIFS(WeeklyPicks!$M:$M,WeeklyPicks!$A:$A,"&lt;="&amp;$A45,WeeklyPicks!$C:$C,H$16)</f>
        <v>497</v>
      </c>
      <c r="I45">
        <f>SUMIFS(WeeklyPicks!$M:$M,WeeklyPicks!$A:$A,"&lt;="&amp;$A45,WeeklyPicks!$C:$C,I$16)</f>
        <v>245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365</v>
      </c>
      <c r="L45">
        <f>SUMIFS(WeeklyPicks!$M:$M,WeeklyPicks!$A:$A,"&lt;="&amp;$A45,WeeklyPicks!$C:$C,L$16)</f>
        <v>464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703</v>
      </c>
      <c r="D46">
        <f>SUMIFS(WeeklyPicks!$M:$M,WeeklyPicks!$A:$A,"&lt;="&amp;$A46,WeeklyPicks!$C:$C,D$16)</f>
        <v>685</v>
      </c>
      <c r="E46">
        <f>SUMIFS(WeeklyPicks!$M:$M,WeeklyPicks!$A:$A,"&lt;="&amp;$A46,WeeklyPicks!$C:$C,E$16)</f>
        <v>593</v>
      </c>
      <c r="F46">
        <f>SUMIFS(WeeklyPicks!$M:$M,WeeklyPicks!$A:$A,"&lt;="&amp;$A46,WeeklyPicks!$C:$C,F$16)</f>
        <v>687</v>
      </c>
      <c r="G46">
        <f>SUMIFS(WeeklyPicks!$M:$M,WeeklyPicks!$A:$A,"&lt;="&amp;$A46,WeeklyPicks!$C:$C,G$16)</f>
        <v>538</v>
      </c>
      <c r="H46">
        <f>SUMIFS(WeeklyPicks!$M:$M,WeeklyPicks!$A:$A,"&lt;="&amp;$A46,WeeklyPicks!$C:$C,H$16)</f>
        <v>497</v>
      </c>
      <c r="I46">
        <f>SUMIFS(WeeklyPicks!$M:$M,WeeklyPicks!$A:$A,"&lt;="&amp;$A46,WeeklyPicks!$C:$C,I$16)</f>
        <v>245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365</v>
      </c>
      <c r="L46">
        <f>SUMIFS(WeeklyPicks!$M:$M,WeeklyPicks!$A:$A,"&lt;="&amp;$A46,WeeklyPicks!$C:$C,L$16)</f>
        <v>464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703</v>
      </c>
      <c r="D47">
        <f>SUMIFS(WeeklyPicks!$M:$M,WeeklyPicks!$A:$A,"&lt;="&amp;$A47,WeeklyPicks!$C:$C,D$16)</f>
        <v>685</v>
      </c>
      <c r="E47">
        <f>SUMIFS(WeeklyPicks!$M:$M,WeeklyPicks!$A:$A,"&lt;="&amp;$A47,WeeklyPicks!$C:$C,E$16)</f>
        <v>593</v>
      </c>
      <c r="F47">
        <f>SUMIFS(WeeklyPicks!$M:$M,WeeklyPicks!$A:$A,"&lt;="&amp;$A47,WeeklyPicks!$C:$C,F$16)</f>
        <v>687</v>
      </c>
      <c r="G47">
        <f>SUMIFS(WeeklyPicks!$M:$M,WeeklyPicks!$A:$A,"&lt;="&amp;$A47,WeeklyPicks!$C:$C,G$16)</f>
        <v>538</v>
      </c>
      <c r="H47">
        <f>SUMIFS(WeeklyPicks!$M:$M,WeeklyPicks!$A:$A,"&lt;="&amp;$A47,WeeklyPicks!$C:$C,H$16)</f>
        <v>497</v>
      </c>
      <c r="I47">
        <f>SUMIFS(WeeklyPicks!$M:$M,WeeklyPicks!$A:$A,"&lt;="&amp;$A47,WeeklyPicks!$C:$C,I$16)</f>
        <v>245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365</v>
      </c>
      <c r="L47">
        <f>SUMIFS(WeeklyPicks!$M:$M,WeeklyPicks!$A:$A,"&lt;="&amp;$A47,WeeklyPicks!$C:$C,L$16)</f>
        <v>464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703</v>
      </c>
      <c r="D48">
        <f>SUMIFS(WeeklyPicks!$M:$M,WeeklyPicks!$A:$A,"&lt;="&amp;$A48,WeeklyPicks!$C:$C,D$16)</f>
        <v>685</v>
      </c>
      <c r="E48">
        <f>SUMIFS(WeeklyPicks!$M:$M,WeeklyPicks!$A:$A,"&lt;="&amp;$A48,WeeklyPicks!$C:$C,E$16)</f>
        <v>593</v>
      </c>
      <c r="F48">
        <f>SUMIFS(WeeklyPicks!$M:$M,WeeklyPicks!$A:$A,"&lt;="&amp;$A48,WeeklyPicks!$C:$C,F$16)</f>
        <v>687</v>
      </c>
      <c r="G48">
        <f>SUMIFS(WeeklyPicks!$M:$M,WeeklyPicks!$A:$A,"&lt;="&amp;$A48,WeeklyPicks!$C:$C,G$16)</f>
        <v>538</v>
      </c>
      <c r="H48">
        <f>SUMIFS(WeeklyPicks!$M:$M,WeeklyPicks!$A:$A,"&lt;="&amp;$A48,WeeklyPicks!$C:$C,H$16)</f>
        <v>497</v>
      </c>
      <c r="I48">
        <f>SUMIFS(WeeklyPicks!$M:$M,WeeklyPicks!$A:$A,"&lt;="&amp;$A48,WeeklyPicks!$C:$C,I$16)</f>
        <v>245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365</v>
      </c>
      <c r="L48">
        <f>SUMIFS(WeeklyPicks!$M:$M,WeeklyPicks!$A:$A,"&lt;="&amp;$A48,WeeklyPicks!$C:$C,L$16)</f>
        <v>464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703</v>
      </c>
      <c r="D49">
        <f>SUMIFS(WeeklyPicks!$M:$M,WeeklyPicks!$A:$A,"&lt;="&amp;$A49,WeeklyPicks!$C:$C,D$16)</f>
        <v>685</v>
      </c>
      <c r="E49">
        <f>SUMIFS(WeeklyPicks!$M:$M,WeeklyPicks!$A:$A,"&lt;="&amp;$A49,WeeklyPicks!$C:$C,E$16)</f>
        <v>593</v>
      </c>
      <c r="F49">
        <f>SUMIFS(WeeklyPicks!$M:$M,WeeklyPicks!$A:$A,"&lt;="&amp;$A49,WeeklyPicks!$C:$C,F$16)</f>
        <v>687</v>
      </c>
      <c r="G49">
        <f>SUMIFS(WeeklyPicks!$M:$M,WeeklyPicks!$A:$A,"&lt;="&amp;$A49,WeeklyPicks!$C:$C,G$16)</f>
        <v>538</v>
      </c>
      <c r="H49">
        <f>SUMIFS(WeeklyPicks!$M:$M,WeeklyPicks!$A:$A,"&lt;="&amp;$A49,WeeklyPicks!$C:$C,H$16)</f>
        <v>497</v>
      </c>
      <c r="I49">
        <f>SUMIFS(WeeklyPicks!$M:$M,WeeklyPicks!$A:$A,"&lt;="&amp;$A49,WeeklyPicks!$C:$C,I$16)</f>
        <v>245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365</v>
      </c>
      <c r="L49">
        <f>SUMIFS(WeeklyPicks!$M:$M,WeeklyPicks!$A:$A,"&lt;="&amp;$A49,WeeklyPicks!$C:$C,L$16)</f>
        <v>464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703</v>
      </c>
      <c r="D50">
        <f>SUMIFS(WeeklyPicks!$M:$M,WeeklyPicks!$A:$A,"&lt;="&amp;$A50,WeeklyPicks!$C:$C,D$16)</f>
        <v>685</v>
      </c>
      <c r="E50">
        <f>SUMIFS(WeeklyPicks!$M:$M,WeeklyPicks!$A:$A,"&lt;="&amp;$A50,WeeklyPicks!$C:$C,E$16)</f>
        <v>593</v>
      </c>
      <c r="F50">
        <f>SUMIFS(WeeklyPicks!$M:$M,WeeklyPicks!$A:$A,"&lt;="&amp;$A50,WeeklyPicks!$C:$C,F$16)</f>
        <v>687</v>
      </c>
      <c r="G50">
        <f>SUMIFS(WeeklyPicks!$M:$M,WeeklyPicks!$A:$A,"&lt;="&amp;$A50,WeeklyPicks!$C:$C,G$16)</f>
        <v>538</v>
      </c>
      <c r="H50">
        <f>SUMIFS(WeeklyPicks!$M:$M,WeeklyPicks!$A:$A,"&lt;="&amp;$A50,WeeklyPicks!$C:$C,H$16)</f>
        <v>497</v>
      </c>
      <c r="I50">
        <f>SUMIFS(WeeklyPicks!$M:$M,WeeklyPicks!$A:$A,"&lt;="&amp;$A50,WeeklyPicks!$C:$C,I$16)</f>
        <v>245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365</v>
      </c>
      <c r="L50">
        <f>SUMIFS(WeeklyPicks!$M:$M,WeeklyPicks!$A:$A,"&lt;="&amp;$A50,WeeklyPicks!$C:$C,L$16)</f>
        <v>464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703</v>
      </c>
      <c r="D51">
        <f>SUMIFS(WeeklyPicks!$M:$M,WeeklyPicks!$A:$A,"&lt;="&amp;$A51,WeeklyPicks!$C:$C,D$16)</f>
        <v>685</v>
      </c>
      <c r="E51">
        <f>SUMIFS(WeeklyPicks!$M:$M,WeeklyPicks!$A:$A,"&lt;="&amp;$A51,WeeklyPicks!$C:$C,E$16)</f>
        <v>593</v>
      </c>
      <c r="F51">
        <f>SUMIFS(WeeklyPicks!$M:$M,WeeklyPicks!$A:$A,"&lt;="&amp;$A51,WeeklyPicks!$C:$C,F$16)</f>
        <v>687</v>
      </c>
      <c r="G51">
        <f>SUMIFS(WeeklyPicks!$M:$M,WeeklyPicks!$A:$A,"&lt;="&amp;$A51,WeeklyPicks!$C:$C,G$16)</f>
        <v>538</v>
      </c>
      <c r="H51">
        <f>SUMIFS(WeeklyPicks!$M:$M,WeeklyPicks!$A:$A,"&lt;="&amp;$A51,WeeklyPicks!$C:$C,H$16)</f>
        <v>497</v>
      </c>
      <c r="I51">
        <f>SUMIFS(WeeklyPicks!$M:$M,WeeklyPicks!$A:$A,"&lt;="&amp;$A51,WeeklyPicks!$C:$C,I$16)</f>
        <v>245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365</v>
      </c>
      <c r="L51">
        <f>SUMIFS(WeeklyPicks!$M:$M,WeeklyPicks!$A:$A,"&lt;="&amp;$A51,WeeklyPicks!$C:$C,L$16)</f>
        <v>464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703</v>
      </c>
      <c r="D52">
        <f>SUMIFS(WeeklyPicks!$M:$M,WeeklyPicks!$A:$A,"&lt;="&amp;$A52,WeeklyPicks!$C:$C,D$16)</f>
        <v>685</v>
      </c>
      <c r="E52">
        <f>SUMIFS(WeeklyPicks!$M:$M,WeeklyPicks!$A:$A,"&lt;="&amp;$A52,WeeklyPicks!$C:$C,E$16)</f>
        <v>593</v>
      </c>
      <c r="F52">
        <f>SUMIFS(WeeklyPicks!$M:$M,WeeklyPicks!$A:$A,"&lt;="&amp;$A52,WeeklyPicks!$C:$C,F$16)</f>
        <v>687</v>
      </c>
      <c r="G52">
        <f>SUMIFS(WeeklyPicks!$M:$M,WeeklyPicks!$A:$A,"&lt;="&amp;$A52,WeeklyPicks!$C:$C,G$16)</f>
        <v>538</v>
      </c>
      <c r="H52">
        <f>SUMIFS(WeeklyPicks!$M:$M,WeeklyPicks!$A:$A,"&lt;="&amp;$A52,WeeklyPicks!$C:$C,H$16)</f>
        <v>497</v>
      </c>
      <c r="I52">
        <f>SUMIFS(WeeklyPicks!$M:$M,WeeklyPicks!$A:$A,"&lt;="&amp;$A52,WeeklyPicks!$C:$C,I$16)</f>
        <v>245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365</v>
      </c>
      <c r="L52">
        <f>SUMIFS(WeeklyPicks!$M:$M,WeeklyPicks!$A:$A,"&lt;="&amp;$A52,WeeklyPicks!$C:$C,L$16)</f>
        <v>464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1</v>
      </c>
      <c r="B5" s="16" t="str">
        <f>Dashboard!B4</f>
        <v>Pat</v>
      </c>
      <c r="C5" s="16">
        <f>Dashboard!C4</f>
        <v>703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685</v>
      </c>
      <c r="D6" s="16">
        <f>Dashboard!D5</f>
        <v>2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593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687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538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497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245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365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464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2026-05-03T12:49:54Z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