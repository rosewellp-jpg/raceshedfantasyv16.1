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26" documentId="8_{64ED620B-E9CD-47B3-A172-B982AAA909D5}" xr6:coauthVersionLast="47" xr6:coauthVersionMax="47" xr10:uidLastSave="{E8E883EA-AAE6-4FF6-9976-7711488DC166}"/>
  <bookViews>
    <workbookView xWindow="19420" yWindow="600" windowWidth="17280" windowHeight="888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C23" i="10" s="1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M51" i="5" l="1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L34" i="11"/>
  <c r="D37" i="6"/>
  <c r="G26" i="11"/>
  <c r="D22" i="11"/>
  <c r="G17" i="11"/>
  <c r="D20" i="11"/>
  <c r="D19" i="11"/>
  <c r="C2" i="6"/>
  <c r="G19" i="11"/>
  <c r="C14" i="6"/>
  <c r="G27" i="11"/>
  <c r="C3" i="6"/>
  <c r="D18" i="11"/>
  <c r="D17" i="6"/>
  <c r="H19" i="11"/>
  <c r="L33" i="11"/>
  <c r="H19" i="6"/>
  <c r="I19" i="6" s="1"/>
  <c r="C21" i="6"/>
  <c r="K43" i="11"/>
  <c r="D25" i="6"/>
  <c r="D35" i="6"/>
  <c r="C17" i="6"/>
  <c r="G24" i="11"/>
  <c r="J19" i="11"/>
  <c r="C29" i="6"/>
  <c r="E18" i="11"/>
  <c r="C46" i="10"/>
  <c r="G16" i="6"/>
  <c r="D3" i="6"/>
  <c r="D19" i="6"/>
  <c r="G35" i="11"/>
  <c r="D2" i="6"/>
  <c r="G29" i="11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G33" i="11"/>
  <c r="H50" i="11"/>
  <c r="D27" i="6"/>
  <c r="C16" i="6"/>
  <c r="D24" i="11"/>
  <c r="D21" i="11"/>
  <c r="C37" i="6"/>
  <c r="C12" i="10"/>
  <c r="H29" i="11"/>
  <c r="C33" i="6"/>
  <c r="D44" i="11"/>
  <c r="L23" i="11"/>
  <c r="D18" i="6"/>
  <c r="D15" i="6"/>
  <c r="C10" i="6"/>
  <c r="D31" i="6"/>
  <c r="G32" i="11"/>
  <c r="J37" i="11"/>
  <c r="G38" i="11"/>
  <c r="G34" i="11"/>
  <c r="G44" i="11"/>
  <c r="G47" i="11"/>
  <c r="D30" i="11"/>
  <c r="D36" i="11"/>
  <c r="D50" i="11"/>
  <c r="L24" i="11"/>
  <c r="G43" i="11"/>
  <c r="K23" i="11"/>
  <c r="L28" i="11"/>
  <c r="H25" i="11"/>
  <c r="L30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L27" i="11"/>
  <c r="C25" i="6"/>
  <c r="H42" i="11"/>
  <c r="G42" i="11"/>
  <c r="G46" i="11"/>
  <c r="K52" i="11"/>
  <c r="G49" i="11"/>
  <c r="H22" i="11"/>
  <c r="D29" i="11"/>
  <c r="D21" i="6"/>
  <c r="L29" i="11"/>
  <c r="G37" i="11"/>
  <c r="H17" i="6"/>
  <c r="I17" i="6" s="1"/>
  <c r="D20" i="6"/>
  <c r="D30" i="6"/>
  <c r="H36" i="11"/>
  <c r="D13" i="6"/>
  <c r="K25" i="11"/>
  <c r="G48" i="11"/>
  <c r="C6" i="6"/>
  <c r="E2" i="12" s="1"/>
  <c r="C12" i="11"/>
  <c r="C13" i="12" s="1"/>
  <c r="H28" i="11"/>
  <c r="C18" i="6"/>
  <c r="L26" i="11"/>
  <c r="L35" i="11"/>
  <c r="C13" i="6"/>
  <c r="D23" i="6"/>
  <c r="H30" i="11"/>
  <c r="G15" i="6"/>
  <c r="J46" i="11"/>
  <c r="D6" i="6"/>
  <c r="J6" i="11" s="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41" i="11" s="1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C37" i="11"/>
  <c r="K26" i="11"/>
  <c r="C9" i="11"/>
  <c r="H45" i="11"/>
  <c r="D35" i="11"/>
  <c r="D27" i="11"/>
  <c r="D25" i="11"/>
  <c r="C30" i="6"/>
  <c r="J20" i="11"/>
  <c r="J47" i="11"/>
  <c r="L39" i="11"/>
  <c r="L37" i="11"/>
  <c r="C35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C39" i="11"/>
  <c r="H12" i="6"/>
  <c r="I12" i="6" s="1"/>
  <c r="G12" i="6"/>
  <c r="C36" i="11"/>
  <c r="G52" i="11"/>
  <c r="C52" i="11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C20" i="11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C26" i="11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C38" i="11"/>
  <c r="K28" i="11"/>
  <c r="E12" i="11"/>
  <c r="K48" i="11"/>
  <c r="H46" i="11"/>
  <c r="J27" i="11"/>
  <c r="D28" i="11"/>
  <c r="C23" i="6"/>
  <c r="J50" i="11"/>
  <c r="J48" i="11"/>
  <c r="J40" i="11"/>
  <c r="D11" i="6"/>
  <c r="C47" i="11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G50" i="11"/>
  <c r="K34" i="11"/>
  <c r="H52" i="11"/>
  <c r="D34" i="11"/>
  <c r="D26" i="11"/>
  <c r="H47" i="11"/>
  <c r="C11" i="11"/>
  <c r="L38" i="11"/>
  <c r="K39" i="11"/>
  <c r="C8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C29" i="11"/>
  <c r="J45" i="11"/>
  <c r="J33" i="11"/>
  <c r="J39" i="11"/>
  <c r="E8" i="11"/>
  <c r="C50" i="11"/>
  <c r="K40" i="11"/>
  <c r="E9" i="11"/>
  <c r="D40" i="11"/>
  <c r="D32" i="11"/>
  <c r="J25" i="11"/>
  <c r="J52" i="11"/>
  <c r="C8" i="6"/>
  <c r="L44" i="11"/>
  <c r="D48" i="11"/>
  <c r="G51" i="11" l="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<sst xmlns="http://schemas.openxmlformats.org/spreadsheetml/2006/main" count="8285" uniqueCount="159">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</sst>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0</c:v>
                </c:pt>
                <c:pt idx="1">
                  <c:v>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276</c:v>
                </c:pt>
                <c:pt idx="11">
                  <c:v>276</c:v>
                </c:pt>
                <c:pt idx="12">
                  <c:v>276</c:v>
                </c:pt>
                <c:pt idx="13">
                  <c:v>276</c:v>
                </c:pt>
                <c:pt idx="14">
                  <c:v>276</c:v>
                </c:pt>
                <c:pt idx="15">
                  <c:v>276</c:v>
                </c:pt>
                <c:pt idx="16">
                  <c:v>276</c:v>
                </c:pt>
                <c:pt idx="17">
                  <c:v>276</c:v>
                </c:pt>
                <c:pt idx="18">
                  <c:v>276</c:v>
                </c:pt>
                <c:pt idx="19">
                  <c:v>276</c:v>
                </c:pt>
                <c:pt idx="20">
                  <c:v>276</c:v>
                </c:pt>
                <c:pt idx="21">
                  <c:v>276</c:v>
                </c:pt>
                <c:pt idx="22">
                  <c:v>276</c:v>
                </c:pt>
                <c:pt idx="23">
                  <c:v>276</c:v>
                </c:pt>
                <c:pt idx="24">
                  <c:v>276</c:v>
                </c:pt>
                <c:pt idx="25">
                  <c:v>276</c:v>
                </c:pt>
                <c:pt idx="26">
                  <c:v>276</c:v>
                </c:pt>
                <c:pt idx="27">
                  <c:v>276</c:v>
                </c:pt>
                <c:pt idx="28">
                  <c:v>276</c:v>
                </c:pt>
                <c:pt idx="29">
                  <c:v>276</c:v>
                </c:pt>
                <c:pt idx="30">
                  <c:v>276</c:v>
                </c:pt>
                <c:pt idx="31">
                  <c:v>276</c:v>
                </c:pt>
                <c:pt idx="32">
                  <c:v>276</c:v>
                </c:pt>
                <c:pt idx="33">
                  <c:v>276</c:v>
                </c:pt>
                <c:pt idx="34">
                  <c:v>276</c:v>
                </c:pt>
                <c:pt idx="35">
                  <c:v>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293</c:v>
                </c:pt>
                <c:pt idx="11">
                  <c:v>293</c:v>
                </c:pt>
                <c:pt idx="12">
                  <c:v>293</c:v>
                </c:pt>
                <c:pt idx="13">
                  <c:v>293</c:v>
                </c:pt>
                <c:pt idx="14">
                  <c:v>293</c:v>
                </c:pt>
                <c:pt idx="15">
                  <c:v>293</c:v>
                </c:pt>
                <c:pt idx="16">
                  <c:v>293</c:v>
                </c:pt>
                <c:pt idx="17">
                  <c:v>293</c:v>
                </c:pt>
                <c:pt idx="18">
                  <c:v>293</c:v>
                </c:pt>
                <c:pt idx="19">
                  <c:v>293</c:v>
                </c:pt>
                <c:pt idx="20">
                  <c:v>293</c:v>
                </c:pt>
                <c:pt idx="21">
                  <c:v>293</c:v>
                </c:pt>
                <c:pt idx="22">
                  <c:v>293</c:v>
                </c:pt>
                <c:pt idx="23">
                  <c:v>293</c:v>
                </c:pt>
                <c:pt idx="24">
                  <c:v>293</c:v>
                </c:pt>
                <c:pt idx="25">
                  <c:v>293</c:v>
                </c:pt>
                <c:pt idx="26">
                  <c:v>293</c:v>
                </c:pt>
                <c:pt idx="27">
                  <c:v>293</c:v>
                </c:pt>
                <c:pt idx="28">
                  <c:v>293</c:v>
                </c:pt>
                <c:pt idx="29">
                  <c:v>293</c:v>
                </c:pt>
                <c:pt idx="30">
                  <c:v>293</c:v>
                </c:pt>
                <c:pt idx="31">
                  <c:v>293</c:v>
                </c:pt>
                <c:pt idx="32">
                  <c:v>293</c:v>
                </c:pt>
                <c:pt idx="33">
                  <c:v>293</c:v>
                </c:pt>
                <c:pt idx="34">
                  <c:v>293</c:v>
                </c:pt>
                <c:pt idx="35">
                  <c:v>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0</c:v>
                </c:pt>
                <c:pt idx="1">
                  <c:v>2.2777777777777777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195</c:v>
                </c:pt>
                <c:pt idx="11">
                  <c:v>195</c:v>
                </c:pt>
                <c:pt idx="12">
                  <c:v>195</c:v>
                </c:pt>
                <c:pt idx="13">
                  <c:v>195</c:v>
                </c:pt>
                <c:pt idx="14">
                  <c:v>195</c:v>
                </c:pt>
                <c:pt idx="15">
                  <c:v>195</c:v>
                </c:pt>
                <c:pt idx="16">
                  <c:v>195</c:v>
                </c:pt>
                <c:pt idx="17">
                  <c:v>195</c:v>
                </c:pt>
                <c:pt idx="18">
                  <c:v>195</c:v>
                </c:pt>
                <c:pt idx="19">
                  <c:v>195</c:v>
                </c:pt>
                <c:pt idx="20">
                  <c:v>195</c:v>
                </c:pt>
                <c:pt idx="21">
                  <c:v>195</c:v>
                </c:pt>
                <c:pt idx="22">
                  <c:v>195</c:v>
                </c:pt>
                <c:pt idx="23">
                  <c:v>195</c:v>
                </c:pt>
                <c:pt idx="24">
                  <c:v>195</c:v>
                </c:pt>
                <c:pt idx="25">
                  <c:v>195</c:v>
                </c:pt>
                <c:pt idx="26">
                  <c:v>195</c:v>
                </c:pt>
                <c:pt idx="27">
                  <c:v>195</c:v>
                </c:pt>
                <c:pt idx="28">
                  <c:v>195</c:v>
                </c:pt>
                <c:pt idx="29">
                  <c:v>195</c:v>
                </c:pt>
                <c:pt idx="30">
                  <c:v>195</c:v>
                </c:pt>
                <c:pt idx="31">
                  <c:v>195</c:v>
                </c:pt>
                <c:pt idx="32">
                  <c:v>195</c:v>
                </c:pt>
                <c:pt idx="33">
                  <c:v>195</c:v>
                </c:pt>
                <c:pt idx="34">
                  <c:v>195</c:v>
                </c:pt>
                <c:pt idx="35">
                  <c:v>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261</c:v>
                </c:pt>
                <c:pt idx="11">
                  <c:v>261</c:v>
                </c:pt>
                <c:pt idx="12">
                  <c:v>261</c:v>
                </c:pt>
                <c:pt idx="13">
                  <c:v>261</c:v>
                </c:pt>
                <c:pt idx="14">
                  <c:v>261</c:v>
                </c:pt>
                <c:pt idx="15">
                  <c:v>261</c:v>
                </c:pt>
                <c:pt idx="16">
                  <c:v>261</c:v>
                </c:pt>
                <c:pt idx="17">
                  <c:v>261</c:v>
                </c:pt>
                <c:pt idx="18">
                  <c:v>261</c:v>
                </c:pt>
                <c:pt idx="19">
                  <c:v>261</c:v>
                </c:pt>
                <c:pt idx="20">
                  <c:v>261</c:v>
                </c:pt>
                <c:pt idx="21">
                  <c:v>261</c:v>
                </c:pt>
                <c:pt idx="22">
                  <c:v>261</c:v>
                </c:pt>
                <c:pt idx="23">
                  <c:v>261</c:v>
                </c:pt>
                <c:pt idx="24">
                  <c:v>261</c:v>
                </c:pt>
                <c:pt idx="25">
                  <c:v>261</c:v>
                </c:pt>
                <c:pt idx="26">
                  <c:v>261</c:v>
                </c:pt>
                <c:pt idx="27">
                  <c:v>261</c:v>
                </c:pt>
                <c:pt idx="28">
                  <c:v>261</c:v>
                </c:pt>
                <c:pt idx="29">
                  <c:v>261</c:v>
                </c:pt>
                <c:pt idx="30">
                  <c:v>261</c:v>
                </c:pt>
                <c:pt idx="31">
                  <c:v>261</c:v>
                </c:pt>
                <c:pt idx="32">
                  <c:v>261</c:v>
                </c:pt>
                <c:pt idx="33">
                  <c:v>261</c:v>
                </c:pt>
                <c:pt idx="34">
                  <c:v>261</c:v>
                </c:pt>
                <c:pt idx="35">
                  <c:v>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50" activePane="bottomLeft" state="frozen"/>
      <selection pane="bottomLeft" activeCell="G62" sqref="G62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0</v>
      </c>
      <c r="H52" s="11">
        <f>IF(E52="","",SUMIFS(RaceResults!$C:$C,RaceResults!$A:$A,$A52,RaceResults!$D:$D,E52))</f>
        <v>0</v>
      </c>
      <c r="I52" s="11">
        <f>IF(F52="","",SUMIFS(RaceResults!$C:$C,RaceResults!$A:$A,$A52,RaceResults!$D:$D,F52))</f>
        <v>0</v>
      </c>
      <c r="J52" s="11">
        <f>IF(D52="","",SUMIFS(RaceResults!$E:$E,RaceResults!$A:$A,$A52,RaceResults!$D:$D,D52))</f>
        <v>0</v>
      </c>
      <c r="K52" s="11">
        <f>IF(E52="","",SUMIFS(RaceResults!$E:$E,RaceResults!$A:$A,$A52,RaceResults!$D:$D,E52))</f>
        <v>0</v>
      </c>
      <c r="L52" s="11">
        <f>IF(F52="","",SUMIFS(RaceResults!$E:$E,RaceResults!$A:$A,$A52,RaceResults!$D:$D,F52))</f>
        <v>0</v>
      </c>
      <c r="M52" s="11">
        <f t="shared" si="0"/>
        <v>0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0</v>
      </c>
      <c r="H53" s="11">
        <f>IF(E53="","",SUMIFS(RaceResults!$C:$C,RaceResults!$A:$A,$A53,RaceResults!$D:$D,E53))</f>
        <v>0</v>
      </c>
      <c r="I53" s="11">
        <f>IF(F53="","",SUMIFS(RaceResults!$C:$C,RaceResults!$A:$A,$A53,RaceResults!$D:$D,F53))</f>
        <v>0</v>
      </c>
      <c r="J53" s="11">
        <f>IF(D53="","",SUMIFS(RaceResults!$E:$E,RaceResults!$A:$A,$A53,RaceResults!$D:$D,D53))</f>
        <v>0</v>
      </c>
      <c r="K53" s="11">
        <f>IF(E53="","",SUMIFS(RaceResults!$E:$E,RaceResults!$A:$A,$A53,RaceResults!$D:$D,E53))</f>
        <v>0</v>
      </c>
      <c r="L53" s="11">
        <f>IF(F53="","",SUMIFS(RaceResults!$E:$E,RaceResults!$A:$A,$A53,RaceResults!$D:$D,F53))</f>
        <v>0</v>
      </c>
      <c r="M53" s="11">
        <f t="shared" si="0"/>
        <v>0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0</v>
      </c>
      <c r="H54" s="11">
        <f>IF(E54="","",SUMIFS(RaceResults!$C:$C,RaceResults!$A:$A,$A54,RaceResults!$D:$D,E54))</f>
        <v>0</v>
      </c>
      <c r="I54" s="11">
        <f>IF(F54="","",SUMIFS(RaceResults!$C:$C,RaceResults!$A:$A,$A54,RaceResults!$D:$D,F54))</f>
        <v>0</v>
      </c>
      <c r="J54" s="11">
        <f>IF(D54="","",SUMIFS(RaceResults!$E:$E,RaceResults!$A:$A,$A54,RaceResults!$D:$D,D54))</f>
        <v>0</v>
      </c>
      <c r="K54" s="11">
        <f>IF(E54="","",SUMIFS(RaceResults!$E:$E,RaceResults!$A:$A,$A54,RaceResults!$D:$D,E54))</f>
        <v>0</v>
      </c>
      <c r="L54" s="11">
        <f>IF(F54="","",SUMIFS(RaceResults!$E:$E,RaceResults!$A:$A,$A54,RaceResults!$D:$D,F54))</f>
        <v>0</v>
      </c>
      <c r="M54" s="11">
        <f t="shared" si="0"/>
        <v>0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0</v>
      </c>
      <c r="H55" s="11">
        <f>IF(E55="","",SUMIFS(RaceResults!$C:$C,RaceResults!$A:$A,$A55,RaceResults!$D:$D,E55))</f>
        <v>0</v>
      </c>
      <c r="I55" s="11">
        <f>IF(F55="","",SUMIFS(RaceResults!$C:$C,RaceResults!$A:$A,$A55,RaceResults!$D:$D,F55))</f>
        <v>0</v>
      </c>
      <c r="J55" s="11">
        <f>IF(D55="","",SUMIFS(RaceResults!$E:$E,RaceResults!$A:$A,$A55,RaceResults!$D:$D,D55))</f>
        <v>0</v>
      </c>
      <c r="K55" s="11">
        <f>IF(E55="","",SUMIFS(RaceResults!$E:$E,RaceResults!$A:$A,$A55,RaceResults!$D:$D,E55))</f>
        <v>0</v>
      </c>
      <c r="L55" s="11">
        <f>IF(F55="","",SUMIFS(RaceResults!$E:$E,RaceResults!$A:$A,$A55,RaceResults!$D:$D,F55))</f>
        <v>0</v>
      </c>
      <c r="M55" s="11">
        <f t="shared" si="0"/>
        <v>0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0</v>
      </c>
      <c r="H56" s="11">
        <f>IF(E56="","",SUMIFS(RaceResults!$C:$C,RaceResults!$A:$A,$A56,RaceResults!$D:$D,E56))</f>
        <v>0</v>
      </c>
      <c r="I56" s="11">
        <f>IF(F56="","",SUMIFS(RaceResults!$C:$C,RaceResults!$A:$A,$A56,RaceResults!$D:$D,F56))</f>
        <v>0</v>
      </c>
      <c r="J56" s="11">
        <f>IF(D56="","",SUMIFS(RaceResults!$E:$E,RaceResults!$A:$A,$A56,RaceResults!$D:$D,D56))</f>
        <v>0</v>
      </c>
      <c r="K56" s="11">
        <f>IF(E56="","",SUMIFS(RaceResults!$E:$E,RaceResults!$A:$A,$A56,RaceResults!$D:$D,E56))</f>
        <v>0</v>
      </c>
      <c r="L56" s="11">
        <f>IF(F56="","",SUMIFS(RaceResults!$E:$E,RaceResults!$A:$A,$A56,RaceResults!$D:$D,F56))</f>
        <v>0</v>
      </c>
      <c r="M56" s="11">
        <f t="shared" si="0"/>
        <v>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0</v>
      </c>
      <c r="H57" s="11">
        <f>IF(E57="","",SUMIFS(RaceResults!$C:$C,RaceResults!$A:$A,$A57,RaceResults!$D:$D,E57))</f>
        <v>0</v>
      </c>
      <c r="I57" s="11">
        <f>IF(F57="","",SUMIFS(RaceResults!$C:$C,RaceResults!$A:$A,$A57,RaceResults!$D:$D,F57))</f>
        <v>0</v>
      </c>
      <c r="J57" s="11">
        <f>IF(D57="","",SUMIFS(RaceResults!$E:$E,RaceResults!$A:$A,$A57,RaceResults!$D:$D,D57))</f>
        <v>0</v>
      </c>
      <c r="K57" s="11">
        <f>IF(E57="","",SUMIFS(RaceResults!$E:$E,RaceResults!$A:$A,$A57,RaceResults!$D:$D,E57))</f>
        <v>0</v>
      </c>
      <c r="L57" s="11">
        <f>IF(F57="","",SUMIFS(RaceResults!$E:$E,RaceResults!$A:$A,$A57,RaceResults!$D:$D,F57))</f>
        <v>0</v>
      </c>
      <c r="M57" s="11">
        <f t="shared" si="0"/>
        <v>0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0</v>
      </c>
      <c r="H60" s="11">
        <f>IF(E60="","",SUMIFS(RaceResults!$C:$C,RaceResults!$A:$A,$A60,RaceResults!$D:$D,E60))</f>
        <v>0</v>
      </c>
      <c r="I60" s="11">
        <f>IF(F60="","",SUMIFS(RaceResults!$C:$C,RaceResults!$A:$A,$A60,RaceResults!$D:$D,F60))</f>
        <v>0</v>
      </c>
      <c r="J60" s="11">
        <f>IF(D60="","",SUMIFS(RaceResults!$E:$E,RaceResults!$A:$A,$A60,RaceResults!$D:$D,D60))</f>
        <v>0</v>
      </c>
      <c r="K60" s="11">
        <f>IF(E60="","",SUMIFS(RaceResults!$E:$E,RaceResults!$A:$A,$A60,RaceResults!$D:$D,E60))</f>
        <v>0</v>
      </c>
      <c r="L60" s="11">
        <f>IF(F60="","",SUMIFS(RaceResults!$E:$E,RaceResults!$A:$A,$A60,RaceResults!$D:$D,F60))</f>
        <v>0</v>
      </c>
      <c r="M60" s="11">
        <f t="shared" si="0"/>
        <v>0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0</v>
      </c>
      <c r="H61" s="11">
        <f>IF(E61="","",SUMIFS(RaceResults!$C:$C,RaceResults!$A:$A,$A61,RaceResults!$D:$D,E61))</f>
        <v>0</v>
      </c>
      <c r="I61" s="11">
        <f>IF(F61="","",SUMIFS(RaceResults!$C:$C,RaceResults!$A:$A,$A61,RaceResults!$D:$D,F61))</f>
        <v>0</v>
      </c>
      <c r="J61" s="11">
        <f>IF(D61="","",SUMIFS(RaceResults!$E:$E,RaceResults!$A:$A,$A61,RaceResults!$D:$D,D61))</f>
        <v>0</v>
      </c>
      <c r="K61" s="11">
        <f>IF(E61="","",SUMIFS(RaceResults!$E:$E,RaceResults!$A:$A,$A61,RaceResults!$D:$D,E61))</f>
        <v>0</v>
      </c>
      <c r="L61" s="11">
        <f>IF(F61="","",SUMIFS(RaceResults!$E:$E,RaceResults!$A:$A,$A61,RaceResults!$D:$D,F61))</f>
        <v>0</v>
      </c>
      <c r="M61" s="11">
        <f t="shared" si="0"/>
        <v>0</v>
      </c>
    </row>
    <row r="62" spans="1:13" x14ac:dyDescent="0.3">
      <c r="A62" s="9">
        <v>7</v>
      </c>
      <c r="B62" s="9" t="s">
        <v>61</v>
      </c>
      <c r="C62" s="10" t="s">
        <v>21</v>
      </c>
      <c r="D62" s="3"/>
      <c r="E62" s="3"/>
      <c r="F62" s="3"/>
      <c r="G62" s="11" t="str">
        <f>IF(D62="","",SUMIFS(RaceResults!$C:$C,RaceResults!$A:$A,$A62,RaceResults!$D:$D,D62))</f>
        <v/>
      </c>
      <c r="H62" s="11" t="str">
        <f>IF(E62="","",SUMIFS(RaceResults!$C:$C,RaceResults!$A:$A,$A62,RaceResults!$D:$D,E62))</f>
        <v/>
      </c>
      <c r="I62" s="11" t="str">
        <f>IF(F62="","",SUMIFS(RaceResults!$C:$C,RaceResults!$A:$A,$A62,RaceResults!$D:$D,F62))</f>
        <v/>
      </c>
      <c r="J62" s="11" t="str">
        <f>IF(D62="","",SUMIFS(RaceResults!$E:$E,RaceResults!$A:$A,$A62,RaceResults!$D:$D,D62))</f>
        <v/>
      </c>
      <c r="K62" s="11" t="str">
        <f>IF(E62="","",SUMIFS(RaceResults!$E:$E,RaceResults!$A:$A,$A62,RaceResults!$D:$D,E62))</f>
        <v/>
      </c>
      <c r="L62" s="11" t="str">
        <f>IF(F62="","",SUMIFS(RaceResults!$E:$E,RaceResults!$A:$A,$A62,RaceResults!$D:$D,F62))</f>
        <v/>
      </c>
      <c r="M62" s="11">
        <f t="shared" si="0"/>
        <v>0</v>
      </c>
    </row>
    <row r="63" spans="1:13" x14ac:dyDescent="0.3">
      <c r="A63" s="9">
        <v>7</v>
      </c>
      <c r="B63" s="9" t="s">
        <v>61</v>
      </c>
      <c r="C63" s="10" t="s">
        <v>22</v>
      </c>
      <c r="D63" s="3"/>
      <c r="E63" s="3"/>
      <c r="F63" s="3"/>
      <c r="G63" s="11" t="str">
        <f>IF(D63="","",SUMIFS(RaceResults!$C:$C,RaceResults!$A:$A,$A63,RaceResults!$D:$D,D63))</f>
        <v/>
      </c>
      <c r="H63" s="11" t="str">
        <f>IF(E63="","",SUMIFS(RaceResults!$C:$C,RaceResults!$A:$A,$A63,RaceResults!$D:$D,E63))</f>
        <v/>
      </c>
      <c r="I63" s="11" t="str">
        <f>IF(F63="","",SUMIFS(RaceResults!$C:$C,RaceResults!$A:$A,$A63,RaceResults!$D:$D,F63))</f>
        <v/>
      </c>
      <c r="J63" s="11" t="str">
        <f>IF(D63="","",SUMIFS(RaceResults!$E:$E,RaceResults!$A:$A,$A63,RaceResults!$D:$D,D63))</f>
        <v/>
      </c>
      <c r="K63" s="11" t="str">
        <f>IF(E63="","",SUMIFS(RaceResults!$E:$E,RaceResults!$A:$A,$A63,RaceResults!$D:$D,E63))</f>
        <v/>
      </c>
      <c r="L63" s="11" t="str">
        <f>IF(F63="","",SUMIFS(RaceResults!$E:$E,RaceResults!$A:$A,$A63,RaceResults!$D:$D,F63))</f>
        <v/>
      </c>
      <c r="M63" s="11">
        <f t="shared" si="0"/>
        <v>0</v>
      </c>
    </row>
    <row r="64" spans="1:13" x14ac:dyDescent="0.3">
      <c r="A64" s="9">
        <v>7</v>
      </c>
      <c r="B64" s="9" t="s">
        <v>61</v>
      </c>
      <c r="C64" s="10" t="s">
        <v>25</v>
      </c>
      <c r="D64" s="3"/>
      <c r="E64" s="3"/>
      <c r="F64" s="3"/>
      <c r="G64" s="11" t="str">
        <f>IF(D64="","",SUMIFS(RaceResults!$C:$C,RaceResults!$A:$A,$A64,RaceResults!$D:$D,D64))</f>
        <v/>
      </c>
      <c r="H64" s="11" t="str">
        <f>IF(E64="","",SUMIFS(RaceResults!$C:$C,RaceResults!$A:$A,$A64,RaceResults!$D:$D,E64))</f>
        <v/>
      </c>
      <c r="I64" s="11" t="str">
        <f>IF(F64="","",SUMIFS(RaceResults!$C:$C,RaceResults!$A:$A,$A64,RaceResults!$D:$D,F64))</f>
        <v/>
      </c>
      <c r="J64" s="11" t="str">
        <f>IF(D64="","",SUMIFS(RaceResults!$E:$E,RaceResults!$A:$A,$A64,RaceResults!$D:$D,D64))</f>
        <v/>
      </c>
      <c r="K64" s="11" t="str">
        <f>IF(E64="","",SUMIFS(RaceResults!$E:$E,RaceResults!$A:$A,$A64,RaceResults!$D:$D,E64))</f>
        <v/>
      </c>
      <c r="L64" s="11" t="str">
        <f>IF(F64="","",SUMIFS(RaceResults!$E:$E,RaceResults!$A:$A,$A64,RaceResults!$D:$D,F64))</f>
        <v/>
      </c>
      <c r="M64" s="11">
        <f t="shared" si="0"/>
        <v>0</v>
      </c>
    </row>
    <row r="65" spans="1:13" x14ac:dyDescent="0.3">
      <c r="A65" s="9">
        <v>7</v>
      </c>
      <c r="B65" s="9" t="s">
        <v>61</v>
      </c>
      <c r="C65" s="10" t="s">
        <v>26</v>
      </c>
      <c r="D65" s="3"/>
      <c r="E65" s="3"/>
      <c r="F65" s="3"/>
      <c r="G65" s="11" t="str">
        <f>IF(D65="","",SUMIFS(RaceResults!$C:$C,RaceResults!$A:$A,$A65,RaceResults!$D:$D,D65))</f>
        <v/>
      </c>
      <c r="H65" s="11" t="str">
        <f>IF(E65="","",SUMIFS(RaceResults!$C:$C,RaceResults!$A:$A,$A65,RaceResults!$D:$D,E65))</f>
        <v/>
      </c>
      <c r="I65" s="11" t="str">
        <f>IF(F65="","",SUMIFS(RaceResults!$C:$C,RaceResults!$A:$A,$A65,RaceResults!$D:$D,F65))</f>
        <v/>
      </c>
      <c r="J65" s="11" t="str">
        <f>IF(D65="","",SUMIFS(RaceResults!$E:$E,RaceResults!$A:$A,$A65,RaceResults!$D:$D,D65))</f>
        <v/>
      </c>
      <c r="K65" s="11" t="str">
        <f>IF(E65="","",SUMIFS(RaceResults!$E:$E,RaceResults!$A:$A,$A65,RaceResults!$D:$D,E65))</f>
        <v/>
      </c>
      <c r="L65" s="11" t="str">
        <f>IF(F65="","",SUMIFS(RaceResults!$E:$E,RaceResults!$A:$A,$A65,RaceResults!$D:$D,F65))</f>
        <v/>
      </c>
      <c r="M65" s="11">
        <f t="shared" si="0"/>
        <v>0</v>
      </c>
    </row>
    <row r="66" spans="1:13" x14ac:dyDescent="0.3">
      <c r="A66" s="9">
        <v>7</v>
      </c>
      <c r="B66" s="9" t="s">
        <v>61</v>
      </c>
      <c r="C66" s="10" t="s">
        <v>27</v>
      </c>
      <c r="D66" s="3"/>
      <c r="E66" s="3"/>
      <c r="F66" s="3"/>
      <c r="G66" s="11" t="str">
        <f>IF(D66="","",SUMIFS(RaceResults!$C:$C,RaceResults!$A:$A,$A66,RaceResults!$D:$D,D66))</f>
        <v/>
      </c>
      <c r="H66" s="11" t="str">
        <f>IF(E66="","",SUMIFS(RaceResults!$C:$C,RaceResults!$A:$A,$A66,RaceResults!$D:$D,E66))</f>
        <v/>
      </c>
      <c r="I66" s="11" t="str">
        <f>IF(F66="","",SUMIFS(RaceResults!$C:$C,RaceResults!$A:$A,$A66,RaceResults!$D:$D,F66))</f>
        <v/>
      </c>
      <c r="J66" s="11" t="str">
        <f>IF(D66="","",SUMIFS(RaceResults!$E:$E,RaceResults!$A:$A,$A66,RaceResults!$D:$D,D66))</f>
        <v/>
      </c>
      <c r="K66" s="11" t="str">
        <f>IF(E66="","",SUMIFS(RaceResults!$E:$E,RaceResults!$A:$A,$A66,RaceResults!$D:$D,E66))</f>
        <v/>
      </c>
      <c r="L66" s="11" t="str">
        <f>IF(F66="","",SUMIFS(RaceResults!$E:$E,RaceResults!$A:$A,$A66,RaceResults!$D:$D,F66))</f>
        <v/>
      </c>
      <c r="M66" s="11">
        <f t="shared" ref="M66:M129" si="1">SUM(J66:L66)</f>
        <v>0</v>
      </c>
    </row>
    <row r="67" spans="1:13" x14ac:dyDescent="0.3">
      <c r="A67" s="9">
        <v>7</v>
      </c>
      <c r="B67" s="9" t="s">
        <v>61</v>
      </c>
      <c r="C67" s="10" t="s">
        <v>28</v>
      </c>
      <c r="D67" s="3"/>
      <c r="E67" s="3"/>
      <c r="F67" s="3"/>
      <c r="G67" s="11" t="str">
        <f>IF(D67="","",SUMIFS(RaceResults!$C:$C,RaceResults!$A:$A,$A67,RaceResults!$D:$D,D67))</f>
        <v/>
      </c>
      <c r="H67" s="11" t="str">
        <f>IF(E67="","",SUMIFS(RaceResults!$C:$C,RaceResults!$A:$A,$A67,RaceResults!$D:$D,E67))</f>
        <v/>
      </c>
      <c r="I67" s="11" t="str">
        <f>IF(F67="","",SUMIFS(RaceResults!$C:$C,RaceResults!$A:$A,$A67,RaceResults!$D:$D,F67))</f>
        <v/>
      </c>
      <c r="J67" s="11" t="str">
        <f>IF(D67="","",SUMIFS(RaceResults!$E:$E,RaceResults!$A:$A,$A67,RaceResults!$D:$D,D67))</f>
        <v/>
      </c>
      <c r="K67" s="11" t="str">
        <f>IF(E67="","",SUMIFS(RaceResults!$E:$E,RaceResults!$A:$A,$A67,RaceResults!$D:$D,E67))</f>
        <v/>
      </c>
      <c r="L67" s="11" t="str">
        <f>IF(F67="","",SUMIFS(RaceResults!$E:$E,RaceResults!$A:$A,$A67,RaceResults!$D:$D,F67))</f>
        <v/>
      </c>
      <c r="M67" s="11">
        <f t="shared" si="1"/>
        <v>0</v>
      </c>
    </row>
    <row r="68" spans="1:13" x14ac:dyDescent="0.3">
      <c r="A68" s="9">
        <v>7</v>
      </c>
      <c r="B68" s="9" t="s">
        <v>61</v>
      </c>
      <c r="C68" s="10" t="s">
        <v>29</v>
      </c>
      <c r="D68" s="3"/>
      <c r="E68" s="3"/>
      <c r="F68" s="3"/>
      <c r="G68" s="11" t="str">
        <f>IF(D68="","",SUMIFS(RaceResults!$C:$C,RaceResults!$A:$A,$A68,RaceResults!$D:$D,D68))</f>
        <v/>
      </c>
      <c r="H68" s="11" t="str">
        <f>IF(E68="","",SUMIFS(RaceResults!$C:$C,RaceResults!$A:$A,$A68,RaceResults!$D:$D,E68))</f>
        <v/>
      </c>
      <c r="I68" s="11" t="str">
        <f>IF(F68="","",SUMIFS(RaceResults!$C:$C,RaceResults!$A:$A,$A68,RaceResults!$D:$D,F68))</f>
        <v/>
      </c>
      <c r="J68" s="11" t="str">
        <f>IF(D68="","",SUMIFS(RaceResults!$E:$E,RaceResults!$A:$A,$A68,RaceResults!$D:$D,D68))</f>
        <v/>
      </c>
      <c r="K68" s="11" t="str">
        <f>IF(E68="","",SUMIFS(RaceResults!$E:$E,RaceResults!$A:$A,$A68,RaceResults!$D:$D,E68))</f>
        <v/>
      </c>
      <c r="L68" s="11" t="str">
        <f>IF(F68="","",SUMIFS(RaceResults!$E:$E,RaceResults!$A:$A,$A68,RaceResults!$D:$D,F68))</f>
        <v/>
      </c>
      <c r="M68" s="11">
        <f t="shared" si="1"/>
        <v>0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/>
      <c r="E70" s="3"/>
      <c r="F70" s="3"/>
      <c r="G70" s="11" t="str">
        <f>IF(D70="","",SUMIFS(RaceResults!$C:$C,RaceResults!$A:$A,$A70,RaceResults!$D:$D,D70))</f>
        <v/>
      </c>
      <c r="H70" s="11" t="str">
        <f>IF(E70="","",SUMIFS(RaceResults!$C:$C,RaceResults!$A:$A,$A70,RaceResults!$D:$D,E70))</f>
        <v/>
      </c>
      <c r="I70" s="11" t="str">
        <f>IF(F70="","",SUMIFS(RaceResults!$C:$C,RaceResults!$A:$A,$A70,RaceResults!$D:$D,F70))</f>
        <v/>
      </c>
      <c r="J70" s="11" t="str">
        <f>IF(D70="","",SUMIFS(RaceResults!$E:$E,RaceResults!$A:$A,$A70,RaceResults!$D:$D,D70))</f>
        <v/>
      </c>
      <c r="K70" s="11" t="str">
        <f>IF(E70="","",SUMIFS(RaceResults!$E:$E,RaceResults!$A:$A,$A70,RaceResults!$D:$D,E70))</f>
        <v/>
      </c>
      <c r="L70" s="11" t="str">
        <f>IF(F70="","",SUMIFS(RaceResults!$E:$E,RaceResults!$A:$A,$A70,RaceResults!$D:$D,F70))</f>
        <v/>
      </c>
      <c r="M70" s="11">
        <f t="shared" si="1"/>
        <v>0</v>
      </c>
    </row>
    <row r="71" spans="1:13" x14ac:dyDescent="0.3">
      <c r="A71" s="9">
        <v>7</v>
      </c>
      <c r="B71" s="9" t="s">
        <v>61</v>
      </c>
      <c r="C71" s="10" t="s">
        <v>32</v>
      </c>
      <c r="D71" s="3"/>
      <c r="E71" s="3"/>
      <c r="F71" s="3"/>
      <c r="G71" s="11" t="str">
        <f>IF(D71="","",SUMIFS(RaceResults!$C:$C,RaceResults!$A:$A,$A71,RaceResults!$D:$D,D71))</f>
        <v/>
      </c>
      <c r="H71" s="11" t="str">
        <f>IF(E71="","",SUMIFS(RaceResults!$C:$C,RaceResults!$A:$A,$A71,RaceResults!$D:$D,E71))</f>
        <v/>
      </c>
      <c r="I71" s="11" t="str">
        <f>IF(F71="","",SUMIFS(RaceResults!$C:$C,RaceResults!$A:$A,$A71,RaceResults!$D:$D,F71))</f>
        <v/>
      </c>
      <c r="J71" s="11" t="str">
        <f>IF(D71="","",SUMIFS(RaceResults!$E:$E,RaceResults!$A:$A,$A71,RaceResults!$D:$D,D71))</f>
        <v/>
      </c>
      <c r="K71" s="11" t="str">
        <f>IF(E71="","",SUMIFS(RaceResults!$E:$E,RaceResults!$A:$A,$A71,RaceResults!$D:$D,E71))</f>
        <v/>
      </c>
      <c r="L71" s="11" t="str">
        <f>IF(F71="","",SUMIFS(RaceResults!$E:$E,RaceResults!$A:$A,$A71,RaceResults!$D:$D,F71))</f>
        <v/>
      </c>
      <c r="M71" s="11">
        <f t="shared" si="1"/>
        <v>0</v>
      </c>
    </row>
    <row r="72" spans="1:13" x14ac:dyDescent="0.3">
      <c r="A72" s="9">
        <v>8</v>
      </c>
      <c r="B72" s="9" t="s">
        <v>63</v>
      </c>
      <c r="C72" s="10" t="s">
        <v>21</v>
      </c>
      <c r="D72" s="3"/>
      <c r="E72" s="3"/>
      <c r="F72" s="3"/>
      <c r="G72" s="11" t="str">
        <f>IF(D72="","",SUMIFS(RaceResults!$C:$C,RaceResults!$A:$A,$A72,RaceResults!$D:$D,D72))</f>
        <v/>
      </c>
      <c r="H72" s="11" t="str">
        <f>IF(E72="","",SUMIFS(RaceResults!$C:$C,RaceResults!$A:$A,$A72,RaceResults!$D:$D,E72))</f>
        <v/>
      </c>
      <c r="I72" s="11" t="str">
        <f>IF(F72="","",SUMIFS(RaceResults!$C:$C,RaceResults!$A:$A,$A72,RaceResults!$D:$D,F72))</f>
        <v/>
      </c>
      <c r="J72" s="11" t="str">
        <f>IF(D72="","",SUMIFS(RaceResults!$E:$E,RaceResults!$A:$A,$A72,RaceResults!$D:$D,D72))</f>
        <v/>
      </c>
      <c r="K72" s="11" t="str">
        <f>IF(E72="","",SUMIFS(RaceResults!$E:$E,RaceResults!$A:$A,$A72,RaceResults!$D:$D,E72))</f>
        <v/>
      </c>
      <c r="L72" s="11" t="str">
        <f>IF(F72="","",SUMIFS(RaceResults!$E:$E,RaceResults!$A:$A,$A72,RaceResults!$D:$D,F72))</f>
        <v/>
      </c>
      <c r="M72" s="11">
        <f t="shared" si="1"/>
        <v>0</v>
      </c>
    </row>
    <row r="73" spans="1:13" x14ac:dyDescent="0.3">
      <c r="A73" s="9">
        <v>8</v>
      </c>
      <c r="B73" s="9" t="s">
        <v>63</v>
      </c>
      <c r="C73" s="10" t="s">
        <v>22</v>
      </c>
      <c r="D73" s="3"/>
      <c r="E73" s="3"/>
      <c r="F73" s="3"/>
      <c r="G73" s="11" t="str">
        <f>IF(D73="","",SUMIFS(RaceResults!$C:$C,RaceResults!$A:$A,$A73,RaceResults!$D:$D,D73))</f>
        <v/>
      </c>
      <c r="H73" s="11" t="str">
        <f>IF(E73="","",SUMIFS(RaceResults!$C:$C,RaceResults!$A:$A,$A73,RaceResults!$D:$D,E73))</f>
        <v/>
      </c>
      <c r="I73" s="11" t="str">
        <f>IF(F73="","",SUMIFS(RaceResults!$C:$C,RaceResults!$A:$A,$A73,RaceResults!$D:$D,F73))</f>
        <v/>
      </c>
      <c r="J73" s="11" t="str">
        <f>IF(D73="","",SUMIFS(RaceResults!$E:$E,RaceResults!$A:$A,$A73,RaceResults!$D:$D,D73))</f>
        <v/>
      </c>
      <c r="K73" s="11" t="str">
        <f>IF(E73="","",SUMIFS(RaceResults!$E:$E,RaceResults!$A:$A,$A73,RaceResults!$D:$D,E73))</f>
        <v/>
      </c>
      <c r="L73" s="11" t="str">
        <f>IF(F73="","",SUMIFS(RaceResults!$E:$E,RaceResults!$A:$A,$A73,RaceResults!$D:$D,F73))</f>
        <v/>
      </c>
      <c r="M73" s="11">
        <f t="shared" si="1"/>
        <v>0</v>
      </c>
    </row>
    <row r="74" spans="1:13" x14ac:dyDescent="0.3">
      <c r="A74" s="9">
        <v>8</v>
      </c>
      <c r="B74" s="9" t="s">
        <v>63</v>
      </c>
      <c r="C74" s="10" t="s">
        <v>25</v>
      </c>
      <c r="D74" s="3"/>
      <c r="E74" s="3"/>
      <c r="F74" s="3"/>
      <c r="G74" s="11" t="str">
        <f>IF(D74="","",SUMIFS(RaceResults!$C:$C,RaceResults!$A:$A,$A74,RaceResults!$D:$D,D74))</f>
        <v/>
      </c>
      <c r="H74" s="11" t="str">
        <f>IF(E74="","",SUMIFS(RaceResults!$C:$C,RaceResults!$A:$A,$A74,RaceResults!$D:$D,E74))</f>
        <v/>
      </c>
      <c r="I74" s="11" t="str">
        <f>IF(F74="","",SUMIFS(RaceResults!$C:$C,RaceResults!$A:$A,$A74,RaceResults!$D:$D,F74))</f>
        <v/>
      </c>
      <c r="J74" s="11" t="str">
        <f>IF(D74="","",SUMIFS(RaceResults!$E:$E,RaceResults!$A:$A,$A74,RaceResults!$D:$D,D74))</f>
        <v/>
      </c>
      <c r="K74" s="11" t="str">
        <f>IF(E74="","",SUMIFS(RaceResults!$E:$E,RaceResults!$A:$A,$A74,RaceResults!$D:$D,E74))</f>
        <v/>
      </c>
      <c r="L74" s="11" t="str">
        <f>IF(F74="","",SUMIFS(RaceResults!$E:$E,RaceResults!$A:$A,$A74,RaceResults!$D:$D,F74))</f>
        <v/>
      </c>
      <c r="M74" s="11">
        <f t="shared" si="1"/>
        <v>0</v>
      </c>
    </row>
    <row r="75" spans="1:13" x14ac:dyDescent="0.3">
      <c r="A75" s="9">
        <v>8</v>
      </c>
      <c r="B75" s="9" t="s">
        <v>63</v>
      </c>
      <c r="C75" s="10" t="s">
        <v>26</v>
      </c>
      <c r="D75" s="3"/>
      <c r="E75" s="3"/>
      <c r="F75" s="3"/>
      <c r="G75" s="11" t="str">
        <f>IF(D75="","",SUMIFS(RaceResults!$C:$C,RaceResults!$A:$A,$A75,RaceResults!$D:$D,D75))</f>
        <v/>
      </c>
      <c r="H75" s="11" t="str">
        <f>IF(E75="","",SUMIFS(RaceResults!$C:$C,RaceResults!$A:$A,$A75,RaceResults!$D:$D,E75))</f>
        <v/>
      </c>
      <c r="I75" s="11" t="str">
        <f>IF(F75="","",SUMIFS(RaceResults!$C:$C,RaceResults!$A:$A,$A75,RaceResults!$D:$D,F75))</f>
        <v/>
      </c>
      <c r="J75" s="11" t="str">
        <f>IF(D75="","",SUMIFS(RaceResults!$E:$E,RaceResults!$A:$A,$A75,RaceResults!$D:$D,D75))</f>
        <v/>
      </c>
      <c r="K75" s="11" t="str">
        <f>IF(E75="","",SUMIFS(RaceResults!$E:$E,RaceResults!$A:$A,$A75,RaceResults!$D:$D,E75))</f>
        <v/>
      </c>
      <c r="L75" s="11" t="str">
        <f>IF(F75="","",SUMIFS(RaceResults!$E:$E,RaceResults!$A:$A,$A75,RaceResults!$D:$D,F75))</f>
        <v/>
      </c>
      <c r="M75" s="11">
        <f t="shared" si="1"/>
        <v>0</v>
      </c>
    </row>
    <row r="76" spans="1:13" x14ac:dyDescent="0.3">
      <c r="A76" s="9">
        <v>8</v>
      </c>
      <c r="B76" s="9" t="s">
        <v>63</v>
      </c>
      <c r="C76" s="10" t="s">
        <v>27</v>
      </c>
      <c r="D76" s="3"/>
      <c r="E76" s="3"/>
      <c r="F76" s="3"/>
      <c r="G76" s="11" t="str">
        <f>IF(D76="","",SUMIFS(RaceResults!$C:$C,RaceResults!$A:$A,$A76,RaceResults!$D:$D,D76))</f>
        <v/>
      </c>
      <c r="H76" s="11" t="str">
        <f>IF(E76="","",SUMIFS(RaceResults!$C:$C,RaceResults!$A:$A,$A76,RaceResults!$D:$D,E76))</f>
        <v/>
      </c>
      <c r="I76" s="11" t="str">
        <f>IF(F76="","",SUMIFS(RaceResults!$C:$C,RaceResults!$A:$A,$A76,RaceResults!$D:$D,F76))</f>
        <v/>
      </c>
      <c r="J76" s="11" t="str">
        <f>IF(D76="","",SUMIFS(RaceResults!$E:$E,RaceResults!$A:$A,$A76,RaceResults!$D:$D,D76))</f>
        <v/>
      </c>
      <c r="K76" s="11" t="str">
        <f>IF(E76="","",SUMIFS(RaceResults!$E:$E,RaceResults!$A:$A,$A76,RaceResults!$D:$D,E76))</f>
        <v/>
      </c>
      <c r="L76" s="11" t="str">
        <f>IF(F76="","",SUMIFS(RaceResults!$E:$E,RaceResults!$A:$A,$A76,RaceResults!$D:$D,F76))</f>
        <v/>
      </c>
      <c r="M76" s="11">
        <f t="shared" si="1"/>
        <v>0</v>
      </c>
    </row>
    <row r="77" spans="1:13" x14ac:dyDescent="0.3">
      <c r="A77" s="9">
        <v>8</v>
      </c>
      <c r="B77" s="9" t="s">
        <v>63</v>
      </c>
      <c r="C77" s="10" t="s">
        <v>28</v>
      </c>
      <c r="D77" s="3"/>
      <c r="E77" s="3"/>
      <c r="F77" s="3"/>
      <c r="G77" s="11" t="str">
        <f>IF(D77="","",SUMIFS(RaceResults!$C:$C,RaceResults!$A:$A,$A77,RaceResults!$D:$D,D77))</f>
        <v/>
      </c>
      <c r="H77" s="11" t="str">
        <f>IF(E77="","",SUMIFS(RaceResults!$C:$C,RaceResults!$A:$A,$A77,RaceResults!$D:$D,E77))</f>
        <v/>
      </c>
      <c r="I77" s="11" t="str">
        <f>IF(F77="","",SUMIFS(RaceResults!$C:$C,RaceResults!$A:$A,$A77,RaceResults!$D:$D,F77))</f>
        <v/>
      </c>
      <c r="J77" s="11" t="str">
        <f>IF(D77="","",SUMIFS(RaceResults!$E:$E,RaceResults!$A:$A,$A77,RaceResults!$D:$D,D77))</f>
        <v/>
      </c>
      <c r="K77" s="11" t="str">
        <f>IF(E77="","",SUMIFS(RaceResults!$E:$E,RaceResults!$A:$A,$A77,RaceResults!$D:$D,E77))</f>
        <v/>
      </c>
      <c r="L77" s="11" t="str">
        <f>IF(F77="","",SUMIFS(RaceResults!$E:$E,RaceResults!$A:$A,$A77,RaceResults!$D:$D,F77))</f>
        <v/>
      </c>
      <c r="M77" s="11">
        <f t="shared" si="1"/>
        <v>0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/>
      <c r="E80" s="3"/>
      <c r="F80" s="3"/>
      <c r="G80" s="11" t="str">
        <f>IF(D80="","",SUMIFS(RaceResults!$C:$C,RaceResults!$A:$A,$A80,RaceResults!$D:$D,D80))</f>
        <v/>
      </c>
      <c r="H80" s="11" t="str">
        <f>IF(E80="","",SUMIFS(RaceResults!$C:$C,RaceResults!$A:$A,$A80,RaceResults!$D:$D,E80))</f>
        <v/>
      </c>
      <c r="I80" s="11" t="str">
        <f>IF(F80="","",SUMIFS(RaceResults!$C:$C,RaceResults!$A:$A,$A80,RaceResults!$D:$D,F80))</f>
        <v/>
      </c>
      <c r="J80" s="11" t="str">
        <f>IF(D80="","",SUMIFS(RaceResults!$E:$E,RaceResults!$A:$A,$A80,RaceResults!$D:$D,D80))</f>
        <v/>
      </c>
      <c r="K80" s="11" t="str">
        <f>IF(E80="","",SUMIFS(RaceResults!$E:$E,RaceResults!$A:$A,$A80,RaceResults!$D:$D,E80))</f>
        <v/>
      </c>
      <c r="L80" s="11" t="str">
        <f>IF(F80="","",SUMIFS(RaceResults!$E:$E,RaceResults!$A:$A,$A80,RaceResults!$D:$D,F80))</f>
        <v/>
      </c>
      <c r="M80" s="11">
        <f t="shared" si="1"/>
        <v>0</v>
      </c>
    </row>
    <row r="81" spans="1:13" x14ac:dyDescent="0.3">
      <c r="A81" s="9">
        <v>8</v>
      </c>
      <c r="B81" s="9" t="s">
        <v>63</v>
      </c>
      <c r="C81" s="10" t="s">
        <v>32</v>
      </c>
      <c r="D81" s="3"/>
      <c r="E81" s="3"/>
      <c r="F81" s="3"/>
      <c r="G81" s="11" t="str">
        <f>IF(D81="","",SUMIFS(RaceResults!$C:$C,RaceResults!$A:$A,$A81,RaceResults!$D:$D,D81))</f>
        <v/>
      </c>
      <c r="H81" s="11" t="str">
        <f>IF(E81="","",SUMIFS(RaceResults!$C:$C,RaceResults!$A:$A,$A81,RaceResults!$D:$D,E81))</f>
        <v/>
      </c>
      <c r="I81" s="11" t="str">
        <f>IF(F81="","",SUMIFS(RaceResults!$C:$C,RaceResults!$A:$A,$A81,RaceResults!$D:$D,F81))</f>
        <v/>
      </c>
      <c r="J81" s="11" t="str">
        <f>IF(D81="","",SUMIFS(RaceResults!$E:$E,RaceResults!$A:$A,$A81,RaceResults!$D:$D,D81))</f>
        <v/>
      </c>
      <c r="K81" s="11" t="str">
        <f>IF(E81="","",SUMIFS(RaceResults!$E:$E,RaceResults!$A:$A,$A81,RaceResults!$D:$D,E81))</f>
        <v/>
      </c>
      <c r="L81" s="11" t="str">
        <f>IF(F81="","",SUMIFS(RaceResults!$E:$E,RaceResults!$A:$A,$A81,RaceResults!$D:$D,F81))</f>
        <v/>
      </c>
      <c r="M81" s="11">
        <f t="shared" si="1"/>
        <v>0</v>
      </c>
    </row>
    <row r="82" spans="1:13" x14ac:dyDescent="0.3">
      <c r="A82" s="9">
        <v>9</v>
      </c>
      <c r="B82" s="9" t="s">
        <v>65</v>
      </c>
      <c r="C82" s="10" t="s">
        <v>21</v>
      </c>
      <c r="D82" s="3"/>
      <c r="E82" s="3"/>
      <c r="F82" s="3"/>
      <c r="G82" s="11" t="str">
        <f>IF(D82="","",SUMIFS(RaceResults!$C:$C,RaceResults!$A:$A,$A82,RaceResults!$D:$D,D82))</f>
        <v/>
      </c>
      <c r="H82" s="11" t="str">
        <f>IF(E82="","",SUMIFS(RaceResults!$C:$C,RaceResults!$A:$A,$A82,RaceResults!$D:$D,E82))</f>
        <v/>
      </c>
      <c r="I82" s="11" t="str">
        <f>IF(F82="","",SUMIFS(RaceResults!$C:$C,RaceResults!$A:$A,$A82,RaceResults!$D:$D,F82))</f>
        <v/>
      </c>
      <c r="J82" s="11" t="str">
        <f>IF(D82="","",SUMIFS(RaceResults!$E:$E,RaceResults!$A:$A,$A82,RaceResults!$D:$D,D82))</f>
        <v/>
      </c>
      <c r="K82" s="11" t="str">
        <f>IF(E82="","",SUMIFS(RaceResults!$E:$E,RaceResults!$A:$A,$A82,RaceResults!$D:$D,E82))</f>
        <v/>
      </c>
      <c r="L82" s="11" t="str">
        <f>IF(F82="","",SUMIFS(RaceResults!$E:$E,RaceResults!$A:$A,$A82,RaceResults!$D:$D,F82))</f>
        <v/>
      </c>
      <c r="M82" s="11">
        <f t="shared" si="1"/>
        <v>0</v>
      </c>
    </row>
    <row r="83" spans="1:13" x14ac:dyDescent="0.3">
      <c r="A83" s="9">
        <v>9</v>
      </c>
      <c r="B83" s="9" t="s">
        <v>65</v>
      </c>
      <c r="C83" s="10" t="s">
        <v>22</v>
      </c>
      <c r="D83" s="3"/>
      <c r="E83" s="3"/>
      <c r="F83" s="3"/>
      <c r="G83" s="11" t="str">
        <f>IF(D83="","",SUMIFS(RaceResults!$C:$C,RaceResults!$A:$A,$A83,RaceResults!$D:$D,D83))</f>
        <v/>
      </c>
      <c r="H83" s="11" t="str">
        <f>IF(E83="","",SUMIFS(RaceResults!$C:$C,RaceResults!$A:$A,$A83,RaceResults!$D:$D,E83))</f>
        <v/>
      </c>
      <c r="I83" s="11" t="str">
        <f>IF(F83="","",SUMIFS(RaceResults!$C:$C,RaceResults!$A:$A,$A83,RaceResults!$D:$D,F83))</f>
        <v/>
      </c>
      <c r="J83" s="11" t="str">
        <f>IF(D83="","",SUMIFS(RaceResults!$E:$E,RaceResults!$A:$A,$A83,RaceResults!$D:$D,D83))</f>
        <v/>
      </c>
      <c r="K83" s="11" t="str">
        <f>IF(E83="","",SUMIFS(RaceResults!$E:$E,RaceResults!$A:$A,$A83,RaceResults!$D:$D,E83))</f>
        <v/>
      </c>
      <c r="L83" s="11" t="str">
        <f>IF(F83="","",SUMIFS(RaceResults!$E:$E,RaceResults!$A:$A,$A83,RaceResults!$D:$D,F83))</f>
        <v/>
      </c>
      <c r="M83" s="11">
        <f t="shared" si="1"/>
        <v>0</v>
      </c>
    </row>
    <row r="84" spans="1:13" x14ac:dyDescent="0.3">
      <c r="A84" s="9">
        <v>9</v>
      </c>
      <c r="B84" s="9" t="s">
        <v>65</v>
      </c>
      <c r="C84" s="10" t="s">
        <v>25</v>
      </c>
      <c r="D84" s="3"/>
      <c r="E84" s="3"/>
      <c r="F84" s="3"/>
      <c r="G84" s="11" t="str">
        <f>IF(D84="","",SUMIFS(RaceResults!$C:$C,RaceResults!$A:$A,$A84,RaceResults!$D:$D,D84))</f>
        <v/>
      </c>
      <c r="H84" s="11" t="str">
        <f>IF(E84="","",SUMIFS(RaceResults!$C:$C,RaceResults!$A:$A,$A84,RaceResults!$D:$D,E84))</f>
        <v/>
      </c>
      <c r="I84" s="11" t="str">
        <f>IF(F84="","",SUMIFS(RaceResults!$C:$C,RaceResults!$A:$A,$A84,RaceResults!$D:$D,F84))</f>
        <v/>
      </c>
      <c r="J84" s="11" t="str">
        <f>IF(D84="","",SUMIFS(RaceResults!$E:$E,RaceResults!$A:$A,$A84,RaceResults!$D:$D,D84))</f>
        <v/>
      </c>
      <c r="K84" s="11" t="str">
        <f>IF(E84="","",SUMIFS(RaceResults!$E:$E,RaceResults!$A:$A,$A84,RaceResults!$D:$D,E84))</f>
        <v/>
      </c>
      <c r="L84" s="11" t="str">
        <f>IF(F84="","",SUMIFS(RaceResults!$E:$E,RaceResults!$A:$A,$A84,RaceResults!$D:$D,F84))</f>
        <v/>
      </c>
      <c r="M84" s="11">
        <f t="shared" si="1"/>
        <v>0</v>
      </c>
    </row>
    <row r="85" spans="1:13" x14ac:dyDescent="0.3">
      <c r="A85" s="9">
        <v>9</v>
      </c>
      <c r="B85" s="9" t="s">
        <v>65</v>
      </c>
      <c r="C85" s="10" t="s">
        <v>26</v>
      </c>
      <c r="D85" s="3"/>
      <c r="E85" s="3"/>
      <c r="F85" s="3"/>
      <c r="G85" s="11" t="str">
        <f>IF(D85="","",SUMIFS(RaceResults!$C:$C,RaceResults!$A:$A,$A85,RaceResults!$D:$D,D85))</f>
        <v/>
      </c>
      <c r="H85" s="11" t="str">
        <f>IF(E85="","",SUMIFS(RaceResults!$C:$C,RaceResults!$A:$A,$A85,RaceResults!$D:$D,E85))</f>
        <v/>
      </c>
      <c r="I85" s="11" t="str">
        <f>IF(F85="","",SUMIFS(RaceResults!$C:$C,RaceResults!$A:$A,$A85,RaceResults!$D:$D,F85))</f>
        <v/>
      </c>
      <c r="J85" s="11" t="str">
        <f>IF(D85="","",SUMIFS(RaceResults!$E:$E,RaceResults!$A:$A,$A85,RaceResults!$D:$D,D85))</f>
        <v/>
      </c>
      <c r="K85" s="11" t="str">
        <f>IF(E85="","",SUMIFS(RaceResults!$E:$E,RaceResults!$A:$A,$A85,RaceResults!$D:$D,E85))</f>
        <v/>
      </c>
      <c r="L85" s="11" t="str">
        <f>IF(F85="","",SUMIFS(RaceResults!$E:$E,RaceResults!$A:$A,$A85,RaceResults!$D:$D,F85))</f>
        <v/>
      </c>
      <c r="M85" s="11">
        <f t="shared" si="1"/>
        <v>0</v>
      </c>
    </row>
    <row r="86" spans="1:13" x14ac:dyDescent="0.3">
      <c r="A86" s="9">
        <v>9</v>
      </c>
      <c r="B86" s="9" t="s">
        <v>65</v>
      </c>
      <c r="C86" s="10" t="s">
        <v>27</v>
      </c>
      <c r="D86" s="3"/>
      <c r="E86" s="3"/>
      <c r="F86" s="3"/>
      <c r="G86" s="11" t="str">
        <f>IF(D86="","",SUMIFS(RaceResults!$C:$C,RaceResults!$A:$A,$A86,RaceResults!$D:$D,D86))</f>
        <v/>
      </c>
      <c r="H86" s="11" t="str">
        <f>IF(E86="","",SUMIFS(RaceResults!$C:$C,RaceResults!$A:$A,$A86,RaceResults!$D:$D,E86))</f>
        <v/>
      </c>
      <c r="I86" s="11" t="str">
        <f>IF(F86="","",SUMIFS(RaceResults!$C:$C,RaceResults!$A:$A,$A86,RaceResults!$D:$D,F86))</f>
        <v/>
      </c>
      <c r="J86" s="11" t="str">
        <f>IF(D86="","",SUMIFS(RaceResults!$E:$E,RaceResults!$A:$A,$A86,RaceResults!$D:$D,D86))</f>
        <v/>
      </c>
      <c r="K86" s="11" t="str">
        <f>IF(E86="","",SUMIFS(RaceResults!$E:$E,RaceResults!$A:$A,$A86,RaceResults!$D:$D,E86))</f>
        <v/>
      </c>
      <c r="L86" s="11" t="str">
        <f>IF(F86="","",SUMIFS(RaceResults!$E:$E,RaceResults!$A:$A,$A86,RaceResults!$D:$D,F86))</f>
        <v/>
      </c>
      <c r="M86" s="11">
        <f t="shared" si="1"/>
        <v>0</v>
      </c>
    </row>
    <row r="87" spans="1:13" x14ac:dyDescent="0.3">
      <c r="A87" s="9">
        <v>9</v>
      </c>
      <c r="B87" s="9" t="s">
        <v>65</v>
      </c>
      <c r="C87" s="10" t="s">
        <v>28</v>
      </c>
      <c r="D87" s="3"/>
      <c r="E87" s="3"/>
      <c r="F87" s="3"/>
      <c r="G87" s="11" t="str">
        <f>IF(D87="","",SUMIFS(RaceResults!$C:$C,RaceResults!$A:$A,$A87,RaceResults!$D:$D,D87))</f>
        <v/>
      </c>
      <c r="H87" s="11" t="str">
        <f>IF(E87="","",SUMIFS(RaceResults!$C:$C,RaceResults!$A:$A,$A87,RaceResults!$D:$D,E87))</f>
        <v/>
      </c>
      <c r="I87" s="11" t="str">
        <f>IF(F87="","",SUMIFS(RaceResults!$C:$C,RaceResults!$A:$A,$A87,RaceResults!$D:$D,F87))</f>
        <v/>
      </c>
      <c r="J87" s="11" t="str">
        <f>IF(D87="","",SUMIFS(RaceResults!$E:$E,RaceResults!$A:$A,$A87,RaceResults!$D:$D,D87))</f>
        <v/>
      </c>
      <c r="K87" s="11" t="str">
        <f>IF(E87="","",SUMIFS(RaceResults!$E:$E,RaceResults!$A:$A,$A87,RaceResults!$D:$D,E87))</f>
        <v/>
      </c>
      <c r="L87" s="11" t="str">
        <f>IF(F87="","",SUMIFS(RaceResults!$E:$E,RaceResults!$A:$A,$A87,RaceResults!$D:$D,F87))</f>
        <v/>
      </c>
      <c r="M87" s="11">
        <f t="shared" si="1"/>
        <v>0</v>
      </c>
    </row>
    <row r="88" spans="1:13" x14ac:dyDescent="0.3">
      <c r="A88" s="9">
        <v>9</v>
      </c>
      <c r="B88" s="9" t="s">
        <v>65</v>
      </c>
      <c r="C88" s="10" t="s">
        <v>29</v>
      </c>
      <c r="D88" s="3"/>
      <c r="E88" s="3"/>
      <c r="F88" s="3"/>
      <c r="G88" s="11" t="str">
        <f>IF(D88="","",SUMIFS(RaceResults!$C:$C,RaceResults!$A:$A,$A88,RaceResults!$D:$D,D88))</f>
        <v/>
      </c>
      <c r="H88" s="11" t="str">
        <f>IF(E88="","",SUMIFS(RaceResults!$C:$C,RaceResults!$A:$A,$A88,RaceResults!$D:$D,E88))</f>
        <v/>
      </c>
      <c r="I88" s="11" t="str">
        <f>IF(F88="","",SUMIFS(RaceResults!$C:$C,RaceResults!$A:$A,$A88,RaceResults!$D:$D,F88))</f>
        <v/>
      </c>
      <c r="J88" s="11" t="str">
        <f>IF(D88="","",SUMIFS(RaceResults!$E:$E,RaceResults!$A:$A,$A88,RaceResults!$D:$D,D88))</f>
        <v/>
      </c>
      <c r="K88" s="11" t="str">
        <f>IF(E88="","",SUMIFS(RaceResults!$E:$E,RaceResults!$A:$A,$A88,RaceResults!$D:$D,E88))</f>
        <v/>
      </c>
      <c r="L88" s="11" t="str">
        <f>IF(F88="","",SUMIFS(RaceResults!$E:$E,RaceResults!$A:$A,$A88,RaceResults!$D:$D,F88))</f>
        <v/>
      </c>
      <c r="M88" s="11">
        <f t="shared" si="1"/>
        <v>0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/>
      <c r="E90" s="3"/>
      <c r="F90" s="3"/>
      <c r="G90" s="11" t="str">
        <f>IF(D90="","",SUMIFS(RaceResults!$C:$C,RaceResults!$A:$A,$A90,RaceResults!$D:$D,D90))</f>
        <v/>
      </c>
      <c r="H90" s="11" t="str">
        <f>IF(E90="","",SUMIFS(RaceResults!$C:$C,RaceResults!$A:$A,$A90,RaceResults!$D:$D,E90))</f>
        <v/>
      </c>
      <c r="I90" s="11" t="str">
        <f>IF(F90="","",SUMIFS(RaceResults!$C:$C,RaceResults!$A:$A,$A90,RaceResults!$D:$D,F90))</f>
        <v/>
      </c>
      <c r="J90" s="11" t="str">
        <f>IF(D90="","",SUMIFS(RaceResults!$E:$E,RaceResults!$A:$A,$A90,RaceResults!$D:$D,D90))</f>
        <v/>
      </c>
      <c r="K90" s="11" t="str">
        <f>IF(E90="","",SUMIFS(RaceResults!$E:$E,RaceResults!$A:$A,$A90,RaceResults!$D:$D,E90))</f>
        <v/>
      </c>
      <c r="L90" s="11" t="str">
        <f>IF(F90="","",SUMIFS(RaceResults!$E:$E,RaceResults!$A:$A,$A90,RaceResults!$D:$D,F90))</f>
        <v/>
      </c>
      <c r="M90" s="11">
        <f t="shared" si="1"/>
        <v>0</v>
      </c>
    </row>
    <row r="91" spans="1:13" x14ac:dyDescent="0.3">
      <c r="A91" s="9">
        <v>9</v>
      </c>
      <c r="B91" s="9" t="s">
        <v>65</v>
      </c>
      <c r="C91" s="10" t="s">
        <v>32</v>
      </c>
      <c r="D91" s="3"/>
      <c r="E91" s="3"/>
      <c r="F91" s="3"/>
      <c r="G91" s="11" t="str">
        <f>IF(D91="","",SUMIFS(RaceResults!$C:$C,RaceResults!$A:$A,$A91,RaceResults!$D:$D,D91))</f>
        <v/>
      </c>
      <c r="H91" s="11" t="str">
        <f>IF(E91="","",SUMIFS(RaceResults!$C:$C,RaceResults!$A:$A,$A91,RaceResults!$D:$D,E91))</f>
        <v/>
      </c>
      <c r="I91" s="11" t="str">
        <f>IF(F91="","",SUMIFS(RaceResults!$C:$C,RaceResults!$A:$A,$A91,RaceResults!$D:$D,F91))</f>
        <v/>
      </c>
      <c r="J91" s="11" t="str">
        <f>IF(D91="","",SUMIFS(RaceResults!$E:$E,RaceResults!$A:$A,$A91,RaceResults!$D:$D,D91))</f>
        <v/>
      </c>
      <c r="K91" s="11" t="str">
        <f>IF(E91="","",SUMIFS(RaceResults!$E:$E,RaceResults!$A:$A,$A91,RaceResults!$D:$D,E91))</f>
        <v/>
      </c>
      <c r="L91" s="11" t="str">
        <f>IF(F91="","",SUMIFS(RaceResults!$E:$E,RaceResults!$A:$A,$A91,RaceResults!$D:$D,F91))</f>
        <v/>
      </c>
      <c r="M91" s="11">
        <f t="shared" si="1"/>
        <v>0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/>
      </c>
      <c r="D7">
        <f>MAX(WeeklyPicks!$M$52:$M$61)</f>
        <v>0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 t="str">
        <f>IF(MAX(Calc!$F$152:$F$181)=0,"",INDEX(Calc!$E$152:$E$181,MATCH(MAX(Calc!$F$152:$F$181),Calc!$F$152:$F$181,0)))</f>
        <v/>
      </c>
      <c r="H7">
        <f>MAX(Calc!$F$152:$F$181)</f>
        <v>0</v>
      </c>
      <c r="I7" t="str">
        <f>IF(H7=0,"",INDEX(Calc!$C$152:$C$181,MATCH(H7,Calc!$F$152:$F$181,0)))</f>
        <v/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/>
      </c>
      <c r="D8">
        <f>MAX(WeeklyPicks!$M$62:$M$71)</f>
        <v>0</v>
      </c>
      <c r="E8" t="str">
        <f>IF(MAX(CountCalc!$D$596:$D$694)=0,"",INDEX(CountCalc!$C$596:$C$694,MATCH(MAX(CountCalc!$D$596:$D$694),CountCalc!$D$596:$D$694,0)))</f>
        <v/>
      </c>
      <c r="F8">
        <f>MAX(CountCalc!$D$596:$D$694)</f>
        <v>0</v>
      </c>
      <c r="G8" t="str">
        <f>IF(MAX(Calc!$F$182:$F$211)=0,"",INDEX(Calc!$E$182:$E$211,MATCH(MAX(Calc!$F$182:$F$211),Calc!$F$182:$F$211,0)))</f>
        <v/>
      </c>
      <c r="H8">
        <f>MAX(Calc!$F$182:$F$211)</f>
        <v>0</v>
      </c>
      <c r="I8" t="str">
        <f>IF(H8=0,"",INDEX(Calc!$C$182:$C$211,MATCH(H8,Calc!$F$182:$F$211,0)))</f>
        <v/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/>
      </c>
      <c r="D9">
        <f>MAX(WeeklyPicks!$M$72:$M$81)</f>
        <v>0</v>
      </c>
      <c r="E9" t="str">
        <f>IF(MAX(CountCalc!$D$695:$D$793)=0,"",INDEX(CountCalc!$C$695:$C$793,MATCH(MAX(CountCalc!$D$695:$D$793),CountCalc!$D$695:$D$793,0)))</f>
        <v/>
      </c>
      <c r="F9">
        <f>MAX(CountCalc!$D$695:$D$793)</f>
        <v>0</v>
      </c>
      <c r="G9" t="str">
        <f>IF(MAX(Calc!$F$212:$F$241)=0,"",INDEX(Calc!$E$212:$E$241,MATCH(MAX(Calc!$F$212:$F$241),Calc!$F$212:$F$241,0)))</f>
        <v/>
      </c>
      <c r="H9">
        <f>MAX(Calc!$F$212:$F$241)</f>
        <v>0</v>
      </c>
      <c r="I9" t="str">
        <f>IF(H9=0,"",INDEX(Calc!$C$212:$C$241,MATCH(H9,Calc!$F$212:$F$241,0)))</f>
        <v/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/>
      </c>
      <c r="D10">
        <f>MAX(WeeklyPicks!$M$82:$M$91)</f>
        <v>0</v>
      </c>
      <c r="E10" t="str">
        <f>IF(MAX(CountCalc!$D$794:$D$892)=0,"",INDEX(CountCalc!$C$794:$C$892,MATCH(MAX(CountCalc!$D$794:$D$892),CountCalc!$D$794:$D$892,0)))</f>
        <v/>
      </c>
      <c r="F10">
        <f>MAX(CountCalc!$D$794:$D$892)</f>
        <v>0</v>
      </c>
      <c r="G10" t="str">
        <f>IF(MAX(Calc!$F$242:$F$271)=0,"",INDEX(Calc!$E$242:$E$271,MATCH(MAX(Calc!$F$242:$F$271),Calc!$F$242:$F$271,0)))</f>
        <v/>
      </c>
      <c r="H10">
        <f>MAX(Calc!$F$242:$F$271)</f>
        <v>0</v>
      </c>
      <c r="I10" t="str">
        <f>IF(H10=0,"",INDEX(Calc!$C$242:$C$271,MATCH(H10,Calc!$F$242:$F$271,0)))</f>
        <v/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198" activePane="bottomLeft" state="frozen"/>
      <selection pane="bottomLeft" activeCell="D163" sqref="D163:D19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/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/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/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/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/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/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/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/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/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/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/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/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/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/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/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/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/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/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/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/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/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/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/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/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/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/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/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/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/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/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/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/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/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/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/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/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/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/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/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/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/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/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/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/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/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/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/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/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/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/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/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/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/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/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/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/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/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/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/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/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/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/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/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/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/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/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/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/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/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/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/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/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/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/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/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/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/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/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/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/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/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/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/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/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/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/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/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/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/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/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/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/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/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/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/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/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/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/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/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/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/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/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/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/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/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/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/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/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/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/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/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/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/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/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/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/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/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/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/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/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/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/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/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/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/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/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/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/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/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/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/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/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/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/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/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/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/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/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/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/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/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/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/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/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/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/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/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/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0</v>
      </c>
      <c r="G152">
        <f>IF(E152="","",SUMIFS(RaceResults!$E:$E,RaceResults!$A:$A,A152,RaceResults!$D:$D,E152))</f>
        <v>0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0</v>
      </c>
      <c r="G153">
        <f>IF(E153="","",SUMIFS(RaceResults!$E:$E,RaceResults!$A:$A,A153,RaceResults!$D:$D,E153))</f>
        <v>0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0</v>
      </c>
      <c r="G154">
        <f>IF(E154="","",SUMIFS(RaceResults!$E:$E,RaceResults!$A:$A,A154,RaceResults!$D:$D,E154))</f>
        <v>0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0</v>
      </c>
      <c r="G155">
        <f>IF(E155="","",SUMIFS(RaceResults!$E:$E,RaceResults!$A:$A,A155,RaceResults!$D:$D,E155))</f>
        <v>0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0</v>
      </c>
      <c r="G156">
        <f>IF(E156="","",SUMIFS(RaceResults!$E:$E,RaceResults!$A:$A,A156,RaceResults!$D:$D,E156))</f>
        <v>0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0</v>
      </c>
      <c r="G157">
        <f>IF(E157="","",SUMIFS(RaceResults!$E:$E,RaceResults!$A:$A,A157,RaceResults!$D:$D,E157))</f>
        <v>0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0</v>
      </c>
      <c r="G158">
        <f>IF(E158="","",SUMIFS(RaceResults!$E:$E,RaceResults!$A:$A,A158,RaceResults!$D:$D,E158))</f>
        <v>0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0</v>
      </c>
      <c r="G159">
        <f>IF(E159="","",SUMIFS(RaceResults!$E:$E,RaceResults!$A:$A,A159,RaceResults!$D:$D,E159))</f>
        <v>0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0</v>
      </c>
      <c r="G160">
        <f>IF(E160="","",SUMIFS(RaceResults!$E:$E,RaceResults!$A:$A,A160,RaceResults!$D:$D,E160))</f>
        <v>0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0</v>
      </c>
      <c r="G161">
        <f>IF(E161="","",SUMIFS(RaceResults!$E:$E,RaceResults!$A:$A,A161,RaceResults!$D:$D,E161))</f>
        <v>0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0</v>
      </c>
      <c r="G162">
        <f>IF(E162="","",SUMIFS(RaceResults!$E:$E,RaceResults!$A:$A,A162,RaceResults!$D:$D,E162))</f>
        <v>0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0</v>
      </c>
      <c r="G163">
        <f>IF(E163="","",SUMIFS(RaceResults!$E:$E,RaceResults!$A:$A,A163,RaceResults!$D:$D,E163))</f>
        <v>0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0</v>
      </c>
      <c r="G164">
        <f>IF(E164="","",SUMIFS(RaceResults!$E:$E,RaceResults!$A:$A,A164,RaceResults!$D:$D,E164))</f>
        <v>0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0</v>
      </c>
      <c r="G165">
        <f>IF(E165="","",SUMIFS(RaceResults!$E:$E,RaceResults!$A:$A,A165,RaceResults!$D:$D,E165))</f>
        <v>0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0</v>
      </c>
      <c r="G166">
        <f>IF(E166="","",SUMIFS(RaceResults!$E:$E,RaceResults!$A:$A,A166,RaceResults!$D:$D,E166))</f>
        <v>0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0</v>
      </c>
      <c r="G167">
        <f>IF(E167="","",SUMIFS(RaceResults!$E:$E,RaceResults!$A:$A,A167,RaceResults!$D:$D,E167))</f>
        <v>0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0</v>
      </c>
      <c r="G168">
        <f>IF(E168="","",SUMIFS(RaceResults!$E:$E,RaceResults!$A:$A,A168,RaceResults!$D:$D,E168))</f>
        <v>0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0</v>
      </c>
      <c r="G169">
        <f>IF(E169="","",SUMIFS(RaceResults!$E:$E,RaceResults!$A:$A,A169,RaceResults!$D:$D,E169))</f>
        <v>0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0</v>
      </c>
      <c r="G176">
        <f>IF(E176="","",SUMIFS(RaceResults!$E:$E,RaceResults!$A:$A,A176,RaceResults!$D:$D,E176))</f>
        <v>0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0</v>
      </c>
      <c r="G177">
        <f>IF(E177="","",SUMIFS(RaceResults!$E:$E,RaceResults!$A:$A,A177,RaceResults!$D:$D,E177))</f>
        <v>0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0</v>
      </c>
      <c r="G178">
        <f>IF(E178="","",SUMIFS(RaceResults!$E:$E,RaceResults!$A:$A,A178,RaceResults!$D:$D,E178))</f>
        <v>0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0</v>
      </c>
      <c r="G179">
        <f>IF(E179="","",SUMIFS(RaceResults!$E:$E,RaceResults!$A:$A,A179,RaceResults!$D:$D,E179))</f>
        <v>0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0</v>
      </c>
      <c r="G180">
        <f>IF(E180="","",SUMIFS(RaceResults!$E:$E,RaceResults!$A:$A,A180,RaceResults!$D:$D,E180))</f>
        <v>0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0</v>
      </c>
      <c r="G181">
        <f>IF(E181="","",SUMIFS(RaceResults!$E:$E,RaceResults!$A:$A,A181,RaceResults!$D:$D,E181))</f>
        <v>0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0</v>
      </c>
      <c r="F182">
        <f>IF(E182="","",SUMIFS(RaceResults!$C:$C,RaceResults!$A:$A,A182,RaceResults!$D:$D,E182))</f>
        <v>0</v>
      </c>
      <c r="G182">
        <f>IF(E182="","",SUMIFS(RaceResults!$E:$E,RaceResults!$A:$A,A182,RaceResults!$D:$D,E182))</f>
        <v>0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0</v>
      </c>
      <c r="F183">
        <f>IF(E183="","",SUMIFS(RaceResults!$C:$C,RaceResults!$A:$A,A183,RaceResults!$D:$D,E183))</f>
        <v>0</v>
      </c>
      <c r="G183">
        <f>IF(E183="","",SUMIFS(RaceResults!$E:$E,RaceResults!$A:$A,A183,RaceResults!$D:$D,E183))</f>
        <v>0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0</v>
      </c>
      <c r="F184">
        <f>IF(E184="","",SUMIFS(RaceResults!$C:$C,RaceResults!$A:$A,A184,RaceResults!$D:$D,E184))</f>
        <v>0</v>
      </c>
      <c r="G184">
        <f>IF(E184="","",SUMIFS(RaceResults!$E:$E,RaceResults!$A:$A,A184,RaceResults!$D:$D,E184))</f>
        <v>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0</v>
      </c>
      <c r="F185">
        <f>IF(E185="","",SUMIFS(RaceResults!$C:$C,RaceResults!$A:$A,A185,RaceResults!$D:$D,E185))</f>
        <v>0</v>
      </c>
      <c r="G185">
        <f>IF(E185="","",SUMIFS(RaceResults!$E:$E,RaceResults!$A:$A,A185,RaceResults!$D:$D,E185))</f>
        <v>0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0</v>
      </c>
      <c r="F186">
        <f>IF(E186="","",SUMIFS(RaceResults!$C:$C,RaceResults!$A:$A,A186,RaceResults!$D:$D,E186))</f>
        <v>0</v>
      </c>
      <c r="G186">
        <f>IF(E186="","",SUMIFS(RaceResults!$E:$E,RaceResults!$A:$A,A186,RaceResults!$D:$D,E186))</f>
        <v>0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0</v>
      </c>
      <c r="F187">
        <f>IF(E187="","",SUMIFS(RaceResults!$C:$C,RaceResults!$A:$A,A187,RaceResults!$D:$D,E187))</f>
        <v>0</v>
      </c>
      <c r="G187">
        <f>IF(E187="","",SUMIFS(RaceResults!$E:$E,RaceResults!$A:$A,A187,RaceResults!$D:$D,E187))</f>
        <v>0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0</v>
      </c>
      <c r="F188">
        <f>IF(E188="","",SUMIFS(RaceResults!$C:$C,RaceResults!$A:$A,A188,RaceResults!$D:$D,E188))</f>
        <v>0</v>
      </c>
      <c r="G188">
        <f>IF(E188="","",SUMIFS(RaceResults!$E:$E,RaceResults!$A:$A,A188,RaceResults!$D:$D,E188))</f>
        <v>0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0</v>
      </c>
      <c r="F189">
        <f>IF(E189="","",SUMIFS(RaceResults!$C:$C,RaceResults!$A:$A,A189,RaceResults!$D:$D,E189))</f>
        <v>0</v>
      </c>
      <c r="G189">
        <f>IF(E189="","",SUMIFS(RaceResults!$E:$E,RaceResults!$A:$A,A189,RaceResults!$D:$D,E189))</f>
        <v>0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0</v>
      </c>
      <c r="F190">
        <f>IF(E190="","",SUMIFS(RaceResults!$C:$C,RaceResults!$A:$A,A190,RaceResults!$D:$D,E190))</f>
        <v>0</v>
      </c>
      <c r="G190">
        <f>IF(E190="","",SUMIFS(RaceResults!$E:$E,RaceResults!$A:$A,A190,RaceResults!$D:$D,E190))</f>
        <v>0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0</v>
      </c>
      <c r="F191">
        <f>IF(E191="","",SUMIFS(RaceResults!$C:$C,RaceResults!$A:$A,A191,RaceResults!$D:$D,E191))</f>
        <v>0</v>
      </c>
      <c r="G191">
        <f>IF(E191="","",SUMIFS(RaceResults!$E:$E,RaceResults!$A:$A,A191,RaceResults!$D:$D,E191))</f>
        <v>0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0</v>
      </c>
      <c r="F192">
        <f>IF(E192="","",SUMIFS(RaceResults!$C:$C,RaceResults!$A:$A,A192,RaceResults!$D:$D,E192))</f>
        <v>0</v>
      </c>
      <c r="G192">
        <f>IF(E192="","",SUMIFS(RaceResults!$E:$E,RaceResults!$A:$A,A192,RaceResults!$D:$D,E192))</f>
        <v>0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0</v>
      </c>
      <c r="F193">
        <f>IF(E193="","",SUMIFS(RaceResults!$C:$C,RaceResults!$A:$A,A193,RaceResults!$D:$D,E193))</f>
        <v>0</v>
      </c>
      <c r="G193">
        <f>IF(E193="","",SUMIFS(RaceResults!$E:$E,RaceResults!$A:$A,A193,RaceResults!$D:$D,E193))</f>
        <v>0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0</v>
      </c>
      <c r="F194">
        <f>IF(E194="","",SUMIFS(RaceResults!$C:$C,RaceResults!$A:$A,A194,RaceResults!$D:$D,E194))</f>
        <v>0</v>
      </c>
      <c r="G194">
        <f>IF(E194="","",SUMIFS(RaceResults!$E:$E,RaceResults!$A:$A,A194,RaceResults!$D:$D,E194))</f>
        <v>0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0</v>
      </c>
      <c r="F195">
        <f>IF(E195="","",SUMIFS(RaceResults!$C:$C,RaceResults!$A:$A,A195,RaceResults!$D:$D,E195))</f>
        <v>0</v>
      </c>
      <c r="G195">
        <f>IF(E195="","",SUMIFS(RaceResults!$E:$E,RaceResults!$A:$A,A195,RaceResults!$D:$D,E195))</f>
        <v>0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0</v>
      </c>
      <c r="F196">
        <f>IF(E196="","",SUMIFS(RaceResults!$C:$C,RaceResults!$A:$A,A196,RaceResults!$D:$D,E196))</f>
        <v>0</v>
      </c>
      <c r="G196">
        <f>IF(E196="","",SUMIFS(RaceResults!$E:$E,RaceResults!$A:$A,A196,RaceResults!$D:$D,E196))</f>
        <v>0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0</v>
      </c>
      <c r="F197">
        <f>IF(E197="","",SUMIFS(RaceResults!$C:$C,RaceResults!$A:$A,A197,RaceResults!$D:$D,E197))</f>
        <v>0</v>
      </c>
      <c r="G197">
        <f>IF(E197="","",SUMIFS(RaceResults!$E:$E,RaceResults!$A:$A,A197,RaceResults!$D:$D,E197))</f>
        <v>0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0</v>
      </c>
      <c r="F198">
        <f>IF(E198="","",SUMIFS(RaceResults!$C:$C,RaceResults!$A:$A,A198,RaceResults!$D:$D,E198))</f>
        <v>0</v>
      </c>
      <c r="G198">
        <f>IF(E198="","",SUMIFS(RaceResults!$E:$E,RaceResults!$A:$A,A198,RaceResults!$D:$D,E198))</f>
        <v>0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0</v>
      </c>
      <c r="F199">
        <f>IF(E199="","",SUMIFS(RaceResults!$C:$C,RaceResults!$A:$A,A199,RaceResults!$D:$D,E199))</f>
        <v>0</v>
      </c>
      <c r="G199">
        <f>IF(E199="","",SUMIFS(RaceResults!$E:$E,RaceResults!$A:$A,A199,RaceResults!$D:$D,E199))</f>
        <v>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0</v>
      </c>
      <c r="F200">
        <f>IF(E200="","",SUMIFS(RaceResults!$C:$C,RaceResults!$A:$A,A200,RaceResults!$D:$D,E200))</f>
        <v>0</v>
      </c>
      <c r="G200">
        <f>IF(E200="","",SUMIFS(RaceResults!$E:$E,RaceResults!$A:$A,A200,RaceResults!$D:$D,E200))</f>
        <v>0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0</v>
      </c>
      <c r="F201">
        <f>IF(E201="","",SUMIFS(RaceResults!$C:$C,RaceResults!$A:$A,A201,RaceResults!$D:$D,E201))</f>
        <v>0</v>
      </c>
      <c r="G201">
        <f>IF(E201="","",SUMIFS(RaceResults!$E:$E,RaceResults!$A:$A,A201,RaceResults!$D:$D,E201))</f>
        <v>0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0</v>
      </c>
      <c r="F202">
        <f>IF(E202="","",SUMIFS(RaceResults!$C:$C,RaceResults!$A:$A,A202,RaceResults!$D:$D,E202))</f>
        <v>0</v>
      </c>
      <c r="G202">
        <f>IF(E202="","",SUMIFS(RaceResults!$E:$E,RaceResults!$A:$A,A202,RaceResults!$D:$D,E202))</f>
        <v>0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0</v>
      </c>
      <c r="F206">
        <f>IF(E206="","",SUMIFS(RaceResults!$C:$C,RaceResults!$A:$A,A206,RaceResults!$D:$D,E206))</f>
        <v>0</v>
      </c>
      <c r="G206">
        <f>IF(E206="","",SUMIFS(RaceResults!$E:$E,RaceResults!$A:$A,A206,RaceResults!$D:$D,E206))</f>
        <v>0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0</v>
      </c>
      <c r="F207">
        <f>IF(E207="","",SUMIFS(RaceResults!$C:$C,RaceResults!$A:$A,A207,RaceResults!$D:$D,E207))</f>
        <v>0</v>
      </c>
      <c r="G207">
        <f>IF(E207="","",SUMIFS(RaceResults!$E:$E,RaceResults!$A:$A,A207,RaceResults!$D:$D,E207))</f>
        <v>0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0</v>
      </c>
      <c r="F208">
        <f>IF(E208="","",SUMIFS(RaceResults!$C:$C,RaceResults!$A:$A,A208,RaceResults!$D:$D,E208))</f>
        <v>0</v>
      </c>
      <c r="G208">
        <f>IF(E208="","",SUMIFS(RaceResults!$E:$E,RaceResults!$A:$A,A208,RaceResults!$D:$D,E208))</f>
        <v>0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0</v>
      </c>
      <c r="F209">
        <f>IF(E209="","",SUMIFS(RaceResults!$C:$C,RaceResults!$A:$A,A209,RaceResults!$D:$D,E209))</f>
        <v>0</v>
      </c>
      <c r="G209">
        <f>IF(E209="","",SUMIFS(RaceResults!$E:$E,RaceResults!$A:$A,A209,RaceResults!$D:$D,E209))</f>
        <v>0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0</v>
      </c>
      <c r="F210">
        <f>IF(E210="","",SUMIFS(RaceResults!$C:$C,RaceResults!$A:$A,A210,RaceResults!$D:$D,E210))</f>
        <v>0</v>
      </c>
      <c r="G210">
        <f>IF(E210="","",SUMIFS(RaceResults!$E:$E,RaceResults!$A:$A,A210,RaceResults!$D:$D,E210))</f>
        <v>0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0</v>
      </c>
      <c r="F211">
        <f>IF(E211="","",SUMIFS(RaceResults!$C:$C,RaceResults!$A:$A,A211,RaceResults!$D:$D,E211))</f>
        <v>0</v>
      </c>
      <c r="G211">
        <f>IF(E211="","",SUMIFS(RaceResults!$E:$E,RaceResults!$A:$A,A211,RaceResults!$D:$D,E211))</f>
        <v>0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0</v>
      </c>
      <c r="F212">
        <f>IF(E212="","",SUMIFS(RaceResults!$C:$C,RaceResults!$A:$A,A212,RaceResults!$D:$D,E212))</f>
        <v>0</v>
      </c>
      <c r="G212">
        <f>IF(E212="","",SUMIFS(RaceResults!$E:$E,RaceResults!$A:$A,A212,RaceResults!$D:$D,E212))</f>
        <v>0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0</v>
      </c>
      <c r="F213">
        <f>IF(E213="","",SUMIFS(RaceResults!$C:$C,RaceResults!$A:$A,A213,RaceResults!$D:$D,E213))</f>
        <v>0</v>
      </c>
      <c r="G213">
        <f>IF(E213="","",SUMIFS(RaceResults!$E:$E,RaceResults!$A:$A,A213,RaceResults!$D:$D,E213))</f>
        <v>0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0</v>
      </c>
      <c r="F214">
        <f>IF(E214="","",SUMIFS(RaceResults!$C:$C,RaceResults!$A:$A,A214,RaceResults!$D:$D,E214))</f>
        <v>0</v>
      </c>
      <c r="G214">
        <f>IF(E214="","",SUMIFS(RaceResults!$E:$E,RaceResults!$A:$A,A214,RaceResults!$D:$D,E214))</f>
        <v>0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0</v>
      </c>
      <c r="F215">
        <f>IF(E215="","",SUMIFS(RaceResults!$C:$C,RaceResults!$A:$A,A215,RaceResults!$D:$D,E215))</f>
        <v>0</v>
      </c>
      <c r="G215">
        <f>IF(E215="","",SUMIFS(RaceResults!$E:$E,RaceResults!$A:$A,A215,RaceResults!$D:$D,E215))</f>
        <v>0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0</v>
      </c>
      <c r="F216">
        <f>IF(E216="","",SUMIFS(RaceResults!$C:$C,RaceResults!$A:$A,A216,RaceResults!$D:$D,E216))</f>
        <v>0</v>
      </c>
      <c r="G216">
        <f>IF(E216="","",SUMIFS(RaceResults!$E:$E,RaceResults!$A:$A,A216,RaceResults!$D:$D,E216))</f>
        <v>0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0</v>
      </c>
      <c r="F217">
        <f>IF(E217="","",SUMIFS(RaceResults!$C:$C,RaceResults!$A:$A,A217,RaceResults!$D:$D,E217))</f>
        <v>0</v>
      </c>
      <c r="G217">
        <f>IF(E217="","",SUMIFS(RaceResults!$E:$E,RaceResults!$A:$A,A217,RaceResults!$D:$D,E217))</f>
        <v>0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0</v>
      </c>
      <c r="F218">
        <f>IF(E218="","",SUMIFS(RaceResults!$C:$C,RaceResults!$A:$A,A218,RaceResults!$D:$D,E218))</f>
        <v>0</v>
      </c>
      <c r="G218">
        <f>IF(E218="","",SUMIFS(RaceResults!$E:$E,RaceResults!$A:$A,A218,RaceResults!$D:$D,E218))</f>
        <v>0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0</v>
      </c>
      <c r="F219">
        <f>IF(E219="","",SUMIFS(RaceResults!$C:$C,RaceResults!$A:$A,A219,RaceResults!$D:$D,E219))</f>
        <v>0</v>
      </c>
      <c r="G219">
        <f>IF(E219="","",SUMIFS(RaceResults!$E:$E,RaceResults!$A:$A,A219,RaceResults!$D:$D,E219))</f>
        <v>0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0</v>
      </c>
      <c r="F220">
        <f>IF(E220="","",SUMIFS(RaceResults!$C:$C,RaceResults!$A:$A,A220,RaceResults!$D:$D,E220))</f>
        <v>0</v>
      </c>
      <c r="G220">
        <f>IF(E220="","",SUMIFS(RaceResults!$E:$E,RaceResults!$A:$A,A220,RaceResults!$D:$D,E220))</f>
        <v>0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0</v>
      </c>
      <c r="F221">
        <f>IF(E221="","",SUMIFS(RaceResults!$C:$C,RaceResults!$A:$A,A221,RaceResults!$D:$D,E221))</f>
        <v>0</v>
      </c>
      <c r="G221">
        <f>IF(E221="","",SUMIFS(RaceResults!$E:$E,RaceResults!$A:$A,A221,RaceResults!$D:$D,E221))</f>
        <v>0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0</v>
      </c>
      <c r="F222">
        <f>IF(E222="","",SUMIFS(RaceResults!$C:$C,RaceResults!$A:$A,A222,RaceResults!$D:$D,E222))</f>
        <v>0</v>
      </c>
      <c r="G222">
        <f>IF(E222="","",SUMIFS(RaceResults!$E:$E,RaceResults!$A:$A,A222,RaceResults!$D:$D,E222))</f>
        <v>0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0</v>
      </c>
      <c r="F223">
        <f>IF(E223="","",SUMIFS(RaceResults!$C:$C,RaceResults!$A:$A,A223,RaceResults!$D:$D,E223))</f>
        <v>0</v>
      </c>
      <c r="G223">
        <f>IF(E223="","",SUMIFS(RaceResults!$E:$E,RaceResults!$A:$A,A223,RaceResults!$D:$D,E223))</f>
        <v>0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0</v>
      </c>
      <c r="F224">
        <f>IF(E224="","",SUMIFS(RaceResults!$C:$C,RaceResults!$A:$A,A224,RaceResults!$D:$D,E224))</f>
        <v>0</v>
      </c>
      <c r="G224">
        <f>IF(E224="","",SUMIFS(RaceResults!$E:$E,RaceResults!$A:$A,A224,RaceResults!$D:$D,E224))</f>
        <v>0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0</v>
      </c>
      <c r="F225">
        <f>IF(E225="","",SUMIFS(RaceResults!$C:$C,RaceResults!$A:$A,A225,RaceResults!$D:$D,E225))</f>
        <v>0</v>
      </c>
      <c r="G225">
        <f>IF(E225="","",SUMIFS(RaceResults!$E:$E,RaceResults!$A:$A,A225,RaceResults!$D:$D,E225))</f>
        <v>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0</v>
      </c>
      <c r="F226">
        <f>IF(E226="","",SUMIFS(RaceResults!$C:$C,RaceResults!$A:$A,A226,RaceResults!$D:$D,E226))</f>
        <v>0</v>
      </c>
      <c r="G226">
        <f>IF(E226="","",SUMIFS(RaceResults!$E:$E,RaceResults!$A:$A,A226,RaceResults!$D:$D,E226))</f>
        <v>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0</v>
      </c>
      <c r="F227">
        <f>IF(E227="","",SUMIFS(RaceResults!$C:$C,RaceResults!$A:$A,A227,RaceResults!$D:$D,E227))</f>
        <v>0</v>
      </c>
      <c r="G227">
        <f>IF(E227="","",SUMIFS(RaceResults!$E:$E,RaceResults!$A:$A,A227,RaceResults!$D:$D,E227))</f>
        <v>0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0</v>
      </c>
      <c r="F228">
        <f>IF(E228="","",SUMIFS(RaceResults!$C:$C,RaceResults!$A:$A,A228,RaceResults!$D:$D,E228))</f>
        <v>0</v>
      </c>
      <c r="G228">
        <f>IF(E228="","",SUMIFS(RaceResults!$E:$E,RaceResults!$A:$A,A228,RaceResults!$D:$D,E228))</f>
        <v>0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0</v>
      </c>
      <c r="F229">
        <f>IF(E229="","",SUMIFS(RaceResults!$C:$C,RaceResults!$A:$A,A229,RaceResults!$D:$D,E229))</f>
        <v>0</v>
      </c>
      <c r="G229">
        <f>IF(E229="","",SUMIFS(RaceResults!$E:$E,RaceResults!$A:$A,A229,RaceResults!$D:$D,E229))</f>
        <v>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0</v>
      </c>
      <c r="F236">
        <f>IF(E236="","",SUMIFS(RaceResults!$C:$C,RaceResults!$A:$A,A236,RaceResults!$D:$D,E236))</f>
        <v>0</v>
      </c>
      <c r="G236">
        <f>IF(E236="","",SUMIFS(RaceResults!$E:$E,RaceResults!$A:$A,A236,RaceResults!$D:$D,E236))</f>
        <v>0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0</v>
      </c>
      <c r="F237">
        <f>IF(E237="","",SUMIFS(RaceResults!$C:$C,RaceResults!$A:$A,A237,RaceResults!$D:$D,E237))</f>
        <v>0</v>
      </c>
      <c r="G237">
        <f>IF(E237="","",SUMIFS(RaceResults!$E:$E,RaceResults!$A:$A,A237,RaceResults!$D:$D,E237))</f>
        <v>0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0</v>
      </c>
      <c r="F238">
        <f>IF(E238="","",SUMIFS(RaceResults!$C:$C,RaceResults!$A:$A,A238,RaceResults!$D:$D,E238))</f>
        <v>0</v>
      </c>
      <c r="G238">
        <f>IF(E238="","",SUMIFS(RaceResults!$E:$E,RaceResults!$A:$A,A238,RaceResults!$D:$D,E238))</f>
        <v>0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0</v>
      </c>
      <c r="F239">
        <f>IF(E239="","",SUMIFS(RaceResults!$C:$C,RaceResults!$A:$A,A239,RaceResults!$D:$D,E239))</f>
        <v>0</v>
      </c>
      <c r="G239">
        <f>IF(E239="","",SUMIFS(RaceResults!$E:$E,RaceResults!$A:$A,A239,RaceResults!$D:$D,E239))</f>
        <v>0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0</v>
      </c>
      <c r="F240">
        <f>IF(E240="","",SUMIFS(RaceResults!$C:$C,RaceResults!$A:$A,A240,RaceResults!$D:$D,E240))</f>
        <v>0</v>
      </c>
      <c r="G240">
        <f>IF(E240="","",SUMIFS(RaceResults!$E:$E,RaceResults!$A:$A,A240,RaceResults!$D:$D,E240))</f>
        <v>0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0</v>
      </c>
      <c r="F241">
        <f>IF(E241="","",SUMIFS(RaceResults!$C:$C,RaceResults!$A:$A,A241,RaceResults!$D:$D,E241))</f>
        <v>0</v>
      </c>
      <c r="G241">
        <f>IF(E241="","",SUMIFS(RaceResults!$E:$E,RaceResults!$A:$A,A241,RaceResults!$D:$D,E241))</f>
        <v>0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0</v>
      </c>
      <c r="F242">
        <f>IF(E242="","",SUMIFS(RaceResults!$C:$C,RaceResults!$A:$A,A242,RaceResults!$D:$D,E242))</f>
        <v>0</v>
      </c>
      <c r="G242">
        <f>IF(E242="","",SUMIFS(RaceResults!$E:$E,RaceResults!$A:$A,A242,RaceResults!$D:$D,E242))</f>
        <v>0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0</v>
      </c>
      <c r="F243">
        <f>IF(E243="","",SUMIFS(RaceResults!$C:$C,RaceResults!$A:$A,A243,RaceResults!$D:$D,E243))</f>
        <v>0</v>
      </c>
      <c r="G243">
        <f>IF(E243="","",SUMIFS(RaceResults!$E:$E,RaceResults!$A:$A,A243,RaceResults!$D:$D,E243))</f>
        <v>0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0</v>
      </c>
      <c r="F244">
        <f>IF(E244="","",SUMIFS(RaceResults!$C:$C,RaceResults!$A:$A,A244,RaceResults!$D:$D,E244))</f>
        <v>0</v>
      </c>
      <c r="G244">
        <f>IF(E244="","",SUMIFS(RaceResults!$E:$E,RaceResults!$A:$A,A244,RaceResults!$D:$D,E244))</f>
        <v>0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0</v>
      </c>
      <c r="F245">
        <f>IF(E245="","",SUMIFS(RaceResults!$C:$C,RaceResults!$A:$A,A245,RaceResults!$D:$D,E245))</f>
        <v>0</v>
      </c>
      <c r="G245">
        <f>IF(E245="","",SUMIFS(RaceResults!$E:$E,RaceResults!$A:$A,A245,RaceResults!$D:$D,E245))</f>
        <v>0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0</v>
      </c>
      <c r="F246">
        <f>IF(E246="","",SUMIFS(RaceResults!$C:$C,RaceResults!$A:$A,A246,RaceResults!$D:$D,E246))</f>
        <v>0</v>
      </c>
      <c r="G246">
        <f>IF(E246="","",SUMIFS(RaceResults!$E:$E,RaceResults!$A:$A,A246,RaceResults!$D:$D,E246))</f>
        <v>0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0</v>
      </c>
      <c r="F247">
        <f>IF(E247="","",SUMIFS(RaceResults!$C:$C,RaceResults!$A:$A,A247,RaceResults!$D:$D,E247))</f>
        <v>0</v>
      </c>
      <c r="G247">
        <f>IF(E247="","",SUMIFS(RaceResults!$E:$E,RaceResults!$A:$A,A247,RaceResults!$D:$D,E247))</f>
        <v>0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0</v>
      </c>
      <c r="F248">
        <f>IF(E248="","",SUMIFS(RaceResults!$C:$C,RaceResults!$A:$A,A248,RaceResults!$D:$D,E248))</f>
        <v>0</v>
      </c>
      <c r="G248">
        <f>IF(E248="","",SUMIFS(RaceResults!$E:$E,RaceResults!$A:$A,A248,RaceResults!$D:$D,E248))</f>
        <v>0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0</v>
      </c>
      <c r="F249">
        <f>IF(E249="","",SUMIFS(RaceResults!$C:$C,RaceResults!$A:$A,A249,RaceResults!$D:$D,E249))</f>
        <v>0</v>
      </c>
      <c r="G249">
        <f>IF(E249="","",SUMIFS(RaceResults!$E:$E,RaceResults!$A:$A,A249,RaceResults!$D:$D,E249))</f>
        <v>0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0</v>
      </c>
      <c r="F250">
        <f>IF(E250="","",SUMIFS(RaceResults!$C:$C,RaceResults!$A:$A,A250,RaceResults!$D:$D,E250))</f>
        <v>0</v>
      </c>
      <c r="G250">
        <f>IF(E250="","",SUMIFS(RaceResults!$E:$E,RaceResults!$A:$A,A250,RaceResults!$D:$D,E250))</f>
        <v>0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0</v>
      </c>
      <c r="F251">
        <f>IF(E251="","",SUMIFS(RaceResults!$C:$C,RaceResults!$A:$A,A251,RaceResults!$D:$D,E251))</f>
        <v>0</v>
      </c>
      <c r="G251">
        <f>IF(E251="","",SUMIFS(RaceResults!$E:$E,RaceResults!$A:$A,A251,RaceResults!$D:$D,E251))</f>
        <v>0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0</v>
      </c>
      <c r="F252">
        <f>IF(E252="","",SUMIFS(RaceResults!$C:$C,RaceResults!$A:$A,A252,RaceResults!$D:$D,E252))</f>
        <v>0</v>
      </c>
      <c r="G252">
        <f>IF(E252="","",SUMIFS(RaceResults!$E:$E,RaceResults!$A:$A,A252,RaceResults!$D:$D,E252))</f>
        <v>0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0</v>
      </c>
      <c r="F253">
        <f>IF(E253="","",SUMIFS(RaceResults!$C:$C,RaceResults!$A:$A,A253,RaceResults!$D:$D,E253))</f>
        <v>0</v>
      </c>
      <c r="G253">
        <f>IF(E253="","",SUMIFS(RaceResults!$E:$E,RaceResults!$A:$A,A253,RaceResults!$D:$D,E253))</f>
        <v>0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0</v>
      </c>
      <c r="F254">
        <f>IF(E254="","",SUMIFS(RaceResults!$C:$C,RaceResults!$A:$A,A254,RaceResults!$D:$D,E254))</f>
        <v>0</v>
      </c>
      <c r="G254">
        <f>IF(E254="","",SUMIFS(RaceResults!$E:$E,RaceResults!$A:$A,A254,RaceResults!$D:$D,E254))</f>
        <v>0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0</v>
      </c>
      <c r="F255">
        <f>IF(E255="","",SUMIFS(RaceResults!$C:$C,RaceResults!$A:$A,A255,RaceResults!$D:$D,E255))</f>
        <v>0</v>
      </c>
      <c r="G255">
        <f>IF(E255="","",SUMIFS(RaceResults!$E:$E,RaceResults!$A:$A,A255,RaceResults!$D:$D,E255))</f>
        <v>0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0</v>
      </c>
      <c r="F256">
        <f>IF(E256="","",SUMIFS(RaceResults!$C:$C,RaceResults!$A:$A,A256,RaceResults!$D:$D,E256))</f>
        <v>0</v>
      </c>
      <c r="G256">
        <f>IF(E256="","",SUMIFS(RaceResults!$E:$E,RaceResults!$A:$A,A256,RaceResults!$D:$D,E256))</f>
        <v>0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0</v>
      </c>
      <c r="F257">
        <f>IF(E257="","",SUMIFS(RaceResults!$C:$C,RaceResults!$A:$A,A257,RaceResults!$D:$D,E257))</f>
        <v>0</v>
      </c>
      <c r="G257">
        <f>IF(E257="","",SUMIFS(RaceResults!$E:$E,RaceResults!$A:$A,A257,RaceResults!$D:$D,E257))</f>
        <v>0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0</v>
      </c>
      <c r="F258">
        <f>IF(E258="","",SUMIFS(RaceResults!$C:$C,RaceResults!$A:$A,A258,RaceResults!$D:$D,E258))</f>
        <v>0</v>
      </c>
      <c r="G258">
        <f>IF(E258="","",SUMIFS(RaceResults!$E:$E,RaceResults!$A:$A,A258,RaceResults!$D:$D,E258))</f>
        <v>0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0</v>
      </c>
      <c r="F259">
        <f>IF(E259="","",SUMIFS(RaceResults!$C:$C,RaceResults!$A:$A,A259,RaceResults!$D:$D,E259))</f>
        <v>0</v>
      </c>
      <c r="G259">
        <f>IF(E259="","",SUMIFS(RaceResults!$E:$E,RaceResults!$A:$A,A259,RaceResults!$D:$D,E259))</f>
        <v>0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0</v>
      </c>
      <c r="F260">
        <f>IF(E260="","",SUMIFS(RaceResults!$C:$C,RaceResults!$A:$A,A260,RaceResults!$D:$D,E260))</f>
        <v>0</v>
      </c>
      <c r="G260">
        <f>IF(E260="","",SUMIFS(RaceResults!$E:$E,RaceResults!$A:$A,A260,RaceResults!$D:$D,E260))</f>
        <v>0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0</v>
      </c>
      <c r="F261">
        <f>IF(E261="","",SUMIFS(RaceResults!$C:$C,RaceResults!$A:$A,A261,RaceResults!$D:$D,E261))</f>
        <v>0</v>
      </c>
      <c r="G261">
        <f>IF(E261="","",SUMIFS(RaceResults!$E:$E,RaceResults!$A:$A,A261,RaceResults!$D:$D,E261))</f>
        <v>0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0</v>
      </c>
      <c r="F262">
        <f>IF(E262="","",SUMIFS(RaceResults!$C:$C,RaceResults!$A:$A,A262,RaceResults!$D:$D,E262))</f>
        <v>0</v>
      </c>
      <c r="G262">
        <f>IF(E262="","",SUMIFS(RaceResults!$E:$E,RaceResults!$A:$A,A262,RaceResults!$D:$D,E262))</f>
        <v>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0</v>
      </c>
      <c r="F266">
        <f>IF(E266="","",SUMIFS(RaceResults!$C:$C,RaceResults!$A:$A,A266,RaceResults!$D:$D,E266))</f>
        <v>0</v>
      </c>
      <c r="G266">
        <f>IF(E266="","",SUMIFS(RaceResults!$E:$E,RaceResults!$A:$A,A266,RaceResults!$D:$D,E266))</f>
        <v>0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0</v>
      </c>
      <c r="F267">
        <f>IF(E267="","",SUMIFS(RaceResults!$C:$C,RaceResults!$A:$A,A267,RaceResults!$D:$D,E267))</f>
        <v>0</v>
      </c>
      <c r="G267">
        <f>IF(E267="","",SUMIFS(RaceResults!$E:$E,RaceResults!$A:$A,A267,RaceResults!$D:$D,E267))</f>
        <v>0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0</v>
      </c>
      <c r="F268">
        <f>IF(E268="","",SUMIFS(RaceResults!$C:$C,RaceResults!$A:$A,A268,RaceResults!$D:$D,E268))</f>
        <v>0</v>
      </c>
      <c r="G268">
        <f>IF(E268="","",SUMIFS(RaceResults!$E:$E,RaceResults!$A:$A,A268,RaceResults!$D:$D,E268))</f>
        <v>0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0</v>
      </c>
      <c r="F269">
        <f>IF(E269="","",SUMIFS(RaceResults!$C:$C,RaceResults!$A:$A,A269,RaceResults!$D:$D,E269))</f>
        <v>0</v>
      </c>
      <c r="G269">
        <f>IF(E269="","",SUMIFS(RaceResults!$E:$E,RaceResults!$A:$A,A269,RaceResults!$D:$D,E269))</f>
        <v>0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0</v>
      </c>
      <c r="F270">
        <f>IF(E270="","",SUMIFS(RaceResults!$C:$C,RaceResults!$A:$A,A270,RaceResults!$D:$D,E270))</f>
        <v>0</v>
      </c>
      <c r="G270">
        <f>IF(E270="","",SUMIFS(RaceResults!$E:$E,RaceResults!$A:$A,A270,RaceResults!$D:$D,E270))</f>
        <v>0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0</v>
      </c>
      <c r="F271">
        <f>IF(E271="","",SUMIFS(RaceResults!$C:$C,RaceResults!$A:$A,A271,RaceResults!$D:$D,E271))</f>
        <v>0</v>
      </c>
      <c r="G271">
        <f>IF(E271="","",SUMIFS(RaceResults!$E:$E,RaceResults!$A:$A,A271,RaceResults!$D:$D,E271))</f>
        <v>0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0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0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0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0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0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0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0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0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0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0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0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0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0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0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0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0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0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0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0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0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0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0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0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0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0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0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0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10</v>
      </c>
      <c r="C6">
        <f>SUMIF(Calc!$E$2:$E$1081,A6,Calc!$G$2:$G$1081)</f>
        <v>188</v>
      </c>
      <c r="D6">
        <f>IF(B6=0,"",AVERAGEIF(Calc!$E$2:$E$1081,A6,Calc!$F$2:$F$1081))</f>
        <v>3.4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3</v>
      </c>
      <c r="C10">
        <f>SUMIF(Calc!$E$2:$E$1081,A10,Calc!$G$2:$G$1081)</f>
        <v>65</v>
      </c>
      <c r="D10">
        <f>IF(B10=0,"",AVERAGEIF(Calc!$E$2:$E$1081,A10,Calc!$F$2:$F$1081))</f>
        <v>3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14</v>
      </c>
      <c r="C12">
        <f>SUMIF(Calc!$E$2:$E$1081,A12,Calc!$G$2:$G$1081)</f>
        <v>306</v>
      </c>
      <c r="D12">
        <f>IF(B12=0,"",AVERAGEIF(Calc!$E$2:$E$1081,A12,Calc!$F$2:$F$1081))</f>
        <v>2.0714285714285716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9</v>
      </c>
      <c r="C13">
        <f>SUMIF(Calc!$E$2:$E$1081,A13,Calc!$G$2:$G$1081)</f>
        <v>236</v>
      </c>
      <c r="D13">
        <f>IF(B13=0,"",AVERAGEIF(Calc!$E$2:$E$1081,A13,Calc!$F$2:$F$1081))</f>
        <v>4.7777777777777777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1</v>
      </c>
      <c r="C18">
        <f>SUMIF(Calc!$E$2:$E$1081,A18,Calc!$G$2:$G$1081)</f>
        <v>0</v>
      </c>
      <c r="D18">
        <f>IF(B18=0,"",AVERAGEIF(Calc!$E$2:$E$1081,A18,Calc!$F$2:$F$1081))</f>
        <v>0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5</v>
      </c>
      <c r="C21">
        <f>SUMIF(Calc!$E$2:$E$1081,A21,Calc!$G$2:$G$1081)</f>
        <v>167</v>
      </c>
      <c r="D21">
        <f>IF(B21=0,"",AVERAGEIF(Calc!$E$2:$E$1081,A21,Calc!$F$2:$F$1081))</f>
        <v>3.6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2</v>
      </c>
      <c r="C23">
        <f>SUMIF(Calc!$E$2:$E$1081,A23,Calc!$G$2:$G$1081)</f>
        <v>6</v>
      </c>
      <c r="D23">
        <f>IF(B23=0,"",AVERAGEIF(Calc!$E$2:$E$1081,A23,Calc!$F$2:$F$1081))</f>
        <v>15.5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3</v>
      </c>
      <c r="C24">
        <f>SUMIF(Calc!$E$2:$E$1081,A24,Calc!$G$2:$G$1081)</f>
        <v>84</v>
      </c>
      <c r="D24">
        <f>IF(B24=0,"",AVERAGEIF(Calc!$E$2:$E$1081,A24,Calc!$F$2:$F$1081))</f>
        <v>9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4</v>
      </c>
      <c r="C25">
        <f>SUMIF(Calc!$E$2:$E$1081,A25,Calc!$G$2:$G$1081)</f>
        <v>88</v>
      </c>
      <c r="D25">
        <f>IF(B25=0,"",AVERAGEIF(Calc!$E$2:$E$1081,A25,Calc!$F$2:$F$1081))</f>
        <v>5.75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11</v>
      </c>
      <c r="C46">
        <f>SUMIF(Calc!$E$2:$E$1081,A46,Calc!$G$2:$G$1081)</f>
        <v>185</v>
      </c>
      <c r="D46">
        <f>IF(B46=0,"",AVERAGEIF(Calc!$E$2:$E$1081,A46,Calc!$F$2:$F$1081))</f>
        <v>5.0909090909090908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</v>
      </c>
      <c r="C55">
        <f>SUMIF(Calc!$E$2:$E$1081,A55,Calc!$G$2:$G$1081)</f>
        <v>0</v>
      </c>
      <c r="D55">
        <f>IF(B55=0,"",AVERAGEIF(Calc!$E$2:$E$1081,A55,Calc!$F$2:$F$1081))</f>
        <v>0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0</v>
      </c>
      <c r="C78">
        <f>SUMIF(Calc!$E$2:$E$1081,A78,Calc!$G$2:$G$1081)</f>
        <v>0</v>
      </c>
      <c r="D78" t="str">
        <f>IF(B78=0,"",AVERAGEIF(Calc!$E$2:$E$1081,A78,Calc!$F$2:$F$1081))</f>
        <v/>
      </c>
      <c r="E78" t="str">
        <f>IF(B78=0,"",_xludf.minifs(Calc!$F$2:$F$1081,Calc!$E$2:$E$1081,A78))</f>
        <v/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2</v>
      </c>
      <c r="C98">
        <f>SUMIF(Calc!$E$2:$E$1081,A98,Calc!$G$2:$G$1081)</f>
        <v>70</v>
      </c>
      <c r="D98">
        <f>IF(B98=0,"",AVERAGEIF(Calc!$E$2:$E$1081,A98,Calc!$F$2:$F$1081))</f>
        <v>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9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SUMIF(WeeklyPicks!$C:$C,B4,WeeklyPicks!$M:$M)</f>
        <v>276</v>
      </c>
      <c r="D4">
        <f>COUNTIF(RaceSummary!$C:$C,B4)</f>
        <v>1</v>
      </c>
      <c r="E4">
        <f>IF(COUNTIF(WeeklyPicks!$C:$C,B4)=0,"",AVERAGEIF(WeeklyPicks!$C:$C,B4,WeeklyPicks!$M:$M))</f>
        <v>7.666666666666667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1</v>
      </c>
      <c r="B5" t="s">
        <v>22</v>
      </c>
      <c r="C5">
        <f>SUMIF(WeeklyPicks!$C:$C,B5,WeeklyPicks!$M:$M)</f>
        <v>293</v>
      </c>
      <c r="D5">
        <f>COUNTIF(RaceSummary!$C:$C,B5)</f>
        <v>1</v>
      </c>
      <c r="E5">
        <f>IF(COUNTIF(WeeklyPicks!$C:$C,B5)=0,"",AVERAGEIF(WeeklyPicks!$C:$C,B5,WeeklyPicks!$M:$M))</f>
        <v>8.1388888888888893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5</v>
      </c>
      <c r="B6" t="s">
        <v>25</v>
      </c>
      <c r="C6">
        <f>SUMIF(WeeklyPicks!$C:$C,B6,WeeklyPicks!$M:$M)</f>
        <v>195</v>
      </c>
      <c r="D6">
        <f>COUNTIF(RaceSummary!$C:$C,B6)</f>
        <v>0</v>
      </c>
      <c r="E6">
        <f>IF(COUNTIF(WeeklyPicks!$C:$C,B6)=0,"",AVERAGEIF(WeeklyPicks!$C:$C,B6,WeeklyPicks!$M:$M))</f>
        <v>5.416666666666667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3</v>
      </c>
      <c r="B7" t="s">
        <v>26</v>
      </c>
      <c r="C7">
        <f>SUMIF(WeeklyPicks!$C:$C,B7,WeeklyPicks!$M:$M)</f>
        <v>261</v>
      </c>
      <c r="D7">
        <f>COUNTIF(RaceSummary!$C:$C,B7)</f>
        <v>0</v>
      </c>
      <c r="E7">
        <f>IF(COUNTIF(WeeklyPicks!$C:$C,B7)=0,"",AVERAGEIF(WeeklyPicks!$C:$C,B7,WeeklyPicks!$M:$M))</f>
        <v>7.25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4</v>
      </c>
      <c r="B8" t="s">
        <v>27</v>
      </c>
      <c r="C8">
        <f>SUMIF(WeeklyPicks!$C:$C,B8,WeeklyPicks!$M:$M)</f>
        <v>203</v>
      </c>
      <c r="D8">
        <f>COUNTIF(RaceSummary!$C:$C,B8)</f>
        <v>1</v>
      </c>
      <c r="E8">
        <f>IF(COUNTIF(WeeklyPicks!$C:$C,B8)=0,"",AVERAGEIF(WeeklyPicks!$C:$C,B8,WeeklyPicks!$M:$M))</f>
        <v>5.6388888888888893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112</v>
      </c>
      <c r="D9">
        <f>COUNTIF(RaceSummary!$C:$C,B9)</f>
        <v>0</v>
      </c>
      <c r="E9">
        <f>IF(COUNTIF(WeeklyPicks!$C:$C,B9)=0,"",AVERAGEIF(WeeklyPicks!$C:$C,B9,WeeklyPicks!$M:$M))</f>
        <v>3.1111111111111112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8</v>
      </c>
      <c r="B10" s="21" t="s">
        <v>29</v>
      </c>
      <c r="C10" s="21">
        <f>SUMIF(WeeklyPicks!$C:$C,B10,WeeklyPicks!$M:$M)</f>
        <v>0</v>
      </c>
      <c r="D10" s="21">
        <f>COUNTIF(RaceSummary!$C:$C,B10)</f>
        <v>0</v>
      </c>
      <c r="E10" s="21">
        <f>IF(COUNTIF(WeeklyPicks!$C:$C,B10)=0,"",AVERAGEIF(WeeklyPicks!$C:$C,B10,WeeklyPicks!$M:$M))</f>
        <v>0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8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0</v>
      </c>
      <c r="D12">
        <f>COUNTIF(RaceSummary!$C:$C,B12)</f>
        <v>0</v>
      </c>
      <c r="E12">
        <f>IF(COUNTIF(WeeklyPicks!$C:$C,B12)=0,"",AVERAGEIF(WeeklyPicks!$C:$C,B12,WeeklyPicks!$M:$M))</f>
        <v>0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82</v>
      </c>
      <c r="D13">
        <f>COUNTIF(RaceSummary!$C:$C,B13)</f>
        <v>0</v>
      </c>
      <c r="E13">
        <f>IF(COUNTIF(WeeklyPicks!$C:$C,B13)=0,"",AVERAGEIF(WeeklyPicks!$C:$C,B13,WeeklyPicks!$M:$M))</f>
        <v>2.2777777777777777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276</v>
      </c>
      <c r="D22">
        <f>SUMIFS(WeeklyPicks!$M:$M,WeeklyPicks!$A:$A,"&lt;="&amp;$A22,WeeklyPicks!$C:$C,D$16)</f>
        <v>293</v>
      </c>
      <c r="E22">
        <f>SUMIFS(WeeklyPicks!$M:$M,WeeklyPicks!$A:$A,"&lt;="&amp;$A22,WeeklyPicks!$C:$C,E$16)</f>
        <v>195</v>
      </c>
      <c r="F22">
        <f>SUMIFS(WeeklyPicks!$M:$M,WeeklyPicks!$A:$A,"&lt;="&amp;$A22,WeeklyPicks!$C:$C,F$16)</f>
        <v>261</v>
      </c>
      <c r="G22">
        <f>SUMIFS(WeeklyPicks!$M:$M,WeeklyPicks!$A:$A,"&lt;="&amp;$A22,WeeklyPicks!$C:$C,G$16)</f>
        <v>203</v>
      </c>
      <c r="H22">
        <f>SUMIFS(WeeklyPicks!$M:$M,WeeklyPicks!$A:$A,"&lt;="&amp;$A22,WeeklyPicks!$C:$C,H$16)</f>
        <v>112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0</v>
      </c>
      <c r="L22">
        <f>SUMIFS(WeeklyPicks!$M:$M,WeeklyPicks!$A:$A,"&lt;="&amp;$A22,WeeklyPicks!$C:$C,L$16)</f>
        <v>82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276</v>
      </c>
      <c r="D23">
        <f>SUMIFS(WeeklyPicks!$M:$M,WeeklyPicks!$A:$A,"&lt;="&amp;$A23,WeeklyPicks!$C:$C,D$16)</f>
        <v>293</v>
      </c>
      <c r="E23">
        <f>SUMIFS(WeeklyPicks!$M:$M,WeeklyPicks!$A:$A,"&lt;="&amp;$A23,WeeklyPicks!$C:$C,E$16)</f>
        <v>195</v>
      </c>
      <c r="F23">
        <f>SUMIFS(WeeklyPicks!$M:$M,WeeklyPicks!$A:$A,"&lt;="&amp;$A23,WeeklyPicks!$C:$C,F$16)</f>
        <v>261</v>
      </c>
      <c r="G23">
        <f>SUMIFS(WeeklyPicks!$M:$M,WeeklyPicks!$A:$A,"&lt;="&amp;$A23,WeeklyPicks!$C:$C,G$16)</f>
        <v>203</v>
      </c>
      <c r="H23">
        <f>SUMIFS(WeeklyPicks!$M:$M,WeeklyPicks!$A:$A,"&lt;="&amp;$A23,WeeklyPicks!$C:$C,H$16)</f>
        <v>112</v>
      </c>
      <c r="I23">
        <f>SUMIFS(WeeklyPicks!$M:$M,WeeklyPicks!$A:$A,"&lt;="&amp;$A23,WeeklyPicks!$C:$C,I$16)</f>
        <v>0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0</v>
      </c>
      <c r="L23">
        <f>SUMIFS(WeeklyPicks!$M:$M,WeeklyPicks!$A:$A,"&lt;="&amp;$A23,WeeklyPicks!$C:$C,L$16)</f>
        <v>82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276</v>
      </c>
      <c r="D24">
        <f>SUMIFS(WeeklyPicks!$M:$M,WeeklyPicks!$A:$A,"&lt;="&amp;$A24,WeeklyPicks!$C:$C,D$16)</f>
        <v>293</v>
      </c>
      <c r="E24">
        <f>SUMIFS(WeeklyPicks!$M:$M,WeeklyPicks!$A:$A,"&lt;="&amp;$A24,WeeklyPicks!$C:$C,E$16)</f>
        <v>195</v>
      </c>
      <c r="F24">
        <f>SUMIFS(WeeklyPicks!$M:$M,WeeklyPicks!$A:$A,"&lt;="&amp;$A24,WeeklyPicks!$C:$C,F$16)</f>
        <v>261</v>
      </c>
      <c r="G24">
        <f>SUMIFS(WeeklyPicks!$M:$M,WeeklyPicks!$A:$A,"&lt;="&amp;$A24,WeeklyPicks!$C:$C,G$16)</f>
        <v>203</v>
      </c>
      <c r="H24">
        <f>SUMIFS(WeeklyPicks!$M:$M,WeeklyPicks!$A:$A,"&lt;="&amp;$A24,WeeklyPicks!$C:$C,H$16)</f>
        <v>112</v>
      </c>
      <c r="I24">
        <f>SUMIFS(WeeklyPicks!$M:$M,WeeklyPicks!$A:$A,"&lt;="&amp;$A24,WeeklyPicks!$C:$C,I$16)</f>
        <v>0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0</v>
      </c>
      <c r="L24">
        <f>SUMIFS(WeeklyPicks!$M:$M,WeeklyPicks!$A:$A,"&lt;="&amp;$A24,WeeklyPicks!$C:$C,L$16)</f>
        <v>82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276</v>
      </c>
      <c r="D25">
        <f>SUMIFS(WeeklyPicks!$M:$M,WeeklyPicks!$A:$A,"&lt;="&amp;$A25,WeeklyPicks!$C:$C,D$16)</f>
        <v>293</v>
      </c>
      <c r="E25">
        <f>SUMIFS(WeeklyPicks!$M:$M,WeeklyPicks!$A:$A,"&lt;="&amp;$A25,WeeklyPicks!$C:$C,E$16)</f>
        <v>195</v>
      </c>
      <c r="F25">
        <f>SUMIFS(WeeklyPicks!$M:$M,WeeklyPicks!$A:$A,"&lt;="&amp;$A25,WeeklyPicks!$C:$C,F$16)</f>
        <v>261</v>
      </c>
      <c r="G25">
        <f>SUMIFS(WeeklyPicks!$M:$M,WeeklyPicks!$A:$A,"&lt;="&amp;$A25,WeeklyPicks!$C:$C,G$16)</f>
        <v>203</v>
      </c>
      <c r="H25">
        <f>SUMIFS(WeeklyPicks!$M:$M,WeeklyPicks!$A:$A,"&lt;="&amp;$A25,WeeklyPicks!$C:$C,H$16)</f>
        <v>112</v>
      </c>
      <c r="I25">
        <f>SUMIFS(WeeklyPicks!$M:$M,WeeklyPicks!$A:$A,"&lt;="&amp;$A25,WeeklyPicks!$C:$C,I$16)</f>
        <v>0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0</v>
      </c>
      <c r="L25">
        <f>SUMIFS(WeeklyPicks!$M:$M,WeeklyPicks!$A:$A,"&lt;="&amp;$A25,WeeklyPicks!$C:$C,L$16)</f>
        <v>82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276</v>
      </c>
      <c r="D26">
        <f>SUMIFS(WeeklyPicks!$M:$M,WeeklyPicks!$A:$A,"&lt;="&amp;$A26,WeeklyPicks!$C:$C,D$16)</f>
        <v>293</v>
      </c>
      <c r="E26">
        <f>SUMIFS(WeeklyPicks!$M:$M,WeeklyPicks!$A:$A,"&lt;="&amp;$A26,WeeklyPicks!$C:$C,E$16)</f>
        <v>195</v>
      </c>
      <c r="F26">
        <f>SUMIFS(WeeklyPicks!$M:$M,WeeklyPicks!$A:$A,"&lt;="&amp;$A26,WeeklyPicks!$C:$C,F$16)</f>
        <v>261</v>
      </c>
      <c r="G26">
        <f>SUMIFS(WeeklyPicks!$M:$M,WeeklyPicks!$A:$A,"&lt;="&amp;$A26,WeeklyPicks!$C:$C,G$16)</f>
        <v>203</v>
      </c>
      <c r="H26">
        <f>SUMIFS(WeeklyPicks!$M:$M,WeeklyPicks!$A:$A,"&lt;="&amp;$A26,WeeklyPicks!$C:$C,H$16)</f>
        <v>112</v>
      </c>
      <c r="I26">
        <f>SUMIFS(WeeklyPicks!$M:$M,WeeklyPicks!$A:$A,"&lt;="&amp;$A26,WeeklyPicks!$C:$C,I$16)</f>
        <v>0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0</v>
      </c>
      <c r="L26">
        <f>SUMIFS(WeeklyPicks!$M:$M,WeeklyPicks!$A:$A,"&lt;="&amp;$A26,WeeklyPicks!$C:$C,L$16)</f>
        <v>82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276</v>
      </c>
      <c r="D27">
        <f>SUMIFS(WeeklyPicks!$M:$M,WeeklyPicks!$A:$A,"&lt;="&amp;$A27,WeeklyPicks!$C:$C,D$16)</f>
        <v>293</v>
      </c>
      <c r="E27">
        <f>SUMIFS(WeeklyPicks!$M:$M,WeeklyPicks!$A:$A,"&lt;="&amp;$A27,WeeklyPicks!$C:$C,E$16)</f>
        <v>195</v>
      </c>
      <c r="F27">
        <f>SUMIFS(WeeklyPicks!$M:$M,WeeklyPicks!$A:$A,"&lt;="&amp;$A27,WeeklyPicks!$C:$C,F$16)</f>
        <v>261</v>
      </c>
      <c r="G27">
        <f>SUMIFS(WeeklyPicks!$M:$M,WeeklyPicks!$A:$A,"&lt;="&amp;$A27,WeeklyPicks!$C:$C,G$16)</f>
        <v>203</v>
      </c>
      <c r="H27">
        <f>SUMIFS(WeeklyPicks!$M:$M,WeeklyPicks!$A:$A,"&lt;="&amp;$A27,WeeklyPicks!$C:$C,H$16)</f>
        <v>112</v>
      </c>
      <c r="I27">
        <f>SUMIFS(WeeklyPicks!$M:$M,WeeklyPicks!$A:$A,"&lt;="&amp;$A27,WeeklyPicks!$C:$C,I$16)</f>
        <v>0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0</v>
      </c>
      <c r="L27">
        <f>SUMIFS(WeeklyPicks!$M:$M,WeeklyPicks!$A:$A,"&lt;="&amp;$A27,WeeklyPicks!$C:$C,L$16)</f>
        <v>82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276</v>
      </c>
      <c r="D28">
        <f>SUMIFS(WeeklyPicks!$M:$M,WeeklyPicks!$A:$A,"&lt;="&amp;$A28,WeeklyPicks!$C:$C,D$16)</f>
        <v>293</v>
      </c>
      <c r="E28">
        <f>SUMIFS(WeeklyPicks!$M:$M,WeeklyPicks!$A:$A,"&lt;="&amp;$A28,WeeklyPicks!$C:$C,E$16)</f>
        <v>195</v>
      </c>
      <c r="F28">
        <f>SUMIFS(WeeklyPicks!$M:$M,WeeklyPicks!$A:$A,"&lt;="&amp;$A28,WeeklyPicks!$C:$C,F$16)</f>
        <v>261</v>
      </c>
      <c r="G28">
        <f>SUMIFS(WeeklyPicks!$M:$M,WeeklyPicks!$A:$A,"&lt;="&amp;$A28,WeeklyPicks!$C:$C,G$16)</f>
        <v>203</v>
      </c>
      <c r="H28">
        <f>SUMIFS(WeeklyPicks!$M:$M,WeeklyPicks!$A:$A,"&lt;="&amp;$A28,WeeklyPicks!$C:$C,H$16)</f>
        <v>112</v>
      </c>
      <c r="I28">
        <f>SUMIFS(WeeklyPicks!$M:$M,WeeklyPicks!$A:$A,"&lt;="&amp;$A28,WeeklyPicks!$C:$C,I$16)</f>
        <v>0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0</v>
      </c>
      <c r="L28">
        <f>SUMIFS(WeeklyPicks!$M:$M,WeeklyPicks!$A:$A,"&lt;="&amp;$A28,WeeklyPicks!$C:$C,L$16)</f>
        <v>82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276</v>
      </c>
      <c r="D29">
        <f>SUMIFS(WeeklyPicks!$M:$M,WeeklyPicks!$A:$A,"&lt;="&amp;$A29,WeeklyPicks!$C:$C,D$16)</f>
        <v>293</v>
      </c>
      <c r="E29">
        <f>SUMIFS(WeeklyPicks!$M:$M,WeeklyPicks!$A:$A,"&lt;="&amp;$A29,WeeklyPicks!$C:$C,E$16)</f>
        <v>195</v>
      </c>
      <c r="F29">
        <f>SUMIFS(WeeklyPicks!$M:$M,WeeklyPicks!$A:$A,"&lt;="&amp;$A29,WeeklyPicks!$C:$C,F$16)</f>
        <v>261</v>
      </c>
      <c r="G29">
        <f>SUMIFS(WeeklyPicks!$M:$M,WeeklyPicks!$A:$A,"&lt;="&amp;$A29,WeeklyPicks!$C:$C,G$16)</f>
        <v>203</v>
      </c>
      <c r="H29">
        <f>SUMIFS(WeeklyPicks!$M:$M,WeeklyPicks!$A:$A,"&lt;="&amp;$A29,WeeklyPicks!$C:$C,H$16)</f>
        <v>112</v>
      </c>
      <c r="I29">
        <f>SUMIFS(WeeklyPicks!$M:$M,WeeklyPicks!$A:$A,"&lt;="&amp;$A29,WeeklyPicks!$C:$C,I$16)</f>
        <v>0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0</v>
      </c>
      <c r="L29">
        <f>SUMIFS(WeeklyPicks!$M:$M,WeeklyPicks!$A:$A,"&lt;="&amp;$A29,WeeklyPicks!$C:$C,L$16)</f>
        <v>82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276</v>
      </c>
      <c r="D30">
        <f>SUMIFS(WeeklyPicks!$M:$M,WeeklyPicks!$A:$A,"&lt;="&amp;$A30,WeeklyPicks!$C:$C,D$16)</f>
        <v>293</v>
      </c>
      <c r="E30">
        <f>SUMIFS(WeeklyPicks!$M:$M,WeeklyPicks!$A:$A,"&lt;="&amp;$A30,WeeklyPicks!$C:$C,E$16)</f>
        <v>195</v>
      </c>
      <c r="F30">
        <f>SUMIFS(WeeklyPicks!$M:$M,WeeklyPicks!$A:$A,"&lt;="&amp;$A30,WeeklyPicks!$C:$C,F$16)</f>
        <v>261</v>
      </c>
      <c r="G30">
        <f>SUMIFS(WeeklyPicks!$M:$M,WeeklyPicks!$A:$A,"&lt;="&amp;$A30,WeeklyPicks!$C:$C,G$16)</f>
        <v>203</v>
      </c>
      <c r="H30">
        <f>SUMIFS(WeeklyPicks!$M:$M,WeeklyPicks!$A:$A,"&lt;="&amp;$A30,WeeklyPicks!$C:$C,H$16)</f>
        <v>112</v>
      </c>
      <c r="I30">
        <f>SUMIFS(WeeklyPicks!$M:$M,WeeklyPicks!$A:$A,"&lt;="&amp;$A30,WeeklyPicks!$C:$C,I$16)</f>
        <v>0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0</v>
      </c>
      <c r="L30">
        <f>SUMIFS(WeeklyPicks!$M:$M,WeeklyPicks!$A:$A,"&lt;="&amp;$A30,WeeklyPicks!$C:$C,L$16)</f>
        <v>82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276</v>
      </c>
      <c r="D31">
        <f>SUMIFS(WeeklyPicks!$M:$M,WeeklyPicks!$A:$A,"&lt;="&amp;$A31,WeeklyPicks!$C:$C,D$16)</f>
        <v>293</v>
      </c>
      <c r="E31">
        <f>SUMIFS(WeeklyPicks!$M:$M,WeeklyPicks!$A:$A,"&lt;="&amp;$A31,WeeklyPicks!$C:$C,E$16)</f>
        <v>195</v>
      </c>
      <c r="F31">
        <f>SUMIFS(WeeklyPicks!$M:$M,WeeklyPicks!$A:$A,"&lt;="&amp;$A31,WeeklyPicks!$C:$C,F$16)</f>
        <v>261</v>
      </c>
      <c r="G31">
        <f>SUMIFS(WeeklyPicks!$M:$M,WeeklyPicks!$A:$A,"&lt;="&amp;$A31,WeeklyPicks!$C:$C,G$16)</f>
        <v>203</v>
      </c>
      <c r="H31">
        <f>SUMIFS(WeeklyPicks!$M:$M,WeeklyPicks!$A:$A,"&lt;="&amp;$A31,WeeklyPicks!$C:$C,H$16)</f>
        <v>112</v>
      </c>
      <c r="I31">
        <f>SUMIFS(WeeklyPicks!$M:$M,WeeklyPicks!$A:$A,"&lt;="&amp;$A31,WeeklyPicks!$C:$C,I$16)</f>
        <v>0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0</v>
      </c>
      <c r="L31">
        <f>SUMIFS(WeeklyPicks!$M:$M,WeeklyPicks!$A:$A,"&lt;="&amp;$A31,WeeklyPicks!$C:$C,L$16)</f>
        <v>82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276</v>
      </c>
      <c r="D32">
        <f>SUMIFS(WeeklyPicks!$M:$M,WeeklyPicks!$A:$A,"&lt;="&amp;$A32,WeeklyPicks!$C:$C,D$16)</f>
        <v>293</v>
      </c>
      <c r="E32">
        <f>SUMIFS(WeeklyPicks!$M:$M,WeeklyPicks!$A:$A,"&lt;="&amp;$A32,WeeklyPicks!$C:$C,E$16)</f>
        <v>195</v>
      </c>
      <c r="F32">
        <f>SUMIFS(WeeklyPicks!$M:$M,WeeklyPicks!$A:$A,"&lt;="&amp;$A32,WeeklyPicks!$C:$C,F$16)</f>
        <v>261</v>
      </c>
      <c r="G32">
        <f>SUMIFS(WeeklyPicks!$M:$M,WeeklyPicks!$A:$A,"&lt;="&amp;$A32,WeeklyPicks!$C:$C,G$16)</f>
        <v>203</v>
      </c>
      <c r="H32">
        <f>SUMIFS(WeeklyPicks!$M:$M,WeeklyPicks!$A:$A,"&lt;="&amp;$A32,WeeklyPicks!$C:$C,H$16)</f>
        <v>112</v>
      </c>
      <c r="I32">
        <f>SUMIFS(WeeklyPicks!$M:$M,WeeklyPicks!$A:$A,"&lt;="&amp;$A32,WeeklyPicks!$C:$C,I$16)</f>
        <v>0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0</v>
      </c>
      <c r="L32">
        <f>SUMIFS(WeeklyPicks!$M:$M,WeeklyPicks!$A:$A,"&lt;="&amp;$A32,WeeklyPicks!$C:$C,L$16)</f>
        <v>82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276</v>
      </c>
      <c r="D33">
        <f>SUMIFS(WeeklyPicks!$M:$M,WeeklyPicks!$A:$A,"&lt;="&amp;$A33,WeeklyPicks!$C:$C,D$16)</f>
        <v>293</v>
      </c>
      <c r="E33">
        <f>SUMIFS(WeeklyPicks!$M:$M,WeeklyPicks!$A:$A,"&lt;="&amp;$A33,WeeklyPicks!$C:$C,E$16)</f>
        <v>195</v>
      </c>
      <c r="F33">
        <f>SUMIFS(WeeklyPicks!$M:$M,WeeklyPicks!$A:$A,"&lt;="&amp;$A33,WeeklyPicks!$C:$C,F$16)</f>
        <v>261</v>
      </c>
      <c r="G33">
        <f>SUMIFS(WeeklyPicks!$M:$M,WeeklyPicks!$A:$A,"&lt;="&amp;$A33,WeeklyPicks!$C:$C,G$16)</f>
        <v>203</v>
      </c>
      <c r="H33">
        <f>SUMIFS(WeeklyPicks!$M:$M,WeeklyPicks!$A:$A,"&lt;="&amp;$A33,WeeklyPicks!$C:$C,H$16)</f>
        <v>112</v>
      </c>
      <c r="I33">
        <f>SUMIFS(WeeklyPicks!$M:$M,WeeklyPicks!$A:$A,"&lt;="&amp;$A33,WeeklyPicks!$C:$C,I$16)</f>
        <v>0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0</v>
      </c>
      <c r="L33">
        <f>SUMIFS(WeeklyPicks!$M:$M,WeeklyPicks!$A:$A,"&lt;="&amp;$A33,WeeklyPicks!$C:$C,L$16)</f>
        <v>82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276</v>
      </c>
      <c r="D34">
        <f>SUMIFS(WeeklyPicks!$M:$M,WeeklyPicks!$A:$A,"&lt;="&amp;$A34,WeeklyPicks!$C:$C,D$16)</f>
        <v>293</v>
      </c>
      <c r="E34">
        <f>SUMIFS(WeeklyPicks!$M:$M,WeeklyPicks!$A:$A,"&lt;="&amp;$A34,WeeklyPicks!$C:$C,E$16)</f>
        <v>195</v>
      </c>
      <c r="F34">
        <f>SUMIFS(WeeklyPicks!$M:$M,WeeklyPicks!$A:$A,"&lt;="&amp;$A34,WeeklyPicks!$C:$C,F$16)</f>
        <v>261</v>
      </c>
      <c r="G34">
        <f>SUMIFS(WeeklyPicks!$M:$M,WeeklyPicks!$A:$A,"&lt;="&amp;$A34,WeeklyPicks!$C:$C,G$16)</f>
        <v>203</v>
      </c>
      <c r="H34">
        <f>SUMIFS(WeeklyPicks!$M:$M,WeeklyPicks!$A:$A,"&lt;="&amp;$A34,WeeklyPicks!$C:$C,H$16)</f>
        <v>112</v>
      </c>
      <c r="I34">
        <f>SUMIFS(WeeklyPicks!$M:$M,WeeklyPicks!$A:$A,"&lt;="&amp;$A34,WeeklyPicks!$C:$C,I$16)</f>
        <v>0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0</v>
      </c>
      <c r="L34">
        <f>SUMIFS(WeeklyPicks!$M:$M,WeeklyPicks!$A:$A,"&lt;="&amp;$A34,WeeklyPicks!$C:$C,L$16)</f>
        <v>82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276</v>
      </c>
      <c r="D35">
        <f>SUMIFS(WeeklyPicks!$M:$M,WeeklyPicks!$A:$A,"&lt;="&amp;$A35,WeeklyPicks!$C:$C,D$16)</f>
        <v>293</v>
      </c>
      <c r="E35">
        <f>SUMIFS(WeeklyPicks!$M:$M,WeeklyPicks!$A:$A,"&lt;="&amp;$A35,WeeklyPicks!$C:$C,E$16)</f>
        <v>195</v>
      </c>
      <c r="F35">
        <f>SUMIFS(WeeklyPicks!$M:$M,WeeklyPicks!$A:$A,"&lt;="&amp;$A35,WeeklyPicks!$C:$C,F$16)</f>
        <v>261</v>
      </c>
      <c r="G35">
        <f>SUMIFS(WeeklyPicks!$M:$M,WeeklyPicks!$A:$A,"&lt;="&amp;$A35,WeeklyPicks!$C:$C,G$16)</f>
        <v>203</v>
      </c>
      <c r="H35">
        <f>SUMIFS(WeeklyPicks!$M:$M,WeeklyPicks!$A:$A,"&lt;="&amp;$A35,WeeklyPicks!$C:$C,H$16)</f>
        <v>112</v>
      </c>
      <c r="I35">
        <f>SUMIFS(WeeklyPicks!$M:$M,WeeklyPicks!$A:$A,"&lt;="&amp;$A35,WeeklyPicks!$C:$C,I$16)</f>
        <v>0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0</v>
      </c>
      <c r="L35">
        <f>SUMIFS(WeeklyPicks!$M:$M,WeeklyPicks!$A:$A,"&lt;="&amp;$A35,WeeklyPicks!$C:$C,L$16)</f>
        <v>82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276</v>
      </c>
      <c r="D36">
        <f>SUMIFS(WeeklyPicks!$M:$M,WeeklyPicks!$A:$A,"&lt;="&amp;$A36,WeeklyPicks!$C:$C,D$16)</f>
        <v>293</v>
      </c>
      <c r="E36">
        <f>SUMIFS(WeeklyPicks!$M:$M,WeeklyPicks!$A:$A,"&lt;="&amp;$A36,WeeklyPicks!$C:$C,E$16)</f>
        <v>195</v>
      </c>
      <c r="F36">
        <f>SUMIFS(WeeklyPicks!$M:$M,WeeklyPicks!$A:$A,"&lt;="&amp;$A36,WeeklyPicks!$C:$C,F$16)</f>
        <v>261</v>
      </c>
      <c r="G36">
        <f>SUMIFS(WeeklyPicks!$M:$M,WeeklyPicks!$A:$A,"&lt;="&amp;$A36,WeeklyPicks!$C:$C,G$16)</f>
        <v>203</v>
      </c>
      <c r="H36">
        <f>SUMIFS(WeeklyPicks!$M:$M,WeeklyPicks!$A:$A,"&lt;="&amp;$A36,WeeklyPicks!$C:$C,H$16)</f>
        <v>112</v>
      </c>
      <c r="I36">
        <f>SUMIFS(WeeklyPicks!$M:$M,WeeklyPicks!$A:$A,"&lt;="&amp;$A36,WeeklyPicks!$C:$C,I$16)</f>
        <v>0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0</v>
      </c>
      <c r="L36">
        <f>SUMIFS(WeeklyPicks!$M:$M,WeeklyPicks!$A:$A,"&lt;="&amp;$A36,WeeklyPicks!$C:$C,L$16)</f>
        <v>82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276</v>
      </c>
      <c r="D37">
        <f>SUMIFS(WeeklyPicks!$M:$M,WeeklyPicks!$A:$A,"&lt;="&amp;$A37,WeeklyPicks!$C:$C,D$16)</f>
        <v>293</v>
      </c>
      <c r="E37">
        <f>SUMIFS(WeeklyPicks!$M:$M,WeeklyPicks!$A:$A,"&lt;="&amp;$A37,WeeklyPicks!$C:$C,E$16)</f>
        <v>195</v>
      </c>
      <c r="F37">
        <f>SUMIFS(WeeklyPicks!$M:$M,WeeklyPicks!$A:$A,"&lt;="&amp;$A37,WeeklyPicks!$C:$C,F$16)</f>
        <v>261</v>
      </c>
      <c r="G37">
        <f>SUMIFS(WeeklyPicks!$M:$M,WeeklyPicks!$A:$A,"&lt;="&amp;$A37,WeeklyPicks!$C:$C,G$16)</f>
        <v>203</v>
      </c>
      <c r="H37">
        <f>SUMIFS(WeeklyPicks!$M:$M,WeeklyPicks!$A:$A,"&lt;="&amp;$A37,WeeklyPicks!$C:$C,H$16)</f>
        <v>112</v>
      </c>
      <c r="I37">
        <f>SUMIFS(WeeklyPicks!$M:$M,WeeklyPicks!$A:$A,"&lt;="&amp;$A37,WeeklyPicks!$C:$C,I$16)</f>
        <v>0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0</v>
      </c>
      <c r="L37">
        <f>SUMIFS(WeeklyPicks!$M:$M,WeeklyPicks!$A:$A,"&lt;="&amp;$A37,WeeklyPicks!$C:$C,L$16)</f>
        <v>82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276</v>
      </c>
      <c r="D38">
        <f>SUMIFS(WeeklyPicks!$M:$M,WeeklyPicks!$A:$A,"&lt;="&amp;$A38,WeeklyPicks!$C:$C,D$16)</f>
        <v>293</v>
      </c>
      <c r="E38">
        <f>SUMIFS(WeeklyPicks!$M:$M,WeeklyPicks!$A:$A,"&lt;="&amp;$A38,WeeklyPicks!$C:$C,E$16)</f>
        <v>195</v>
      </c>
      <c r="F38">
        <f>SUMIFS(WeeklyPicks!$M:$M,WeeklyPicks!$A:$A,"&lt;="&amp;$A38,WeeklyPicks!$C:$C,F$16)</f>
        <v>261</v>
      </c>
      <c r="G38">
        <f>SUMIFS(WeeklyPicks!$M:$M,WeeklyPicks!$A:$A,"&lt;="&amp;$A38,WeeklyPicks!$C:$C,G$16)</f>
        <v>203</v>
      </c>
      <c r="H38">
        <f>SUMIFS(WeeklyPicks!$M:$M,WeeklyPicks!$A:$A,"&lt;="&amp;$A38,WeeklyPicks!$C:$C,H$16)</f>
        <v>112</v>
      </c>
      <c r="I38">
        <f>SUMIFS(WeeklyPicks!$M:$M,WeeklyPicks!$A:$A,"&lt;="&amp;$A38,WeeklyPicks!$C:$C,I$16)</f>
        <v>0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0</v>
      </c>
      <c r="L38">
        <f>SUMIFS(WeeklyPicks!$M:$M,WeeklyPicks!$A:$A,"&lt;="&amp;$A38,WeeklyPicks!$C:$C,L$16)</f>
        <v>82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276</v>
      </c>
      <c r="D39">
        <f>SUMIFS(WeeklyPicks!$M:$M,WeeklyPicks!$A:$A,"&lt;="&amp;$A39,WeeklyPicks!$C:$C,D$16)</f>
        <v>293</v>
      </c>
      <c r="E39">
        <f>SUMIFS(WeeklyPicks!$M:$M,WeeklyPicks!$A:$A,"&lt;="&amp;$A39,WeeklyPicks!$C:$C,E$16)</f>
        <v>195</v>
      </c>
      <c r="F39">
        <f>SUMIFS(WeeklyPicks!$M:$M,WeeklyPicks!$A:$A,"&lt;="&amp;$A39,WeeklyPicks!$C:$C,F$16)</f>
        <v>261</v>
      </c>
      <c r="G39">
        <f>SUMIFS(WeeklyPicks!$M:$M,WeeklyPicks!$A:$A,"&lt;="&amp;$A39,WeeklyPicks!$C:$C,G$16)</f>
        <v>203</v>
      </c>
      <c r="H39">
        <f>SUMIFS(WeeklyPicks!$M:$M,WeeklyPicks!$A:$A,"&lt;="&amp;$A39,WeeklyPicks!$C:$C,H$16)</f>
        <v>112</v>
      </c>
      <c r="I39">
        <f>SUMIFS(WeeklyPicks!$M:$M,WeeklyPicks!$A:$A,"&lt;="&amp;$A39,WeeklyPicks!$C:$C,I$16)</f>
        <v>0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0</v>
      </c>
      <c r="L39">
        <f>SUMIFS(WeeklyPicks!$M:$M,WeeklyPicks!$A:$A,"&lt;="&amp;$A39,WeeklyPicks!$C:$C,L$16)</f>
        <v>82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276</v>
      </c>
      <c r="D40">
        <f>SUMIFS(WeeklyPicks!$M:$M,WeeklyPicks!$A:$A,"&lt;="&amp;$A40,WeeklyPicks!$C:$C,D$16)</f>
        <v>293</v>
      </c>
      <c r="E40">
        <f>SUMIFS(WeeklyPicks!$M:$M,WeeklyPicks!$A:$A,"&lt;="&amp;$A40,WeeklyPicks!$C:$C,E$16)</f>
        <v>195</v>
      </c>
      <c r="F40">
        <f>SUMIFS(WeeklyPicks!$M:$M,WeeklyPicks!$A:$A,"&lt;="&amp;$A40,WeeklyPicks!$C:$C,F$16)</f>
        <v>261</v>
      </c>
      <c r="G40">
        <f>SUMIFS(WeeklyPicks!$M:$M,WeeklyPicks!$A:$A,"&lt;="&amp;$A40,WeeklyPicks!$C:$C,G$16)</f>
        <v>203</v>
      </c>
      <c r="H40">
        <f>SUMIFS(WeeklyPicks!$M:$M,WeeklyPicks!$A:$A,"&lt;="&amp;$A40,WeeklyPicks!$C:$C,H$16)</f>
        <v>112</v>
      </c>
      <c r="I40">
        <f>SUMIFS(WeeklyPicks!$M:$M,WeeklyPicks!$A:$A,"&lt;="&amp;$A40,WeeklyPicks!$C:$C,I$16)</f>
        <v>0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0</v>
      </c>
      <c r="L40">
        <f>SUMIFS(WeeklyPicks!$M:$M,WeeklyPicks!$A:$A,"&lt;="&amp;$A40,WeeklyPicks!$C:$C,L$16)</f>
        <v>82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276</v>
      </c>
      <c r="D41">
        <f>SUMIFS(WeeklyPicks!$M:$M,WeeklyPicks!$A:$A,"&lt;="&amp;$A41,WeeklyPicks!$C:$C,D$16)</f>
        <v>293</v>
      </c>
      <c r="E41">
        <f>SUMIFS(WeeklyPicks!$M:$M,WeeklyPicks!$A:$A,"&lt;="&amp;$A41,WeeklyPicks!$C:$C,E$16)</f>
        <v>195</v>
      </c>
      <c r="F41">
        <f>SUMIFS(WeeklyPicks!$M:$M,WeeklyPicks!$A:$A,"&lt;="&amp;$A41,WeeklyPicks!$C:$C,F$16)</f>
        <v>261</v>
      </c>
      <c r="G41">
        <f>SUMIFS(WeeklyPicks!$M:$M,WeeklyPicks!$A:$A,"&lt;="&amp;$A41,WeeklyPicks!$C:$C,G$16)</f>
        <v>203</v>
      </c>
      <c r="H41">
        <f>SUMIFS(WeeklyPicks!$M:$M,WeeklyPicks!$A:$A,"&lt;="&amp;$A41,WeeklyPicks!$C:$C,H$16)</f>
        <v>112</v>
      </c>
      <c r="I41">
        <f>SUMIFS(WeeklyPicks!$M:$M,WeeklyPicks!$A:$A,"&lt;="&amp;$A41,WeeklyPicks!$C:$C,I$16)</f>
        <v>0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0</v>
      </c>
      <c r="L41">
        <f>SUMIFS(WeeklyPicks!$M:$M,WeeklyPicks!$A:$A,"&lt;="&amp;$A41,WeeklyPicks!$C:$C,L$16)</f>
        <v>82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276</v>
      </c>
      <c r="D42">
        <f>SUMIFS(WeeklyPicks!$M:$M,WeeklyPicks!$A:$A,"&lt;="&amp;$A42,WeeklyPicks!$C:$C,D$16)</f>
        <v>293</v>
      </c>
      <c r="E42">
        <f>SUMIFS(WeeklyPicks!$M:$M,WeeklyPicks!$A:$A,"&lt;="&amp;$A42,WeeklyPicks!$C:$C,E$16)</f>
        <v>195</v>
      </c>
      <c r="F42">
        <f>SUMIFS(WeeklyPicks!$M:$M,WeeklyPicks!$A:$A,"&lt;="&amp;$A42,WeeklyPicks!$C:$C,F$16)</f>
        <v>261</v>
      </c>
      <c r="G42">
        <f>SUMIFS(WeeklyPicks!$M:$M,WeeklyPicks!$A:$A,"&lt;="&amp;$A42,WeeklyPicks!$C:$C,G$16)</f>
        <v>203</v>
      </c>
      <c r="H42">
        <f>SUMIFS(WeeklyPicks!$M:$M,WeeklyPicks!$A:$A,"&lt;="&amp;$A42,WeeklyPicks!$C:$C,H$16)</f>
        <v>112</v>
      </c>
      <c r="I42">
        <f>SUMIFS(WeeklyPicks!$M:$M,WeeklyPicks!$A:$A,"&lt;="&amp;$A42,WeeklyPicks!$C:$C,I$16)</f>
        <v>0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0</v>
      </c>
      <c r="L42">
        <f>SUMIFS(WeeklyPicks!$M:$M,WeeklyPicks!$A:$A,"&lt;="&amp;$A42,WeeklyPicks!$C:$C,L$16)</f>
        <v>82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276</v>
      </c>
      <c r="D43">
        <f>SUMIFS(WeeklyPicks!$M:$M,WeeklyPicks!$A:$A,"&lt;="&amp;$A43,WeeklyPicks!$C:$C,D$16)</f>
        <v>293</v>
      </c>
      <c r="E43">
        <f>SUMIFS(WeeklyPicks!$M:$M,WeeklyPicks!$A:$A,"&lt;="&amp;$A43,WeeklyPicks!$C:$C,E$16)</f>
        <v>195</v>
      </c>
      <c r="F43">
        <f>SUMIFS(WeeklyPicks!$M:$M,WeeklyPicks!$A:$A,"&lt;="&amp;$A43,WeeklyPicks!$C:$C,F$16)</f>
        <v>261</v>
      </c>
      <c r="G43">
        <f>SUMIFS(WeeklyPicks!$M:$M,WeeklyPicks!$A:$A,"&lt;="&amp;$A43,WeeklyPicks!$C:$C,G$16)</f>
        <v>203</v>
      </c>
      <c r="H43">
        <f>SUMIFS(WeeklyPicks!$M:$M,WeeklyPicks!$A:$A,"&lt;="&amp;$A43,WeeklyPicks!$C:$C,H$16)</f>
        <v>112</v>
      </c>
      <c r="I43">
        <f>SUMIFS(WeeklyPicks!$M:$M,WeeklyPicks!$A:$A,"&lt;="&amp;$A43,WeeklyPicks!$C:$C,I$16)</f>
        <v>0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0</v>
      </c>
      <c r="L43">
        <f>SUMIFS(WeeklyPicks!$M:$M,WeeklyPicks!$A:$A,"&lt;="&amp;$A43,WeeklyPicks!$C:$C,L$16)</f>
        <v>82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276</v>
      </c>
      <c r="D44">
        <f>SUMIFS(WeeklyPicks!$M:$M,WeeklyPicks!$A:$A,"&lt;="&amp;$A44,WeeklyPicks!$C:$C,D$16)</f>
        <v>293</v>
      </c>
      <c r="E44">
        <f>SUMIFS(WeeklyPicks!$M:$M,WeeklyPicks!$A:$A,"&lt;="&amp;$A44,WeeklyPicks!$C:$C,E$16)</f>
        <v>195</v>
      </c>
      <c r="F44">
        <f>SUMIFS(WeeklyPicks!$M:$M,WeeklyPicks!$A:$A,"&lt;="&amp;$A44,WeeklyPicks!$C:$C,F$16)</f>
        <v>261</v>
      </c>
      <c r="G44">
        <f>SUMIFS(WeeklyPicks!$M:$M,WeeklyPicks!$A:$A,"&lt;="&amp;$A44,WeeklyPicks!$C:$C,G$16)</f>
        <v>203</v>
      </c>
      <c r="H44">
        <f>SUMIFS(WeeklyPicks!$M:$M,WeeklyPicks!$A:$A,"&lt;="&amp;$A44,WeeklyPicks!$C:$C,H$16)</f>
        <v>112</v>
      </c>
      <c r="I44">
        <f>SUMIFS(WeeklyPicks!$M:$M,WeeklyPicks!$A:$A,"&lt;="&amp;$A44,WeeklyPicks!$C:$C,I$16)</f>
        <v>0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0</v>
      </c>
      <c r="L44">
        <f>SUMIFS(WeeklyPicks!$M:$M,WeeklyPicks!$A:$A,"&lt;="&amp;$A44,WeeklyPicks!$C:$C,L$16)</f>
        <v>82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276</v>
      </c>
      <c r="D45">
        <f>SUMIFS(WeeklyPicks!$M:$M,WeeklyPicks!$A:$A,"&lt;="&amp;$A45,WeeklyPicks!$C:$C,D$16)</f>
        <v>293</v>
      </c>
      <c r="E45">
        <f>SUMIFS(WeeklyPicks!$M:$M,WeeklyPicks!$A:$A,"&lt;="&amp;$A45,WeeklyPicks!$C:$C,E$16)</f>
        <v>195</v>
      </c>
      <c r="F45">
        <f>SUMIFS(WeeklyPicks!$M:$M,WeeklyPicks!$A:$A,"&lt;="&amp;$A45,WeeklyPicks!$C:$C,F$16)</f>
        <v>261</v>
      </c>
      <c r="G45">
        <f>SUMIFS(WeeklyPicks!$M:$M,WeeklyPicks!$A:$A,"&lt;="&amp;$A45,WeeklyPicks!$C:$C,G$16)</f>
        <v>203</v>
      </c>
      <c r="H45">
        <f>SUMIFS(WeeklyPicks!$M:$M,WeeklyPicks!$A:$A,"&lt;="&amp;$A45,WeeklyPicks!$C:$C,H$16)</f>
        <v>112</v>
      </c>
      <c r="I45">
        <f>SUMIFS(WeeklyPicks!$M:$M,WeeklyPicks!$A:$A,"&lt;="&amp;$A45,WeeklyPicks!$C:$C,I$16)</f>
        <v>0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0</v>
      </c>
      <c r="L45">
        <f>SUMIFS(WeeklyPicks!$M:$M,WeeklyPicks!$A:$A,"&lt;="&amp;$A45,WeeklyPicks!$C:$C,L$16)</f>
        <v>82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276</v>
      </c>
      <c r="D46">
        <f>SUMIFS(WeeklyPicks!$M:$M,WeeklyPicks!$A:$A,"&lt;="&amp;$A46,WeeklyPicks!$C:$C,D$16)</f>
        <v>293</v>
      </c>
      <c r="E46">
        <f>SUMIFS(WeeklyPicks!$M:$M,WeeklyPicks!$A:$A,"&lt;="&amp;$A46,WeeklyPicks!$C:$C,E$16)</f>
        <v>195</v>
      </c>
      <c r="F46">
        <f>SUMIFS(WeeklyPicks!$M:$M,WeeklyPicks!$A:$A,"&lt;="&amp;$A46,WeeklyPicks!$C:$C,F$16)</f>
        <v>261</v>
      </c>
      <c r="G46">
        <f>SUMIFS(WeeklyPicks!$M:$M,WeeklyPicks!$A:$A,"&lt;="&amp;$A46,WeeklyPicks!$C:$C,G$16)</f>
        <v>203</v>
      </c>
      <c r="H46">
        <f>SUMIFS(WeeklyPicks!$M:$M,WeeklyPicks!$A:$A,"&lt;="&amp;$A46,WeeklyPicks!$C:$C,H$16)</f>
        <v>112</v>
      </c>
      <c r="I46">
        <f>SUMIFS(WeeklyPicks!$M:$M,WeeklyPicks!$A:$A,"&lt;="&amp;$A46,WeeklyPicks!$C:$C,I$16)</f>
        <v>0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0</v>
      </c>
      <c r="L46">
        <f>SUMIFS(WeeklyPicks!$M:$M,WeeklyPicks!$A:$A,"&lt;="&amp;$A46,WeeklyPicks!$C:$C,L$16)</f>
        <v>82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276</v>
      </c>
      <c r="D47">
        <f>SUMIFS(WeeklyPicks!$M:$M,WeeklyPicks!$A:$A,"&lt;="&amp;$A47,WeeklyPicks!$C:$C,D$16)</f>
        <v>293</v>
      </c>
      <c r="E47">
        <f>SUMIFS(WeeklyPicks!$M:$M,WeeklyPicks!$A:$A,"&lt;="&amp;$A47,WeeklyPicks!$C:$C,E$16)</f>
        <v>195</v>
      </c>
      <c r="F47">
        <f>SUMIFS(WeeklyPicks!$M:$M,WeeklyPicks!$A:$A,"&lt;="&amp;$A47,WeeklyPicks!$C:$C,F$16)</f>
        <v>261</v>
      </c>
      <c r="G47">
        <f>SUMIFS(WeeklyPicks!$M:$M,WeeklyPicks!$A:$A,"&lt;="&amp;$A47,WeeklyPicks!$C:$C,G$16)</f>
        <v>203</v>
      </c>
      <c r="H47">
        <f>SUMIFS(WeeklyPicks!$M:$M,WeeklyPicks!$A:$A,"&lt;="&amp;$A47,WeeklyPicks!$C:$C,H$16)</f>
        <v>112</v>
      </c>
      <c r="I47">
        <f>SUMIFS(WeeklyPicks!$M:$M,WeeklyPicks!$A:$A,"&lt;="&amp;$A47,WeeklyPicks!$C:$C,I$16)</f>
        <v>0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0</v>
      </c>
      <c r="L47">
        <f>SUMIFS(WeeklyPicks!$M:$M,WeeklyPicks!$A:$A,"&lt;="&amp;$A47,WeeklyPicks!$C:$C,L$16)</f>
        <v>82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276</v>
      </c>
      <c r="D48">
        <f>SUMIFS(WeeklyPicks!$M:$M,WeeklyPicks!$A:$A,"&lt;="&amp;$A48,WeeklyPicks!$C:$C,D$16)</f>
        <v>293</v>
      </c>
      <c r="E48">
        <f>SUMIFS(WeeklyPicks!$M:$M,WeeklyPicks!$A:$A,"&lt;="&amp;$A48,WeeklyPicks!$C:$C,E$16)</f>
        <v>195</v>
      </c>
      <c r="F48">
        <f>SUMIFS(WeeklyPicks!$M:$M,WeeklyPicks!$A:$A,"&lt;="&amp;$A48,WeeklyPicks!$C:$C,F$16)</f>
        <v>261</v>
      </c>
      <c r="G48">
        <f>SUMIFS(WeeklyPicks!$M:$M,WeeklyPicks!$A:$A,"&lt;="&amp;$A48,WeeklyPicks!$C:$C,G$16)</f>
        <v>203</v>
      </c>
      <c r="H48">
        <f>SUMIFS(WeeklyPicks!$M:$M,WeeklyPicks!$A:$A,"&lt;="&amp;$A48,WeeklyPicks!$C:$C,H$16)</f>
        <v>112</v>
      </c>
      <c r="I48">
        <f>SUMIFS(WeeklyPicks!$M:$M,WeeklyPicks!$A:$A,"&lt;="&amp;$A48,WeeklyPicks!$C:$C,I$16)</f>
        <v>0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0</v>
      </c>
      <c r="L48">
        <f>SUMIFS(WeeklyPicks!$M:$M,WeeklyPicks!$A:$A,"&lt;="&amp;$A48,WeeklyPicks!$C:$C,L$16)</f>
        <v>82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276</v>
      </c>
      <c r="D49">
        <f>SUMIFS(WeeklyPicks!$M:$M,WeeklyPicks!$A:$A,"&lt;="&amp;$A49,WeeklyPicks!$C:$C,D$16)</f>
        <v>293</v>
      </c>
      <c r="E49">
        <f>SUMIFS(WeeklyPicks!$M:$M,WeeklyPicks!$A:$A,"&lt;="&amp;$A49,WeeklyPicks!$C:$C,E$16)</f>
        <v>195</v>
      </c>
      <c r="F49">
        <f>SUMIFS(WeeklyPicks!$M:$M,WeeklyPicks!$A:$A,"&lt;="&amp;$A49,WeeklyPicks!$C:$C,F$16)</f>
        <v>261</v>
      </c>
      <c r="G49">
        <f>SUMIFS(WeeklyPicks!$M:$M,WeeklyPicks!$A:$A,"&lt;="&amp;$A49,WeeklyPicks!$C:$C,G$16)</f>
        <v>203</v>
      </c>
      <c r="H49">
        <f>SUMIFS(WeeklyPicks!$M:$M,WeeklyPicks!$A:$A,"&lt;="&amp;$A49,WeeklyPicks!$C:$C,H$16)</f>
        <v>112</v>
      </c>
      <c r="I49">
        <f>SUMIFS(WeeklyPicks!$M:$M,WeeklyPicks!$A:$A,"&lt;="&amp;$A49,WeeklyPicks!$C:$C,I$16)</f>
        <v>0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0</v>
      </c>
      <c r="L49">
        <f>SUMIFS(WeeklyPicks!$M:$M,WeeklyPicks!$A:$A,"&lt;="&amp;$A49,WeeklyPicks!$C:$C,L$16)</f>
        <v>82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276</v>
      </c>
      <c r="D50">
        <f>SUMIFS(WeeklyPicks!$M:$M,WeeklyPicks!$A:$A,"&lt;="&amp;$A50,WeeklyPicks!$C:$C,D$16)</f>
        <v>293</v>
      </c>
      <c r="E50">
        <f>SUMIFS(WeeklyPicks!$M:$M,WeeklyPicks!$A:$A,"&lt;="&amp;$A50,WeeklyPicks!$C:$C,E$16)</f>
        <v>195</v>
      </c>
      <c r="F50">
        <f>SUMIFS(WeeklyPicks!$M:$M,WeeklyPicks!$A:$A,"&lt;="&amp;$A50,WeeklyPicks!$C:$C,F$16)</f>
        <v>261</v>
      </c>
      <c r="G50">
        <f>SUMIFS(WeeklyPicks!$M:$M,WeeklyPicks!$A:$A,"&lt;="&amp;$A50,WeeklyPicks!$C:$C,G$16)</f>
        <v>203</v>
      </c>
      <c r="H50">
        <f>SUMIFS(WeeklyPicks!$M:$M,WeeklyPicks!$A:$A,"&lt;="&amp;$A50,WeeklyPicks!$C:$C,H$16)</f>
        <v>112</v>
      </c>
      <c r="I50">
        <f>SUMIFS(WeeklyPicks!$M:$M,WeeklyPicks!$A:$A,"&lt;="&amp;$A50,WeeklyPicks!$C:$C,I$16)</f>
        <v>0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0</v>
      </c>
      <c r="L50">
        <f>SUMIFS(WeeklyPicks!$M:$M,WeeklyPicks!$A:$A,"&lt;="&amp;$A50,WeeklyPicks!$C:$C,L$16)</f>
        <v>82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276</v>
      </c>
      <c r="D51">
        <f>SUMIFS(WeeklyPicks!$M:$M,WeeklyPicks!$A:$A,"&lt;="&amp;$A51,WeeklyPicks!$C:$C,D$16)</f>
        <v>293</v>
      </c>
      <c r="E51">
        <f>SUMIFS(WeeklyPicks!$M:$M,WeeklyPicks!$A:$A,"&lt;="&amp;$A51,WeeklyPicks!$C:$C,E$16)</f>
        <v>195</v>
      </c>
      <c r="F51">
        <f>SUMIFS(WeeklyPicks!$M:$M,WeeklyPicks!$A:$A,"&lt;="&amp;$A51,WeeklyPicks!$C:$C,F$16)</f>
        <v>261</v>
      </c>
      <c r="G51">
        <f>SUMIFS(WeeklyPicks!$M:$M,WeeklyPicks!$A:$A,"&lt;="&amp;$A51,WeeklyPicks!$C:$C,G$16)</f>
        <v>203</v>
      </c>
      <c r="H51">
        <f>SUMIFS(WeeklyPicks!$M:$M,WeeklyPicks!$A:$A,"&lt;="&amp;$A51,WeeklyPicks!$C:$C,H$16)</f>
        <v>112</v>
      </c>
      <c r="I51">
        <f>SUMIFS(WeeklyPicks!$M:$M,WeeklyPicks!$A:$A,"&lt;="&amp;$A51,WeeklyPicks!$C:$C,I$16)</f>
        <v>0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0</v>
      </c>
      <c r="L51">
        <f>SUMIFS(WeeklyPicks!$M:$M,WeeklyPicks!$A:$A,"&lt;="&amp;$A51,WeeklyPicks!$C:$C,L$16)</f>
        <v>82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276</v>
      </c>
      <c r="D52">
        <f>SUMIFS(WeeklyPicks!$M:$M,WeeklyPicks!$A:$A,"&lt;="&amp;$A52,WeeklyPicks!$C:$C,D$16)</f>
        <v>293</v>
      </c>
      <c r="E52">
        <f>SUMIFS(WeeklyPicks!$M:$M,WeeklyPicks!$A:$A,"&lt;="&amp;$A52,WeeklyPicks!$C:$C,E$16)</f>
        <v>195</v>
      </c>
      <c r="F52">
        <f>SUMIFS(WeeklyPicks!$M:$M,WeeklyPicks!$A:$A,"&lt;="&amp;$A52,WeeklyPicks!$C:$C,F$16)</f>
        <v>261</v>
      </c>
      <c r="G52">
        <f>SUMIFS(WeeklyPicks!$M:$M,WeeklyPicks!$A:$A,"&lt;="&amp;$A52,WeeklyPicks!$C:$C,G$16)</f>
        <v>203</v>
      </c>
      <c r="H52">
        <f>SUMIFS(WeeklyPicks!$M:$M,WeeklyPicks!$A:$A,"&lt;="&amp;$A52,WeeklyPicks!$C:$C,H$16)</f>
        <v>112</v>
      </c>
      <c r="I52">
        <f>SUMIFS(WeeklyPicks!$M:$M,WeeklyPicks!$A:$A,"&lt;="&amp;$A52,WeeklyPicks!$C:$C,I$16)</f>
        <v>0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0</v>
      </c>
      <c r="L52">
        <f>SUMIFS(WeeklyPicks!$M:$M,WeeklyPicks!$A:$A,"&lt;="&amp;$A52,WeeklyPicks!$C:$C,L$16)</f>
        <v>82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276</v>
      </c>
      <c r="D5" s="16">
        <f>Dashboard!D4</f>
        <v>1</v>
      </c>
      <c r="E5" s="16">
        <f>Dashboard!G4</f>
        <v>82</v>
      </c>
    </row>
    <row r="6" spans="1:6" ht="18" customHeight="1" x14ac:dyDescent="0.3">
      <c r="A6" s="16">
        <f>Dashboard!A5</f>
        <v>1</v>
      </c>
      <c r="B6" s="16" t="str">
        <f>Dashboard!B5</f>
        <v>Meg</v>
      </c>
      <c r="C6" s="16">
        <f>Dashboard!C5</f>
        <v>293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5</v>
      </c>
      <c r="B7" s="16" t="str">
        <f>Dashboard!B6</f>
        <v>Darin</v>
      </c>
      <c r="C7" s="16">
        <f>Dashboard!C6</f>
        <v>195</v>
      </c>
      <c r="D7" s="16">
        <f>Dashboard!D6</f>
        <v>0</v>
      </c>
      <c r="E7" s="16">
        <f>Dashboard!G6</f>
        <v>95</v>
      </c>
    </row>
    <row r="8" spans="1:6" ht="18" customHeight="1" x14ac:dyDescent="0.3">
      <c r="A8" s="16">
        <f>Dashboard!A7</f>
        <v>3</v>
      </c>
      <c r="B8" s="16" t="str">
        <f>Dashboard!B7</f>
        <v>Alz</v>
      </c>
      <c r="C8" s="16">
        <f>Dashboard!C7</f>
        <v>261</v>
      </c>
      <c r="D8" s="16">
        <f>Dashboard!D7</f>
        <v>0</v>
      </c>
      <c r="E8" s="16">
        <f>Dashboard!G7</f>
        <v>106</v>
      </c>
    </row>
    <row r="9" spans="1:6" ht="18" customHeight="1" x14ac:dyDescent="0.3">
      <c r="A9" s="16">
        <f>Dashboard!A8</f>
        <v>4</v>
      </c>
      <c r="B9" s="16" t="str">
        <f>Dashboard!B8</f>
        <v>Joe</v>
      </c>
      <c r="C9" s="16">
        <f>Dashboard!C8</f>
        <v>203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112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8</v>
      </c>
      <c r="B11" s="16" t="str">
        <f>Dashboard!B10</f>
        <v>Deric</v>
      </c>
      <c r="C11" s="16">
        <f>Dashboard!C10</f>
        <v>0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8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0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82</v>
      </c>
      <c r="D14" s="16">
        <f>Dashboard!D13</f>
        <v>0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2026-03-22T01:44:20Z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