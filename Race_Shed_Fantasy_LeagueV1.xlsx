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604" documentId="8_{64ED620B-E9CD-47B3-A172-B982AAA909D5}" xr6:coauthVersionLast="47" xr6:coauthVersionMax="47" xr10:uidLastSave="{703F2292-8778-437B-ABDB-D21CA511C1ED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49" i="10" l="1"/>
  <c r="C2" i="10"/>
  <c r="C3" i="10"/>
  <c r="C78" i="10"/>
  <c r="C18" i="10"/>
  <c r="C8" i="10"/>
  <c r="M47" i="5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26" i="11" l="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<sst xmlns="http://schemas.openxmlformats.org/spreadsheetml/2006/main" count="8285" uniqueCount="159">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</sst>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611</c:v>
                </c:pt>
                <c:pt idx="1">
                  <c:v>611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880</c:v>
                </c:pt>
                <c:pt idx="17">
                  <c:v>945</c:v>
                </c:pt>
                <c:pt idx="18">
                  <c:v>945</c:v>
                </c:pt>
                <c:pt idx="19">
                  <c:v>945</c:v>
                </c:pt>
                <c:pt idx="20">
                  <c:v>945</c:v>
                </c:pt>
                <c:pt idx="21">
                  <c:v>945</c:v>
                </c:pt>
                <c:pt idx="22">
                  <c:v>945</c:v>
                </c:pt>
                <c:pt idx="23">
                  <c:v>945</c:v>
                </c:pt>
                <c:pt idx="24">
                  <c:v>945</c:v>
                </c:pt>
                <c:pt idx="25">
                  <c:v>945</c:v>
                </c:pt>
                <c:pt idx="26">
                  <c:v>945</c:v>
                </c:pt>
                <c:pt idx="27">
                  <c:v>945</c:v>
                </c:pt>
                <c:pt idx="28">
                  <c:v>945</c:v>
                </c:pt>
                <c:pt idx="29">
                  <c:v>945</c:v>
                </c:pt>
                <c:pt idx="30">
                  <c:v>945</c:v>
                </c:pt>
                <c:pt idx="31">
                  <c:v>945</c:v>
                </c:pt>
                <c:pt idx="32">
                  <c:v>945</c:v>
                </c:pt>
                <c:pt idx="33">
                  <c:v>945</c:v>
                </c:pt>
                <c:pt idx="34">
                  <c:v>945</c:v>
                </c:pt>
                <c:pt idx="35">
                  <c:v>945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875</c:v>
                </c:pt>
                <c:pt idx="17">
                  <c:v>974</c:v>
                </c:pt>
                <c:pt idx="18">
                  <c:v>974</c:v>
                </c:pt>
                <c:pt idx="19">
                  <c:v>974</c:v>
                </c:pt>
                <c:pt idx="20">
                  <c:v>974</c:v>
                </c:pt>
                <c:pt idx="21">
                  <c:v>974</c:v>
                </c:pt>
                <c:pt idx="22">
                  <c:v>974</c:v>
                </c:pt>
                <c:pt idx="23">
                  <c:v>974</c:v>
                </c:pt>
                <c:pt idx="24">
                  <c:v>974</c:v>
                </c:pt>
                <c:pt idx="25">
                  <c:v>974</c:v>
                </c:pt>
                <c:pt idx="26">
                  <c:v>974</c:v>
                </c:pt>
                <c:pt idx="27">
                  <c:v>974</c:v>
                </c:pt>
                <c:pt idx="28">
                  <c:v>974</c:v>
                </c:pt>
                <c:pt idx="29">
                  <c:v>974</c:v>
                </c:pt>
                <c:pt idx="30">
                  <c:v>974</c:v>
                </c:pt>
                <c:pt idx="31">
                  <c:v>974</c:v>
                </c:pt>
                <c:pt idx="32">
                  <c:v>974</c:v>
                </c:pt>
                <c:pt idx="33">
                  <c:v>974</c:v>
                </c:pt>
                <c:pt idx="34">
                  <c:v>974</c:v>
                </c:pt>
                <c:pt idx="35">
                  <c:v>974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16.972222222222221</c:v>
                </c:pt>
                <c:pt idx="1">
                  <c:v>16.972222222222221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736</c:v>
                </c:pt>
                <c:pt idx="17">
                  <c:v>800</c:v>
                </c:pt>
                <c:pt idx="18">
                  <c:v>800</c:v>
                </c:pt>
                <c:pt idx="19">
                  <c:v>800</c:v>
                </c:pt>
                <c:pt idx="20">
                  <c:v>800</c:v>
                </c:pt>
                <c:pt idx="21">
                  <c:v>800</c:v>
                </c:pt>
                <c:pt idx="22">
                  <c:v>800</c:v>
                </c:pt>
                <c:pt idx="23">
                  <c:v>800</c:v>
                </c:pt>
                <c:pt idx="24">
                  <c:v>800</c:v>
                </c:pt>
                <c:pt idx="25">
                  <c:v>800</c:v>
                </c:pt>
                <c:pt idx="26">
                  <c:v>800</c:v>
                </c:pt>
                <c:pt idx="27">
                  <c:v>800</c:v>
                </c:pt>
                <c:pt idx="28">
                  <c:v>800</c:v>
                </c:pt>
                <c:pt idx="29">
                  <c:v>800</c:v>
                </c:pt>
                <c:pt idx="30">
                  <c:v>800</c:v>
                </c:pt>
                <c:pt idx="31">
                  <c:v>800</c:v>
                </c:pt>
                <c:pt idx="32">
                  <c:v>800</c:v>
                </c:pt>
                <c:pt idx="33">
                  <c:v>800</c:v>
                </c:pt>
                <c:pt idx="34">
                  <c:v>800</c:v>
                </c:pt>
                <c:pt idx="35">
                  <c:v>800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876</c:v>
                </c:pt>
                <c:pt idx="17">
                  <c:v>973</c:v>
                </c:pt>
                <c:pt idx="18">
                  <c:v>973</c:v>
                </c:pt>
                <c:pt idx="19">
                  <c:v>973</c:v>
                </c:pt>
                <c:pt idx="20">
                  <c:v>973</c:v>
                </c:pt>
                <c:pt idx="21">
                  <c:v>973</c:v>
                </c:pt>
                <c:pt idx="22">
                  <c:v>973</c:v>
                </c:pt>
                <c:pt idx="23">
                  <c:v>973</c:v>
                </c:pt>
                <c:pt idx="24">
                  <c:v>973</c:v>
                </c:pt>
                <c:pt idx="25">
                  <c:v>973</c:v>
                </c:pt>
                <c:pt idx="26">
                  <c:v>973</c:v>
                </c:pt>
                <c:pt idx="27">
                  <c:v>973</c:v>
                </c:pt>
                <c:pt idx="28">
                  <c:v>973</c:v>
                </c:pt>
                <c:pt idx="29">
                  <c:v>973</c:v>
                </c:pt>
                <c:pt idx="30">
                  <c:v>973</c:v>
                </c:pt>
                <c:pt idx="31">
                  <c:v>973</c:v>
                </c:pt>
                <c:pt idx="32">
                  <c:v>973</c:v>
                </c:pt>
                <c:pt idx="33">
                  <c:v>973</c:v>
                </c:pt>
                <c:pt idx="34">
                  <c:v>973</c:v>
                </c:pt>
                <c:pt idx="35">
                  <c:v>973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128" activePane="bottomLeft" state="frozen"/>
      <selection pane="bottomLeft" activeCell="F138" sqref="F13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12</v>
      </c>
      <c r="F112" s="3">
        <v>2</v>
      </c>
      <c r="G112" s="11">
        <f>IF(D112="","",SUMIFS(RaceResults!$C:$C,RaceResults!$A:$A,$A112,RaceResults!$D:$D,D112))</f>
        <v>1</v>
      </c>
      <c r="H112" s="11">
        <f>IF(E112="","",SUMIFS(RaceResults!$C:$C,RaceResults!$A:$A,$A112,RaceResults!$D:$D,E112))</f>
        <v>11</v>
      </c>
      <c r="I112" s="11">
        <f>IF(F112="","",SUMIFS(RaceResults!$C:$C,RaceResults!$A:$A,$A112,RaceResults!$D:$D,F112))</f>
        <v>9</v>
      </c>
      <c r="J112" s="11">
        <f>IF(D112="","",SUMIFS(RaceResults!$E:$E,RaceResults!$A:$A,$A112,RaceResults!$D:$D,D112))</f>
        <v>55</v>
      </c>
      <c r="K112" s="11">
        <f>IF(E112="","",SUMIFS(RaceResults!$E:$E,RaceResults!$A:$A,$A112,RaceResults!$D:$D,E112))</f>
        <v>26</v>
      </c>
      <c r="L112" s="11">
        <f>IF(F112="","",SUMIFS(RaceResults!$E:$E,RaceResults!$A:$A,$A112,RaceResults!$D:$D,F112))</f>
        <v>28</v>
      </c>
      <c r="M112" s="11">
        <f t="shared" si="1"/>
        <v>109</v>
      </c>
    </row>
    <row r="113" spans="1:13" x14ac:dyDescent="0.3">
      <c r="A113" s="9">
        <v>12</v>
      </c>
      <c r="B113" s="9" t="s">
        <v>71</v>
      </c>
      <c r="C113" s="10" t="s">
        <v>22</v>
      </c>
      <c r="D113" s="3">
        <v>97</v>
      </c>
      <c r="E113" s="3">
        <v>1</v>
      </c>
      <c r="F113" s="3">
        <v>12</v>
      </c>
      <c r="G113" s="11">
        <f>IF(D113="","",SUMIFS(RaceResults!$C:$C,RaceResults!$A:$A,$A113,RaceResults!$D:$D,D113))</f>
        <v>1</v>
      </c>
      <c r="H113" s="11">
        <f>IF(E113="","",SUMIFS(RaceResults!$C:$C,RaceResults!$A:$A,$A113,RaceResults!$D:$D,E113))</f>
        <v>27</v>
      </c>
      <c r="I113" s="11">
        <f>IF(F113="","",SUMIFS(RaceResults!$C:$C,RaceResults!$A:$A,$A113,RaceResults!$D:$D,F113))</f>
        <v>11</v>
      </c>
      <c r="J113" s="11">
        <f>IF(D113="","",SUMIFS(RaceResults!$E:$E,RaceResults!$A:$A,$A113,RaceResults!$D:$D,D113))</f>
        <v>55</v>
      </c>
      <c r="K113" s="11">
        <f>IF(E113="","",SUMIFS(RaceResults!$E:$E,RaceResults!$A:$A,$A113,RaceResults!$D:$D,E113))</f>
        <v>10</v>
      </c>
      <c r="L113" s="11">
        <f>IF(F113="","",SUMIFS(RaceResults!$E:$E,RaceResults!$A:$A,$A113,RaceResults!$D:$D,F113))</f>
        <v>26</v>
      </c>
      <c r="M113" s="11">
        <f t="shared" si="1"/>
        <v>91</v>
      </c>
    </row>
    <row r="114" spans="1:13" x14ac:dyDescent="0.3">
      <c r="A114" s="9">
        <v>12</v>
      </c>
      <c r="B114" s="9" t="s">
        <v>71</v>
      </c>
      <c r="C114" s="10" t="s">
        <v>25</v>
      </c>
      <c r="D114" s="3">
        <v>97</v>
      </c>
      <c r="E114" s="3">
        <v>20</v>
      </c>
      <c r="F114" s="3">
        <v>17</v>
      </c>
      <c r="G114" s="11">
        <f>IF(D114="","",SUMIFS(RaceResults!$C:$C,RaceResults!$A:$A,$A114,RaceResults!$D:$D,D114))</f>
        <v>1</v>
      </c>
      <c r="H114" s="11">
        <f>IF(E114="","",SUMIFS(RaceResults!$C:$C,RaceResults!$A:$A,$A114,RaceResults!$D:$D,E114))</f>
        <v>21</v>
      </c>
      <c r="I114" s="11">
        <f>IF(F114="","",SUMIFS(RaceResults!$C:$C,RaceResults!$A:$A,$A114,RaceResults!$D:$D,F114))</f>
        <v>12</v>
      </c>
      <c r="J114" s="11">
        <f>IF(D114="","",SUMIFS(RaceResults!$E:$E,RaceResults!$A:$A,$A114,RaceResults!$D:$D,D114))</f>
        <v>55</v>
      </c>
      <c r="K114" s="11">
        <f>IF(E114="","",SUMIFS(RaceResults!$E:$E,RaceResults!$A:$A,$A114,RaceResults!$D:$D,E114))</f>
        <v>16</v>
      </c>
      <c r="L114" s="11">
        <f>IF(F114="","",SUMIFS(RaceResults!$E:$E,RaceResults!$A:$A,$A114,RaceResults!$D:$D,F114))</f>
        <v>25</v>
      </c>
      <c r="M114" s="11">
        <f t="shared" si="1"/>
        <v>96</v>
      </c>
    </row>
    <row r="115" spans="1:13" x14ac:dyDescent="0.3">
      <c r="A115" s="9">
        <v>12</v>
      </c>
      <c r="B115" s="9" t="s">
        <v>71</v>
      </c>
      <c r="C115" s="10" t="s">
        <v>26</v>
      </c>
      <c r="D115" s="3">
        <v>97</v>
      </c>
      <c r="E115" s="3">
        <v>12</v>
      </c>
      <c r="F115" s="3">
        <v>20</v>
      </c>
      <c r="G115" s="11">
        <f>IF(D115="","",SUMIFS(RaceResults!$C:$C,RaceResults!$A:$A,$A115,RaceResults!$D:$D,D115))</f>
        <v>1</v>
      </c>
      <c r="H115" s="11">
        <f>IF(E115="","",SUMIFS(RaceResults!$C:$C,RaceResults!$A:$A,$A115,RaceResults!$D:$D,E115))</f>
        <v>11</v>
      </c>
      <c r="I115" s="11">
        <f>IF(F115="","",SUMIFS(RaceResults!$C:$C,RaceResults!$A:$A,$A115,RaceResults!$D:$D,F115))</f>
        <v>21</v>
      </c>
      <c r="J115" s="11">
        <f>IF(D115="","",SUMIFS(RaceResults!$E:$E,RaceResults!$A:$A,$A115,RaceResults!$D:$D,D115))</f>
        <v>55</v>
      </c>
      <c r="K115" s="11">
        <f>IF(E115="","",SUMIFS(RaceResults!$E:$E,RaceResults!$A:$A,$A115,RaceResults!$D:$D,E115))</f>
        <v>26</v>
      </c>
      <c r="L115" s="11">
        <f>IF(F115="","",SUMIFS(RaceResults!$E:$E,RaceResults!$A:$A,$A115,RaceResults!$D:$D,F115))</f>
        <v>16</v>
      </c>
      <c r="M115" s="11">
        <f t="shared" si="1"/>
        <v>97</v>
      </c>
    </row>
    <row r="116" spans="1:13" x14ac:dyDescent="0.3">
      <c r="A116" s="9">
        <v>12</v>
      </c>
      <c r="B116" s="9" t="s">
        <v>71</v>
      </c>
      <c r="C116" s="10" t="s">
        <v>27</v>
      </c>
      <c r="D116" s="3">
        <v>22</v>
      </c>
      <c r="E116" s="3">
        <v>2</v>
      </c>
      <c r="F116" s="3">
        <v>20</v>
      </c>
      <c r="G116" s="11">
        <f>IF(D116="","",SUMIFS(RaceResults!$C:$C,RaceResults!$A:$A,$A116,RaceResults!$D:$D,D116))</f>
        <v>38</v>
      </c>
      <c r="H116" s="11">
        <f>IF(E116="","",SUMIFS(RaceResults!$C:$C,RaceResults!$A:$A,$A116,RaceResults!$D:$D,E116))</f>
        <v>9</v>
      </c>
      <c r="I116" s="11">
        <f>IF(F116="","",SUMIFS(RaceResults!$C:$C,RaceResults!$A:$A,$A116,RaceResults!$D:$D,F116))</f>
        <v>21</v>
      </c>
      <c r="J116" s="11">
        <f>IF(D116="","",SUMIFS(RaceResults!$E:$E,RaceResults!$A:$A,$A116,RaceResults!$D:$D,D116))</f>
        <v>1</v>
      </c>
      <c r="K116" s="11">
        <f>IF(E116="","",SUMIFS(RaceResults!$E:$E,RaceResults!$A:$A,$A116,RaceResults!$D:$D,E116))</f>
        <v>28</v>
      </c>
      <c r="L116" s="11">
        <f>IF(F116="","",SUMIFS(RaceResults!$E:$E,RaceResults!$A:$A,$A116,RaceResults!$D:$D,F116))</f>
        <v>16</v>
      </c>
      <c r="M116" s="11">
        <f t="shared" si="1"/>
        <v>45</v>
      </c>
    </row>
    <row r="117" spans="1:13" x14ac:dyDescent="0.3">
      <c r="A117" s="9">
        <v>12</v>
      </c>
      <c r="B117" s="9" t="s">
        <v>71</v>
      </c>
      <c r="C117" s="10" t="s">
        <v>28</v>
      </c>
      <c r="D117" s="3">
        <v>97</v>
      </c>
      <c r="E117" s="3">
        <v>20</v>
      </c>
      <c r="F117" s="3">
        <v>45</v>
      </c>
      <c r="G117" s="11">
        <f>IF(D117="","",SUMIFS(RaceResults!$C:$C,RaceResults!$A:$A,$A117,RaceResults!$D:$D,D117))</f>
        <v>1</v>
      </c>
      <c r="H117" s="11">
        <f>IF(E117="","",SUMIFS(RaceResults!$C:$C,RaceResults!$A:$A,$A117,RaceResults!$D:$D,E117))</f>
        <v>21</v>
      </c>
      <c r="I117" s="11">
        <f>IF(F117="","",SUMIFS(RaceResults!$C:$C,RaceResults!$A:$A,$A117,RaceResults!$D:$D,F117))</f>
        <v>5</v>
      </c>
      <c r="J117" s="11">
        <f>IF(D117="","",SUMIFS(RaceResults!$E:$E,RaceResults!$A:$A,$A117,RaceResults!$D:$D,D117))</f>
        <v>55</v>
      </c>
      <c r="K117" s="11">
        <f>IF(E117="","",SUMIFS(RaceResults!$E:$E,RaceResults!$A:$A,$A117,RaceResults!$D:$D,E117))</f>
        <v>16</v>
      </c>
      <c r="L117" s="11">
        <f>IF(F117="","",SUMIFS(RaceResults!$E:$E,RaceResults!$A:$A,$A117,RaceResults!$D:$D,F117))</f>
        <v>32</v>
      </c>
      <c r="M117" s="11">
        <f t="shared" si="1"/>
        <v>103</v>
      </c>
    </row>
    <row r="118" spans="1:13" x14ac:dyDescent="0.3">
      <c r="A118" s="9">
        <v>12</v>
      </c>
      <c r="B118" s="9" t="s">
        <v>71</v>
      </c>
      <c r="C118" s="10" t="s">
        <v>29</v>
      </c>
      <c r="D118" s="3">
        <v>24</v>
      </c>
      <c r="E118" s="3">
        <v>5</v>
      </c>
      <c r="F118" s="3">
        <v>9</v>
      </c>
      <c r="G118" s="11">
        <f>IF(D118="","",SUMIFS(RaceResults!$C:$C,RaceResults!$A:$A,$A118,RaceResults!$D:$D,D118))</f>
        <v>36</v>
      </c>
      <c r="H118" s="11">
        <f>IF(E118="","",SUMIFS(RaceResults!$C:$C,RaceResults!$A:$A,$A118,RaceResults!$D:$D,E118))</f>
        <v>23</v>
      </c>
      <c r="I118" s="11">
        <f>IF(F118="","",SUMIFS(RaceResults!$C:$C,RaceResults!$A:$A,$A118,RaceResults!$D:$D,F118))</f>
        <v>24</v>
      </c>
      <c r="J118" s="11">
        <f>IF(D118="","",SUMIFS(RaceResults!$E:$E,RaceResults!$A:$A,$A118,RaceResults!$D:$D,D118))</f>
        <v>1</v>
      </c>
      <c r="K118" s="11">
        <f>IF(E118="","",SUMIFS(RaceResults!$E:$E,RaceResults!$A:$A,$A118,RaceResults!$D:$D,E118))</f>
        <v>14</v>
      </c>
      <c r="L118" s="11">
        <f>IF(F118="","",SUMIFS(RaceResults!$E:$E,RaceResults!$A:$A,$A118,RaceResults!$D:$D,F118))</f>
        <v>13</v>
      </c>
      <c r="M118" s="11">
        <f t="shared" si="1"/>
        <v>28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>
        <v>5</v>
      </c>
      <c r="E120" s="3">
        <v>97</v>
      </c>
      <c r="F120" s="3">
        <v>9</v>
      </c>
      <c r="G120" s="11">
        <f>IF(D120="","",SUMIFS(RaceResults!$C:$C,RaceResults!$A:$A,$A120,RaceResults!$D:$D,D120))</f>
        <v>23</v>
      </c>
      <c r="H120" s="11">
        <f>IF(E120="","",SUMIFS(RaceResults!$C:$C,RaceResults!$A:$A,$A120,RaceResults!$D:$D,E120))</f>
        <v>1</v>
      </c>
      <c r="I120" s="11">
        <f>IF(F120="","",SUMIFS(RaceResults!$C:$C,RaceResults!$A:$A,$A120,RaceResults!$D:$D,F120))</f>
        <v>24</v>
      </c>
      <c r="J120" s="11">
        <f>IF(D120="","",SUMIFS(RaceResults!$E:$E,RaceResults!$A:$A,$A120,RaceResults!$D:$D,D120))</f>
        <v>14</v>
      </c>
      <c r="K120" s="11">
        <f>IF(E120="","",SUMIFS(RaceResults!$E:$E,RaceResults!$A:$A,$A120,RaceResults!$D:$D,E120))</f>
        <v>55</v>
      </c>
      <c r="L120" s="11">
        <f>IF(F120="","",SUMIFS(RaceResults!$E:$E,RaceResults!$A:$A,$A120,RaceResults!$D:$D,F120))</f>
        <v>13</v>
      </c>
      <c r="M120" s="11">
        <f t="shared" si="1"/>
        <v>82</v>
      </c>
    </row>
    <row r="121" spans="1:13" x14ac:dyDescent="0.3">
      <c r="A121" s="9">
        <v>12</v>
      </c>
      <c r="B121" s="9" t="s">
        <v>71</v>
      </c>
      <c r="C121" s="10" t="s">
        <v>32</v>
      </c>
      <c r="D121" s="3">
        <v>1</v>
      </c>
      <c r="E121" s="3">
        <v>22</v>
      </c>
      <c r="F121" s="3">
        <v>20</v>
      </c>
      <c r="G121" s="11">
        <f>IF(D121="","",SUMIFS(RaceResults!$C:$C,RaceResults!$A:$A,$A121,RaceResults!$D:$D,D121))</f>
        <v>27</v>
      </c>
      <c r="H121" s="11">
        <f>IF(E121="","",SUMIFS(RaceResults!$C:$C,RaceResults!$A:$A,$A121,RaceResults!$D:$D,E121))</f>
        <v>38</v>
      </c>
      <c r="I121" s="11">
        <f>IF(F121="","",SUMIFS(RaceResults!$C:$C,RaceResults!$A:$A,$A121,RaceResults!$D:$D,F121))</f>
        <v>21</v>
      </c>
      <c r="J121" s="11">
        <f>IF(D121="","",SUMIFS(RaceResults!$E:$E,RaceResults!$A:$A,$A121,RaceResults!$D:$D,D121))</f>
        <v>10</v>
      </c>
      <c r="K121" s="11">
        <f>IF(E121="","",SUMIFS(RaceResults!$E:$E,RaceResults!$A:$A,$A121,RaceResults!$D:$D,E121))</f>
        <v>1</v>
      </c>
      <c r="L121" s="11">
        <f>IF(F121="","",SUMIFS(RaceResults!$E:$E,RaceResults!$A:$A,$A121,RaceResults!$D:$D,F121))</f>
        <v>16</v>
      </c>
      <c r="M121" s="11">
        <f t="shared" si="1"/>
        <v>27</v>
      </c>
    </row>
    <row r="122" spans="1:13" x14ac:dyDescent="0.3">
      <c r="A122" s="9">
        <v>13</v>
      </c>
      <c r="B122" s="9" t="s">
        <v>73</v>
      </c>
      <c r="C122" s="10" t="s">
        <v>21</v>
      </c>
      <c r="D122" s="3">
        <v>45</v>
      </c>
      <c r="E122" s="3">
        <v>12</v>
      </c>
      <c r="F122" s="3">
        <v>1</v>
      </c>
      <c r="G122" s="11">
        <f>IF(D122="","",SUMIFS(RaceResults!$C:$C,RaceResults!$A:$A,$A122,RaceResults!$D:$D,D122))</f>
        <v>4</v>
      </c>
      <c r="H122" s="11">
        <f>IF(E122="","",SUMIFS(RaceResults!$C:$C,RaceResults!$A:$A,$A122,RaceResults!$D:$D,E122))</f>
        <v>7</v>
      </c>
      <c r="I122" s="11">
        <f>IF(F122="","",SUMIFS(RaceResults!$C:$C,RaceResults!$A:$A,$A122,RaceResults!$D:$D,F122))</f>
        <v>35</v>
      </c>
      <c r="J122" s="11">
        <f>IF(D122="","",SUMIFS(RaceResults!$E:$E,RaceResults!$A:$A,$A122,RaceResults!$D:$D,D122))</f>
        <v>33</v>
      </c>
      <c r="K122" s="11">
        <f>IF(E122="","",SUMIFS(RaceResults!$E:$E,RaceResults!$A:$A,$A122,RaceResults!$D:$D,E122))</f>
        <v>30</v>
      </c>
      <c r="L122" s="11">
        <f>IF(F122="","",SUMIFS(RaceResults!$E:$E,RaceResults!$A:$A,$A122,RaceResults!$D:$D,F122))</f>
        <v>2</v>
      </c>
      <c r="M122" s="11">
        <f t="shared" si="1"/>
        <v>65</v>
      </c>
    </row>
    <row r="123" spans="1:13" x14ac:dyDescent="0.3">
      <c r="A123" s="9">
        <v>13</v>
      </c>
      <c r="B123" s="9" t="s">
        <v>73</v>
      </c>
      <c r="C123" s="10" t="s">
        <v>22</v>
      </c>
      <c r="D123" s="3">
        <v>45</v>
      </c>
      <c r="E123" s="3">
        <v>11</v>
      </c>
      <c r="F123" s="3">
        <v>5</v>
      </c>
      <c r="G123" s="11">
        <f>IF(D123="","",SUMIFS(RaceResults!$C:$C,RaceResults!$A:$A,$A123,RaceResults!$D:$D,D123))</f>
        <v>4</v>
      </c>
      <c r="H123" s="11">
        <f>IF(E123="","",SUMIFS(RaceResults!$C:$C,RaceResults!$A:$A,$A123,RaceResults!$D:$D,E123))</f>
        <v>3</v>
      </c>
      <c r="I123" s="11">
        <f>IF(F123="","",SUMIFS(RaceResults!$C:$C,RaceResults!$A:$A,$A123,RaceResults!$D:$D,F123))</f>
        <v>5</v>
      </c>
      <c r="J123" s="11">
        <f>IF(D123="","",SUMIFS(RaceResults!$E:$E,RaceResults!$A:$A,$A123,RaceResults!$D:$D,D123))</f>
        <v>33</v>
      </c>
      <c r="K123" s="11">
        <f>IF(E123="","",SUMIFS(RaceResults!$E:$E,RaceResults!$A:$A,$A123,RaceResults!$D:$D,E123))</f>
        <v>34</v>
      </c>
      <c r="L123" s="11">
        <f>IF(F123="","",SUMIFS(RaceResults!$E:$E,RaceResults!$A:$A,$A123,RaceResults!$D:$D,F123))</f>
        <v>32</v>
      </c>
      <c r="M123" s="11">
        <f t="shared" si="1"/>
        <v>99</v>
      </c>
    </row>
    <row r="124" spans="1:13" x14ac:dyDescent="0.3">
      <c r="A124" s="9">
        <v>13</v>
      </c>
      <c r="B124" s="9" t="s">
        <v>73</v>
      </c>
      <c r="C124" s="10" t="s">
        <v>25</v>
      </c>
      <c r="D124" s="3">
        <v>11</v>
      </c>
      <c r="E124" s="3">
        <v>1</v>
      </c>
      <c r="F124" s="3">
        <v>24</v>
      </c>
      <c r="G124" s="11">
        <f>IF(D124="","",SUMIFS(RaceResults!$C:$C,RaceResults!$A:$A,$A124,RaceResults!$D:$D,D124))</f>
        <v>3</v>
      </c>
      <c r="H124" s="11">
        <f>IF(E124="","",SUMIFS(RaceResults!$C:$C,RaceResults!$A:$A,$A124,RaceResults!$D:$D,E124))</f>
        <v>35</v>
      </c>
      <c r="I124" s="11">
        <f>IF(F124="","",SUMIFS(RaceResults!$C:$C,RaceResults!$A:$A,$A124,RaceResults!$D:$D,F124))</f>
        <v>9</v>
      </c>
      <c r="J124" s="11">
        <f>IF(D124="","",SUMIFS(RaceResults!$E:$E,RaceResults!$A:$A,$A124,RaceResults!$D:$D,D124))</f>
        <v>34</v>
      </c>
      <c r="K124" s="11">
        <f>IF(E124="","",SUMIFS(RaceResults!$E:$E,RaceResults!$A:$A,$A124,RaceResults!$D:$D,E124))</f>
        <v>2</v>
      </c>
      <c r="L124" s="11">
        <f>IF(F124="","",SUMIFS(RaceResults!$E:$E,RaceResults!$A:$A,$A124,RaceResults!$D:$D,F124))</f>
        <v>28</v>
      </c>
      <c r="M124" s="11">
        <f t="shared" si="1"/>
        <v>64</v>
      </c>
    </row>
    <row r="125" spans="1:13" x14ac:dyDescent="0.3">
      <c r="A125" s="9">
        <v>13</v>
      </c>
      <c r="B125" s="9" t="s">
        <v>73</v>
      </c>
      <c r="C125" s="10" t="s">
        <v>26</v>
      </c>
      <c r="D125" s="3">
        <v>11</v>
      </c>
      <c r="E125" s="3">
        <v>45</v>
      </c>
      <c r="F125" s="3">
        <v>12</v>
      </c>
      <c r="G125" s="11">
        <f>IF(D125="","",SUMIFS(RaceResults!$C:$C,RaceResults!$A:$A,$A125,RaceResults!$D:$D,D125))</f>
        <v>3</v>
      </c>
      <c r="H125" s="11">
        <f>IF(E125="","",SUMIFS(RaceResults!$C:$C,RaceResults!$A:$A,$A125,RaceResults!$D:$D,E125))</f>
        <v>4</v>
      </c>
      <c r="I125" s="11">
        <f>IF(F125="","",SUMIFS(RaceResults!$C:$C,RaceResults!$A:$A,$A125,RaceResults!$D:$D,F125))</f>
        <v>7</v>
      </c>
      <c r="J125" s="11">
        <f>IF(D125="","",SUMIFS(RaceResults!$E:$E,RaceResults!$A:$A,$A125,RaceResults!$D:$D,D125))</f>
        <v>34</v>
      </c>
      <c r="K125" s="11">
        <f>IF(E125="","",SUMIFS(RaceResults!$E:$E,RaceResults!$A:$A,$A125,RaceResults!$D:$D,E125))</f>
        <v>33</v>
      </c>
      <c r="L125" s="11">
        <f>IF(F125="","",SUMIFS(RaceResults!$E:$E,RaceResults!$A:$A,$A125,RaceResults!$D:$D,F125))</f>
        <v>30</v>
      </c>
      <c r="M125" s="11">
        <f t="shared" si="1"/>
        <v>97</v>
      </c>
    </row>
    <row r="126" spans="1:13" x14ac:dyDescent="0.3">
      <c r="A126" s="9">
        <v>13</v>
      </c>
      <c r="B126" s="9" t="s">
        <v>73</v>
      </c>
      <c r="C126" s="10" t="s">
        <v>27</v>
      </c>
      <c r="D126" s="3">
        <v>45</v>
      </c>
      <c r="E126" s="3">
        <v>12</v>
      </c>
      <c r="F126" s="3">
        <v>2</v>
      </c>
      <c r="G126" s="11">
        <f>IF(D126="","",SUMIFS(RaceResults!$C:$C,RaceResults!$A:$A,$A126,RaceResults!$D:$D,D126))</f>
        <v>4</v>
      </c>
      <c r="H126" s="11">
        <f>IF(E126="","",SUMIFS(RaceResults!$C:$C,RaceResults!$A:$A,$A126,RaceResults!$D:$D,E126))</f>
        <v>7</v>
      </c>
      <c r="I126" s="11">
        <f>IF(F126="","",SUMIFS(RaceResults!$C:$C,RaceResults!$A:$A,$A126,RaceResults!$D:$D,F126))</f>
        <v>38</v>
      </c>
      <c r="J126" s="11">
        <f>IF(D126="","",SUMIFS(RaceResults!$E:$E,RaceResults!$A:$A,$A126,RaceResults!$D:$D,D126))</f>
        <v>33</v>
      </c>
      <c r="K126" s="11">
        <f>IF(E126="","",SUMIFS(RaceResults!$E:$E,RaceResults!$A:$A,$A126,RaceResults!$D:$D,E126))</f>
        <v>30</v>
      </c>
      <c r="L126" s="11">
        <f>IF(F126="","",SUMIFS(RaceResults!$E:$E,RaceResults!$A:$A,$A126,RaceResults!$D:$D,F126))</f>
        <v>1</v>
      </c>
      <c r="M126" s="11">
        <f t="shared" si="1"/>
        <v>64</v>
      </c>
    </row>
    <row r="127" spans="1:13" x14ac:dyDescent="0.3">
      <c r="A127" s="9">
        <v>13</v>
      </c>
      <c r="B127" s="9" t="s">
        <v>73</v>
      </c>
      <c r="C127" s="10" t="s">
        <v>28</v>
      </c>
      <c r="D127" s="3">
        <v>23</v>
      </c>
      <c r="E127" s="3">
        <v>5</v>
      </c>
      <c r="F127" s="3">
        <v>11</v>
      </c>
      <c r="G127" s="11">
        <f>IF(D127="","",SUMIFS(RaceResults!$C:$C,RaceResults!$A:$A,$A127,RaceResults!$D:$D,D127))</f>
        <v>22</v>
      </c>
      <c r="H127" s="11">
        <f>IF(E127="","",SUMIFS(RaceResults!$C:$C,RaceResults!$A:$A,$A127,RaceResults!$D:$D,E127))</f>
        <v>5</v>
      </c>
      <c r="I127" s="11">
        <f>IF(F127="","",SUMIFS(RaceResults!$C:$C,RaceResults!$A:$A,$A127,RaceResults!$D:$D,F127))</f>
        <v>3</v>
      </c>
      <c r="J127" s="11">
        <f>IF(D127="","",SUMIFS(RaceResults!$E:$E,RaceResults!$A:$A,$A127,RaceResults!$D:$D,D127))</f>
        <v>15</v>
      </c>
      <c r="K127" s="11">
        <f>IF(E127="","",SUMIFS(RaceResults!$E:$E,RaceResults!$A:$A,$A127,RaceResults!$D:$D,E127))</f>
        <v>32</v>
      </c>
      <c r="L127" s="11">
        <f>IF(F127="","",SUMIFS(RaceResults!$E:$E,RaceResults!$A:$A,$A127,RaceResults!$D:$D,F127))</f>
        <v>34</v>
      </c>
      <c r="M127" s="11">
        <f t="shared" si="1"/>
        <v>81</v>
      </c>
    </row>
    <row r="128" spans="1:13" x14ac:dyDescent="0.3">
      <c r="A128" s="9">
        <v>13</v>
      </c>
      <c r="B128" s="9" t="s">
        <v>73</v>
      </c>
      <c r="C128" s="10" t="s">
        <v>29</v>
      </c>
      <c r="D128" s="3">
        <v>9</v>
      </c>
      <c r="E128" s="3">
        <v>5</v>
      </c>
      <c r="F128" s="3">
        <v>48</v>
      </c>
      <c r="G128" s="11">
        <f>IF(D128="","",SUMIFS(RaceResults!$C:$C,RaceResults!$A:$A,$A128,RaceResults!$D:$D,D128))</f>
        <v>37</v>
      </c>
      <c r="H128" s="11">
        <f>IF(E128="","",SUMIFS(RaceResults!$C:$C,RaceResults!$A:$A,$A128,RaceResults!$D:$D,E128))</f>
        <v>5</v>
      </c>
      <c r="I128" s="11">
        <f>IF(F128="","",SUMIFS(RaceResults!$C:$C,RaceResults!$A:$A,$A128,RaceResults!$D:$D,F128))</f>
        <v>17</v>
      </c>
      <c r="J128" s="11">
        <f>IF(D128="","",SUMIFS(RaceResults!$E:$E,RaceResults!$A:$A,$A128,RaceResults!$D:$D,D128))</f>
        <v>1</v>
      </c>
      <c r="K128" s="11">
        <f>IF(E128="","",SUMIFS(RaceResults!$E:$E,RaceResults!$A:$A,$A128,RaceResults!$D:$D,E128))</f>
        <v>32</v>
      </c>
      <c r="L128" s="11">
        <f>IF(F128="","",SUMIFS(RaceResults!$E:$E,RaceResults!$A:$A,$A128,RaceResults!$D:$D,F128))</f>
        <v>20</v>
      </c>
      <c r="M128" s="11">
        <f t="shared" si="1"/>
        <v>53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>
        <v>5</v>
      </c>
      <c r="E130" s="3">
        <v>11</v>
      </c>
      <c r="F130" s="3">
        <v>12</v>
      </c>
      <c r="G130" s="11">
        <f>IF(D130="","",SUMIFS(RaceResults!$C:$C,RaceResults!$A:$A,$A130,RaceResults!$D:$D,D130))</f>
        <v>5</v>
      </c>
      <c r="H130" s="11">
        <f>IF(E130="","",SUMIFS(RaceResults!$C:$C,RaceResults!$A:$A,$A130,RaceResults!$D:$D,E130))</f>
        <v>3</v>
      </c>
      <c r="I130" s="11">
        <f>IF(F130="","",SUMIFS(RaceResults!$C:$C,RaceResults!$A:$A,$A130,RaceResults!$D:$D,F130))</f>
        <v>7</v>
      </c>
      <c r="J130" s="11">
        <f>IF(D130="","",SUMIFS(RaceResults!$E:$E,RaceResults!$A:$A,$A130,RaceResults!$D:$D,D130))</f>
        <v>32</v>
      </c>
      <c r="K130" s="11">
        <f>IF(E130="","",SUMIFS(RaceResults!$E:$E,RaceResults!$A:$A,$A130,RaceResults!$D:$D,E130))</f>
        <v>34</v>
      </c>
      <c r="L130" s="11">
        <f>IF(F130="","",SUMIFS(RaceResults!$E:$E,RaceResults!$A:$A,$A130,RaceResults!$D:$D,F130))</f>
        <v>30</v>
      </c>
      <c r="M130" s="11">
        <f t="shared" ref="M130:M193" si="2">SUM(J130:L130)</f>
        <v>96</v>
      </c>
    </row>
    <row r="131" spans="1:13" x14ac:dyDescent="0.3">
      <c r="A131" s="9">
        <v>13</v>
      </c>
      <c r="B131" s="9" t="s">
        <v>73</v>
      </c>
      <c r="C131" s="10" t="s">
        <v>32</v>
      </c>
      <c r="D131" s="3">
        <v>54</v>
      </c>
      <c r="E131" s="3">
        <v>45</v>
      </c>
      <c r="F131" s="3">
        <v>19</v>
      </c>
      <c r="G131" s="11">
        <f>IF(D131="","",SUMIFS(RaceResults!$C:$C,RaceResults!$A:$A,$A131,RaceResults!$D:$D,D131))</f>
        <v>6</v>
      </c>
      <c r="H131" s="11">
        <f>IF(E131="","",SUMIFS(RaceResults!$C:$C,RaceResults!$A:$A,$A131,RaceResults!$D:$D,E131))</f>
        <v>4</v>
      </c>
      <c r="I131" s="11">
        <f>IF(F131="","",SUMIFS(RaceResults!$C:$C,RaceResults!$A:$A,$A131,RaceResults!$D:$D,F131))</f>
        <v>34</v>
      </c>
      <c r="J131" s="11">
        <f>IF(D131="","",SUMIFS(RaceResults!$E:$E,RaceResults!$A:$A,$A131,RaceResults!$D:$D,D131))</f>
        <v>31</v>
      </c>
      <c r="K131" s="11">
        <f>IF(E131="","",SUMIFS(RaceResults!$E:$E,RaceResults!$A:$A,$A131,RaceResults!$D:$D,E131))</f>
        <v>33</v>
      </c>
      <c r="L131" s="11">
        <f>IF(F131="","",SUMIFS(RaceResults!$E:$E,RaceResults!$A:$A,$A131,RaceResults!$D:$D,F131))</f>
        <v>3</v>
      </c>
      <c r="M131" s="11">
        <f t="shared" si="2"/>
        <v>67</v>
      </c>
    </row>
    <row r="132" spans="1:13" x14ac:dyDescent="0.3">
      <c r="A132" s="9">
        <v>14</v>
      </c>
      <c r="B132" s="9" t="s">
        <v>76</v>
      </c>
      <c r="C132" s="10" t="s">
        <v>21</v>
      </c>
      <c r="D132" s="3">
        <v>5</v>
      </c>
      <c r="E132" s="3">
        <v>45</v>
      </c>
      <c r="F132" s="3">
        <v>12</v>
      </c>
      <c r="G132" s="11">
        <f>IF(D132="","",SUMIFS(RaceResults!$C:$C,RaceResults!$A:$A,$A132,RaceResults!$D:$D,D132))</f>
        <v>0</v>
      </c>
      <c r="H132" s="11">
        <f>IF(E132="","",SUMIFS(RaceResults!$C:$C,RaceResults!$A:$A,$A132,RaceResults!$D:$D,E132))</f>
        <v>0</v>
      </c>
      <c r="I132" s="11">
        <f>IF(F132="","",SUMIFS(RaceResults!$C:$C,RaceResults!$A:$A,$A132,RaceResults!$D:$D,F132))</f>
        <v>0</v>
      </c>
      <c r="J132" s="11">
        <f>IF(D132="","",SUMIFS(RaceResults!$E:$E,RaceResults!$A:$A,$A132,RaceResults!$D:$D,D132))</f>
        <v>0</v>
      </c>
      <c r="K132" s="11">
        <f>IF(E132="","",SUMIFS(RaceResults!$E:$E,RaceResults!$A:$A,$A132,RaceResults!$D:$D,E132))</f>
        <v>0</v>
      </c>
      <c r="L132" s="11">
        <f>IF(F132="","",SUMIFS(RaceResults!$E:$E,RaceResults!$A:$A,$A132,RaceResults!$D:$D,F132))</f>
        <v>0</v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>
        <v>45</v>
      </c>
      <c r="E133" s="3">
        <v>11</v>
      </c>
      <c r="F133" s="3">
        <v>7</v>
      </c>
      <c r="G133" s="11">
        <f>IF(D133="","",SUMIFS(RaceResults!$C:$C,RaceResults!$A:$A,$A133,RaceResults!$D:$D,D133))</f>
        <v>0</v>
      </c>
      <c r="H133" s="11">
        <f>IF(E133="","",SUMIFS(RaceResults!$C:$C,RaceResults!$A:$A,$A133,RaceResults!$D:$D,E133))</f>
        <v>0</v>
      </c>
      <c r="I133" s="11">
        <f>IF(F133="","",SUMIFS(RaceResults!$C:$C,RaceResults!$A:$A,$A133,RaceResults!$D:$D,F133))</f>
        <v>0</v>
      </c>
      <c r="J133" s="11">
        <f>IF(D133="","",SUMIFS(RaceResults!$E:$E,RaceResults!$A:$A,$A133,RaceResults!$D:$D,D133))</f>
        <v>0</v>
      </c>
      <c r="K133" s="11">
        <f>IF(E133="","",SUMIFS(RaceResults!$E:$E,RaceResults!$A:$A,$A133,RaceResults!$D:$D,E133))</f>
        <v>0</v>
      </c>
      <c r="L133" s="11">
        <f>IF(F133="","",SUMIFS(RaceResults!$E:$E,RaceResults!$A:$A,$A133,RaceResults!$D:$D,F133))</f>
        <v>0</v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>
        <v>11</v>
      </c>
      <c r="E134" s="3">
        <v>20</v>
      </c>
      <c r="F134" s="3">
        <v>12</v>
      </c>
      <c r="G134" s="11">
        <f>IF(D134="","",SUMIFS(RaceResults!$C:$C,RaceResults!$A:$A,$A134,RaceResults!$D:$D,D134))</f>
        <v>0</v>
      </c>
      <c r="H134" s="11">
        <f>IF(E134="","",SUMIFS(RaceResults!$C:$C,RaceResults!$A:$A,$A134,RaceResults!$D:$D,E134))</f>
        <v>0</v>
      </c>
      <c r="I134" s="11">
        <f>IF(F134="","",SUMIFS(RaceResults!$C:$C,RaceResults!$A:$A,$A134,RaceResults!$D:$D,F134))</f>
        <v>0</v>
      </c>
      <c r="J134" s="11">
        <f>IF(D134="","",SUMIFS(RaceResults!$E:$E,RaceResults!$A:$A,$A134,RaceResults!$D:$D,D134))</f>
        <v>0</v>
      </c>
      <c r="K134" s="11">
        <f>IF(E134="","",SUMIFS(RaceResults!$E:$E,RaceResults!$A:$A,$A134,RaceResults!$D:$D,E134))</f>
        <v>0</v>
      </c>
      <c r="L134" s="11">
        <f>IF(F134="","",SUMIFS(RaceResults!$E:$E,RaceResults!$A:$A,$A134,RaceResults!$D:$D,F134))</f>
        <v>0</v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>
        <v>11</v>
      </c>
      <c r="E135" s="3">
        <v>12</v>
      </c>
      <c r="F135" s="3">
        <v>45</v>
      </c>
      <c r="G135" s="11">
        <f>IF(D135="","",SUMIFS(RaceResults!$C:$C,RaceResults!$A:$A,$A135,RaceResults!$D:$D,D135))</f>
        <v>0</v>
      </c>
      <c r="H135" s="11">
        <f>IF(E135="","",SUMIFS(RaceResults!$C:$C,RaceResults!$A:$A,$A135,RaceResults!$D:$D,E135))</f>
        <v>0</v>
      </c>
      <c r="I135" s="11">
        <f>IF(F135="","",SUMIFS(RaceResults!$C:$C,RaceResults!$A:$A,$A135,RaceResults!$D:$D,F135))</f>
        <v>0</v>
      </c>
      <c r="J135" s="11">
        <f>IF(D135="","",SUMIFS(RaceResults!$E:$E,RaceResults!$A:$A,$A135,RaceResults!$D:$D,D135))</f>
        <v>0</v>
      </c>
      <c r="K135" s="11">
        <f>IF(E135="","",SUMIFS(RaceResults!$E:$E,RaceResults!$A:$A,$A135,RaceResults!$D:$D,E135))</f>
        <v>0</v>
      </c>
      <c r="L135" s="11">
        <f>IF(F135="","",SUMIFS(RaceResults!$E:$E,RaceResults!$A:$A,$A135,RaceResults!$D:$D,F135))</f>
        <v>0</v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>
        <v>11</v>
      </c>
      <c r="E136" s="3">
        <v>45</v>
      </c>
      <c r="F136" s="3">
        <v>7</v>
      </c>
      <c r="G136" s="11">
        <f>IF(D136="","",SUMIFS(RaceResults!$C:$C,RaceResults!$A:$A,$A136,RaceResults!$D:$D,D136))</f>
        <v>0</v>
      </c>
      <c r="H136" s="11">
        <f>IF(E136="","",SUMIFS(RaceResults!$C:$C,RaceResults!$A:$A,$A136,RaceResults!$D:$D,E136))</f>
        <v>0</v>
      </c>
      <c r="I136" s="11">
        <f>IF(F136="","",SUMIFS(RaceResults!$C:$C,RaceResults!$A:$A,$A136,RaceResults!$D:$D,F136))</f>
        <v>0</v>
      </c>
      <c r="J136" s="11">
        <f>IF(D136="","",SUMIFS(RaceResults!$E:$E,RaceResults!$A:$A,$A136,RaceResults!$D:$D,D136))</f>
        <v>0</v>
      </c>
      <c r="K136" s="11">
        <f>IF(E136="","",SUMIFS(RaceResults!$E:$E,RaceResults!$A:$A,$A136,RaceResults!$D:$D,E136))</f>
        <v>0</v>
      </c>
      <c r="L136" s="11">
        <f>IF(F136="","",SUMIFS(RaceResults!$E:$E,RaceResults!$A:$A,$A136,RaceResults!$D:$D,F136))</f>
        <v>0</v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>
        <v>11</v>
      </c>
      <c r="E137" s="3">
        <v>45</v>
      </c>
      <c r="F137" s="3">
        <v>20</v>
      </c>
      <c r="G137" s="11">
        <f>IF(D137="","",SUMIFS(RaceResults!$C:$C,RaceResults!$A:$A,$A137,RaceResults!$D:$D,D137))</f>
        <v>0</v>
      </c>
      <c r="H137" s="11">
        <f>IF(E137="","",SUMIFS(RaceResults!$C:$C,RaceResults!$A:$A,$A137,RaceResults!$D:$D,E137))</f>
        <v>0</v>
      </c>
      <c r="I137" s="11">
        <f>IF(F137="","",SUMIFS(RaceResults!$C:$C,RaceResults!$A:$A,$A137,RaceResults!$D:$D,F137))</f>
        <v>0</v>
      </c>
      <c r="J137" s="11">
        <f>IF(D137="","",SUMIFS(RaceResults!$E:$E,RaceResults!$A:$A,$A137,RaceResults!$D:$D,D137))</f>
        <v>0</v>
      </c>
      <c r="K137" s="11">
        <f>IF(E137="","",SUMIFS(RaceResults!$E:$E,RaceResults!$A:$A,$A137,RaceResults!$D:$D,E137))</f>
        <v>0</v>
      </c>
      <c r="L137" s="11">
        <f>IF(F137="","",SUMIFS(RaceResults!$E:$E,RaceResults!$A:$A,$A137,RaceResults!$D:$D,F137))</f>
        <v>0</v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>
        <v>12</v>
      </c>
      <c r="E140" s="3">
        <v>5</v>
      </c>
      <c r="F140" s="3">
        <v>11</v>
      </c>
      <c r="G140" s="11">
        <f>IF(D140="","",SUMIFS(RaceResults!$C:$C,RaceResults!$A:$A,$A140,RaceResults!$D:$D,D140))</f>
        <v>0</v>
      </c>
      <c r="H140" s="11">
        <f>IF(E140="","",SUMIFS(RaceResults!$C:$C,RaceResults!$A:$A,$A140,RaceResults!$D:$D,E140))</f>
        <v>0</v>
      </c>
      <c r="I140" s="11">
        <f>IF(F140="","",SUMIFS(RaceResults!$C:$C,RaceResults!$A:$A,$A140,RaceResults!$D:$D,F140))</f>
        <v>0</v>
      </c>
      <c r="J140" s="11">
        <f>IF(D140="","",SUMIFS(RaceResults!$E:$E,RaceResults!$A:$A,$A140,RaceResults!$D:$D,D140))</f>
        <v>0</v>
      </c>
      <c r="K140" s="11">
        <f>IF(E140="","",SUMIFS(RaceResults!$E:$E,RaceResults!$A:$A,$A140,RaceResults!$D:$D,E140))</f>
        <v>0</v>
      </c>
      <c r="L140" s="11">
        <f>IF(F140="","",SUMIFS(RaceResults!$E:$E,RaceResults!$A:$A,$A140,RaceResults!$D:$D,F140))</f>
        <v>0</v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>
        <v>54</v>
      </c>
      <c r="E141" s="3">
        <v>45</v>
      </c>
      <c r="F141" s="3">
        <v>5</v>
      </c>
      <c r="G141" s="11">
        <f>IF(D141="","",SUMIFS(RaceResults!$C:$C,RaceResults!$A:$A,$A141,RaceResults!$D:$D,D141))</f>
        <v>0</v>
      </c>
      <c r="H141" s="11">
        <f>IF(E141="","",SUMIFS(RaceResults!$C:$C,RaceResults!$A:$A,$A141,RaceResults!$D:$D,E141))</f>
        <v>0</v>
      </c>
      <c r="I141" s="11">
        <f>IF(F141="","",SUMIFS(RaceResults!$C:$C,RaceResults!$A:$A,$A141,RaceResults!$D:$D,F141))</f>
        <v>0</v>
      </c>
      <c r="J141" s="11">
        <f>IF(D141="","",SUMIFS(RaceResults!$E:$E,RaceResults!$A:$A,$A141,RaceResults!$D:$D,D141))</f>
        <v>0</v>
      </c>
      <c r="K141" s="11">
        <f>IF(E141="","",SUMIFS(RaceResults!$E:$E,RaceResults!$A:$A,$A141,RaceResults!$D:$D,E141))</f>
        <v>0</v>
      </c>
      <c r="L141" s="11">
        <f>IF(F141="","",SUMIFS(RaceResults!$E:$E,RaceResults!$A:$A,$A141,RaceResults!$D:$D,F141))</f>
        <v>0</v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>Pat</v>
      </c>
      <c r="D13">
        <f>MAX(WeeklyPicks!$M$112:$M$121)</f>
        <v>109</v>
      </c>
      <c r="E13">
        <f>IF(MAX(CountCalc!$D$1091:$D$1189)=0,"",INDEX(CountCalc!$C$1091:$C$1189,MATCH(MAX(CountCalc!$D$1091:$D$1189),CountCalc!$D$1091:$D$1189,0)))</f>
        <v>97</v>
      </c>
      <c r="F13">
        <f>MAX(CountCalc!$D$1091:$D$1189)</f>
        <v>6</v>
      </c>
      <c r="G13">
        <f>IF(MAX(Calc!$F$332:$F$361)=0,"",INDEX(Calc!$E$332:$E$361,MATCH(MAX(Calc!$F$332:$F$361),Calc!$F$332:$F$361,0)))</f>
        <v>22</v>
      </c>
      <c r="H13">
        <f>MAX(Calc!$F$332:$F$361)</f>
        <v>38</v>
      </c>
      <c r="I13" t="str">
        <f>IF(H13=0,"",INDEX(Calc!$C$332:$C$361,MATCH(H13,Calc!$F$332:$F$361,0)))</f>
        <v>Joe</v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>Meg</v>
      </c>
      <c r="D14">
        <f>MAX(WeeklyPicks!$M$122:$M$131)</f>
        <v>99</v>
      </c>
      <c r="E14">
        <f>IF(MAX(CountCalc!$D$1190:$D$1288)=0,"",INDEX(CountCalc!$C$1190:$C$1288,MATCH(MAX(CountCalc!$D$1190:$D$1288),CountCalc!$D$1190:$D$1288,0)))</f>
        <v>11</v>
      </c>
      <c r="F14">
        <f>MAX(CountCalc!$D$1190:$D$1288)</f>
        <v>5</v>
      </c>
      <c r="G14">
        <f>IF(MAX(Calc!$F$362:$F$391)=0,"",INDEX(Calc!$E$362:$E$391,MATCH(MAX(Calc!$F$362:$F$391),Calc!$F$362:$F$391,0)))</f>
        <v>2</v>
      </c>
      <c r="H14">
        <f>MAX(Calc!$F$362:$F$391)</f>
        <v>38</v>
      </c>
      <c r="I14" t="str">
        <f>IF(H14=0,"",INDEX(Calc!$C$362:$C$391,MATCH(H14,Calc!$F$362:$F$391,0)))</f>
        <v>Joe</v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>
        <f>IF(MAX(CountCalc!$D$1289:$D$1387)=0,"",INDEX(CountCalc!$C$1289:$C$1387,MATCH(MAX(CountCalc!$D$1289:$D$1387),CountCalc!$D$1289:$D$1387,0)))</f>
        <v>11</v>
      </c>
      <c r="F15">
        <f>MAX(CountCalc!$D$1289:$D$1387)</f>
        <v>6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501" activePane="bottomLeft" state="frozen"/>
      <selection pane="bottomLeft" activeCell="D522" sqref="D522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>
        <v>97</v>
      </c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>
        <v>71</v>
      </c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>
        <v>54</v>
      </c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>
        <v>19</v>
      </c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>
        <v>45</v>
      </c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>
        <v>3</v>
      </c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>
        <v>16</v>
      </c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>
        <v>8</v>
      </c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>
        <v>2</v>
      </c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>
        <v>42</v>
      </c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>
        <v>12</v>
      </c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>
        <v>17</v>
      </c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>
        <v>7</v>
      </c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>
        <v>60</v>
      </c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>
        <v>41</v>
      </c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>
        <v>11</v>
      </c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>
        <v>34</v>
      </c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>
        <v>38</v>
      </c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>
        <v>43</v>
      </c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>
        <v>88</v>
      </c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>
        <v>20</v>
      </c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>
        <v>4</v>
      </c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>
        <v>5</v>
      </c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>
        <v>9</v>
      </c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>
        <v>48</v>
      </c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>
        <v>35</v>
      </c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>
        <v>1</v>
      </c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>
        <v>77</v>
      </c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>
        <v>23</v>
      </c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>
        <v>6</v>
      </c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>
        <v>47</v>
      </c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>
        <v>21</v>
      </c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>
        <v>10</v>
      </c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>
        <v>66</v>
      </c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>
        <v>78</v>
      </c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>
        <v>24</v>
      </c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>
        <v>51</v>
      </c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>
        <v>22</v>
      </c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>
        <v>7</v>
      </c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>
        <v>20</v>
      </c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>
        <v>11</v>
      </c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>
        <v>45</v>
      </c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>
        <v>5</v>
      </c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>
        <v>54</v>
      </c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>
        <v>12</v>
      </c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>
        <v>22</v>
      </c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>
        <v>24</v>
      </c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>
        <v>38</v>
      </c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>
        <v>97</v>
      </c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>
        <v>47</v>
      </c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>
        <v>43</v>
      </c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>
        <v>71</v>
      </c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>
        <v>6</v>
      </c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>
        <v>41</v>
      </c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>
        <v>48</v>
      </c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>
        <v>16</v>
      </c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>
        <v>67</v>
      </c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>
        <v>34</v>
      </c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>
        <v>35</v>
      </c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>
        <v>23</v>
      </c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>
        <v>77</v>
      </c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>
        <v>4</v>
      </c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>
        <v>10</v>
      </c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>
        <v>42</v>
      </c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>
        <v>33</v>
      </c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>
        <v>51</v>
      </c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>
        <v>21</v>
      </c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>
        <v>17</v>
      </c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>
        <v>78</v>
      </c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>
        <v>3</v>
      </c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>
        <v>60</v>
      </c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>
        <v>19</v>
      </c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>
        <v>1</v>
      </c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>
        <v>66</v>
      </c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>
        <v>9</v>
      </c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>
        <v>2</v>
      </c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>
        <v>88</v>
      </c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1</v>
      </c>
      <c r="G332">
        <f>IF(E332="","",SUMIFS(RaceResults!$E:$E,RaceResults!$A:$A,A332,RaceResults!$D:$D,E332))</f>
        <v>55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12</v>
      </c>
      <c r="F333">
        <f>IF(E333="","",SUMIFS(RaceResults!$C:$C,RaceResults!$A:$A,A333,RaceResults!$D:$D,E333))</f>
        <v>11</v>
      </c>
      <c r="G333">
        <f>IF(E333="","",SUMIFS(RaceResults!$E:$E,RaceResults!$A:$A,A333,RaceResults!$D:$D,E333))</f>
        <v>26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2</v>
      </c>
      <c r="F334">
        <f>IF(E334="","",SUMIFS(RaceResults!$C:$C,RaceResults!$A:$A,A334,RaceResults!$D:$D,E334))</f>
        <v>9</v>
      </c>
      <c r="G334">
        <f>IF(E334="","",SUMIFS(RaceResults!$E:$E,RaceResults!$A:$A,A334,RaceResults!$D:$D,E334))</f>
        <v>28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97</v>
      </c>
      <c r="F335">
        <f>IF(E335="","",SUMIFS(RaceResults!$C:$C,RaceResults!$A:$A,A335,RaceResults!$D:$D,E335))</f>
        <v>1</v>
      </c>
      <c r="G335">
        <f>IF(E335="","",SUMIFS(RaceResults!$E:$E,RaceResults!$A:$A,A335,RaceResults!$D:$D,E335))</f>
        <v>55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1</v>
      </c>
      <c r="F336">
        <f>IF(E336="","",SUMIFS(RaceResults!$C:$C,RaceResults!$A:$A,A336,RaceResults!$D:$D,E336))</f>
        <v>27</v>
      </c>
      <c r="G336">
        <f>IF(E336="","",SUMIFS(RaceResults!$E:$E,RaceResults!$A:$A,A336,RaceResults!$D:$D,E336))</f>
        <v>10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12</v>
      </c>
      <c r="F337">
        <f>IF(E337="","",SUMIFS(RaceResults!$C:$C,RaceResults!$A:$A,A337,RaceResults!$D:$D,E337))</f>
        <v>11</v>
      </c>
      <c r="G337">
        <f>IF(E337="","",SUMIFS(RaceResults!$E:$E,RaceResults!$A:$A,A337,RaceResults!$D:$D,E337))</f>
        <v>26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97</v>
      </c>
      <c r="F338">
        <f>IF(E338="","",SUMIFS(RaceResults!$C:$C,RaceResults!$A:$A,A338,RaceResults!$D:$D,E338))</f>
        <v>1</v>
      </c>
      <c r="G338">
        <f>IF(E338="","",SUMIFS(RaceResults!$E:$E,RaceResults!$A:$A,A338,RaceResults!$D:$D,E338))</f>
        <v>55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20</v>
      </c>
      <c r="F339">
        <f>IF(E339="","",SUMIFS(RaceResults!$C:$C,RaceResults!$A:$A,A339,RaceResults!$D:$D,E339))</f>
        <v>21</v>
      </c>
      <c r="G339">
        <f>IF(E339="","",SUMIFS(RaceResults!$E:$E,RaceResults!$A:$A,A339,RaceResults!$D:$D,E339))</f>
        <v>16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17</v>
      </c>
      <c r="F340">
        <f>IF(E340="","",SUMIFS(RaceResults!$C:$C,RaceResults!$A:$A,A340,RaceResults!$D:$D,E340))</f>
        <v>12</v>
      </c>
      <c r="G340">
        <f>IF(E340="","",SUMIFS(RaceResults!$E:$E,RaceResults!$A:$A,A340,RaceResults!$D:$D,E340))</f>
        <v>25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97</v>
      </c>
      <c r="F341">
        <f>IF(E341="","",SUMIFS(RaceResults!$C:$C,RaceResults!$A:$A,A341,RaceResults!$D:$D,E341))</f>
        <v>1</v>
      </c>
      <c r="G341">
        <f>IF(E341="","",SUMIFS(RaceResults!$E:$E,RaceResults!$A:$A,A341,RaceResults!$D:$D,E341))</f>
        <v>55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12</v>
      </c>
      <c r="F342">
        <f>IF(E342="","",SUMIFS(RaceResults!$C:$C,RaceResults!$A:$A,A342,RaceResults!$D:$D,E342))</f>
        <v>11</v>
      </c>
      <c r="G342">
        <f>IF(E342="","",SUMIFS(RaceResults!$E:$E,RaceResults!$A:$A,A342,RaceResults!$D:$D,E342))</f>
        <v>26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20</v>
      </c>
      <c r="F343">
        <f>IF(E343="","",SUMIFS(RaceResults!$C:$C,RaceResults!$A:$A,A343,RaceResults!$D:$D,E343))</f>
        <v>21</v>
      </c>
      <c r="G343">
        <f>IF(E343="","",SUMIFS(RaceResults!$E:$E,RaceResults!$A:$A,A343,RaceResults!$D:$D,E343))</f>
        <v>16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22</v>
      </c>
      <c r="F344">
        <f>IF(E344="","",SUMIFS(RaceResults!$C:$C,RaceResults!$A:$A,A344,RaceResults!$D:$D,E344))</f>
        <v>38</v>
      </c>
      <c r="G344">
        <f>IF(E344="","",SUMIFS(RaceResults!$E:$E,RaceResults!$A:$A,A344,RaceResults!$D:$D,E344))</f>
        <v>1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2</v>
      </c>
      <c r="F345">
        <f>IF(E345="","",SUMIFS(RaceResults!$C:$C,RaceResults!$A:$A,A345,RaceResults!$D:$D,E345))</f>
        <v>9</v>
      </c>
      <c r="G345">
        <f>IF(E345="","",SUMIFS(RaceResults!$E:$E,RaceResults!$A:$A,A345,RaceResults!$D:$D,E345))</f>
        <v>28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20</v>
      </c>
      <c r="F346">
        <f>IF(E346="","",SUMIFS(RaceResults!$C:$C,RaceResults!$A:$A,A346,RaceResults!$D:$D,E346))</f>
        <v>21</v>
      </c>
      <c r="G346">
        <f>IF(E346="","",SUMIFS(RaceResults!$E:$E,RaceResults!$A:$A,A346,RaceResults!$D:$D,E346))</f>
        <v>16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97</v>
      </c>
      <c r="F347">
        <f>IF(E347="","",SUMIFS(RaceResults!$C:$C,RaceResults!$A:$A,A347,RaceResults!$D:$D,E347))</f>
        <v>1</v>
      </c>
      <c r="G347">
        <f>IF(E347="","",SUMIFS(RaceResults!$E:$E,RaceResults!$A:$A,A347,RaceResults!$D:$D,E347))</f>
        <v>55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20</v>
      </c>
      <c r="F348">
        <f>IF(E348="","",SUMIFS(RaceResults!$C:$C,RaceResults!$A:$A,A348,RaceResults!$D:$D,E348))</f>
        <v>21</v>
      </c>
      <c r="G348">
        <f>IF(E348="","",SUMIFS(RaceResults!$E:$E,RaceResults!$A:$A,A348,RaceResults!$D:$D,E348))</f>
        <v>16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45</v>
      </c>
      <c r="F349">
        <f>IF(E349="","",SUMIFS(RaceResults!$C:$C,RaceResults!$A:$A,A349,RaceResults!$D:$D,E349))</f>
        <v>5</v>
      </c>
      <c r="G349">
        <f>IF(E349="","",SUMIFS(RaceResults!$E:$E,RaceResults!$A:$A,A349,RaceResults!$D:$D,E349))</f>
        <v>32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24</v>
      </c>
      <c r="F350">
        <f>IF(E350="","",SUMIFS(RaceResults!$C:$C,RaceResults!$A:$A,A350,RaceResults!$D:$D,E350))</f>
        <v>36</v>
      </c>
      <c r="G350">
        <f>IF(E350="","",SUMIFS(RaceResults!$E:$E,RaceResults!$A:$A,A350,RaceResults!$D:$D,E350))</f>
        <v>1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5</v>
      </c>
      <c r="F351">
        <f>IF(E351="","",SUMIFS(RaceResults!$C:$C,RaceResults!$A:$A,A351,RaceResults!$D:$D,E351))</f>
        <v>23</v>
      </c>
      <c r="G351">
        <f>IF(E351="","",SUMIFS(RaceResults!$E:$E,RaceResults!$A:$A,A351,RaceResults!$D:$D,E351))</f>
        <v>14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9</v>
      </c>
      <c r="F352">
        <f>IF(E352="","",SUMIFS(RaceResults!$C:$C,RaceResults!$A:$A,A352,RaceResults!$D:$D,E352))</f>
        <v>24</v>
      </c>
      <c r="G352">
        <f>IF(E352="","",SUMIFS(RaceResults!$E:$E,RaceResults!$A:$A,A352,RaceResults!$D:$D,E352))</f>
        <v>13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5</v>
      </c>
      <c r="F356">
        <f>IF(E356="","",SUMIFS(RaceResults!$C:$C,RaceResults!$A:$A,A356,RaceResults!$D:$D,E356))</f>
        <v>23</v>
      </c>
      <c r="G356">
        <f>IF(E356="","",SUMIFS(RaceResults!$E:$E,RaceResults!$A:$A,A356,RaceResults!$D:$D,E356))</f>
        <v>14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97</v>
      </c>
      <c r="F357">
        <f>IF(E357="","",SUMIFS(RaceResults!$C:$C,RaceResults!$A:$A,A357,RaceResults!$D:$D,E357))</f>
        <v>1</v>
      </c>
      <c r="G357">
        <f>IF(E357="","",SUMIFS(RaceResults!$E:$E,RaceResults!$A:$A,A357,RaceResults!$D:$D,E357))</f>
        <v>55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9</v>
      </c>
      <c r="F358">
        <f>IF(E358="","",SUMIFS(RaceResults!$C:$C,RaceResults!$A:$A,A358,RaceResults!$D:$D,E358))</f>
        <v>24</v>
      </c>
      <c r="G358">
        <f>IF(E358="","",SUMIFS(RaceResults!$E:$E,RaceResults!$A:$A,A358,RaceResults!$D:$D,E358))</f>
        <v>13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1</v>
      </c>
      <c r="F359">
        <f>IF(E359="","",SUMIFS(RaceResults!$C:$C,RaceResults!$A:$A,A359,RaceResults!$D:$D,E359))</f>
        <v>27</v>
      </c>
      <c r="G359">
        <f>IF(E359="","",SUMIFS(RaceResults!$E:$E,RaceResults!$A:$A,A359,RaceResults!$D:$D,E359))</f>
        <v>10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22</v>
      </c>
      <c r="F360">
        <f>IF(E360="","",SUMIFS(RaceResults!$C:$C,RaceResults!$A:$A,A360,RaceResults!$D:$D,E360))</f>
        <v>38</v>
      </c>
      <c r="G360">
        <f>IF(E360="","",SUMIFS(RaceResults!$E:$E,RaceResults!$A:$A,A360,RaceResults!$D:$D,E360))</f>
        <v>1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20</v>
      </c>
      <c r="F361">
        <f>IF(E361="","",SUMIFS(RaceResults!$C:$C,RaceResults!$A:$A,A361,RaceResults!$D:$D,E361))</f>
        <v>21</v>
      </c>
      <c r="G361">
        <f>IF(E361="","",SUMIFS(RaceResults!$E:$E,RaceResults!$A:$A,A361,RaceResults!$D:$D,E361))</f>
        <v>16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45</v>
      </c>
      <c r="F362">
        <f>IF(E362="","",SUMIFS(RaceResults!$C:$C,RaceResults!$A:$A,A362,RaceResults!$D:$D,E362))</f>
        <v>4</v>
      </c>
      <c r="G362">
        <f>IF(E362="","",SUMIFS(RaceResults!$E:$E,RaceResults!$A:$A,A362,RaceResults!$D:$D,E362))</f>
        <v>33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12</v>
      </c>
      <c r="F363">
        <f>IF(E363="","",SUMIFS(RaceResults!$C:$C,RaceResults!$A:$A,A363,RaceResults!$D:$D,E363))</f>
        <v>7</v>
      </c>
      <c r="G363">
        <f>IF(E363="","",SUMIFS(RaceResults!$E:$E,RaceResults!$A:$A,A363,RaceResults!$D:$D,E363))</f>
        <v>30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1</v>
      </c>
      <c r="F364">
        <f>IF(E364="","",SUMIFS(RaceResults!$C:$C,RaceResults!$A:$A,A364,RaceResults!$D:$D,E364))</f>
        <v>35</v>
      </c>
      <c r="G364">
        <f>IF(E364="","",SUMIFS(RaceResults!$E:$E,RaceResults!$A:$A,A364,RaceResults!$D:$D,E364))</f>
        <v>2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45</v>
      </c>
      <c r="F365">
        <f>IF(E365="","",SUMIFS(RaceResults!$C:$C,RaceResults!$A:$A,A365,RaceResults!$D:$D,E365))</f>
        <v>4</v>
      </c>
      <c r="G365">
        <f>IF(E365="","",SUMIFS(RaceResults!$E:$E,RaceResults!$A:$A,A365,RaceResults!$D:$D,E365))</f>
        <v>33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11</v>
      </c>
      <c r="F366">
        <f>IF(E366="","",SUMIFS(RaceResults!$C:$C,RaceResults!$A:$A,A366,RaceResults!$D:$D,E366))</f>
        <v>3</v>
      </c>
      <c r="G366">
        <f>IF(E366="","",SUMIFS(RaceResults!$E:$E,RaceResults!$A:$A,A366,RaceResults!$D:$D,E366))</f>
        <v>34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5</v>
      </c>
      <c r="F367">
        <f>IF(E367="","",SUMIFS(RaceResults!$C:$C,RaceResults!$A:$A,A367,RaceResults!$D:$D,E367))</f>
        <v>5</v>
      </c>
      <c r="G367">
        <f>IF(E367="","",SUMIFS(RaceResults!$E:$E,RaceResults!$A:$A,A367,RaceResults!$D:$D,E367))</f>
        <v>32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11</v>
      </c>
      <c r="F368">
        <f>IF(E368="","",SUMIFS(RaceResults!$C:$C,RaceResults!$A:$A,A368,RaceResults!$D:$D,E368))</f>
        <v>3</v>
      </c>
      <c r="G368">
        <f>IF(E368="","",SUMIFS(RaceResults!$E:$E,RaceResults!$A:$A,A368,RaceResults!$D:$D,E368))</f>
        <v>34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1</v>
      </c>
      <c r="F369">
        <f>IF(E369="","",SUMIFS(RaceResults!$C:$C,RaceResults!$A:$A,A369,RaceResults!$D:$D,E369))</f>
        <v>35</v>
      </c>
      <c r="G369">
        <f>IF(E369="","",SUMIFS(RaceResults!$E:$E,RaceResults!$A:$A,A369,RaceResults!$D:$D,E369))</f>
        <v>2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24</v>
      </c>
      <c r="F370">
        <f>IF(E370="","",SUMIFS(RaceResults!$C:$C,RaceResults!$A:$A,A370,RaceResults!$D:$D,E370))</f>
        <v>9</v>
      </c>
      <c r="G370">
        <f>IF(E370="","",SUMIFS(RaceResults!$E:$E,RaceResults!$A:$A,A370,RaceResults!$D:$D,E370))</f>
        <v>28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11</v>
      </c>
      <c r="F371">
        <f>IF(E371="","",SUMIFS(RaceResults!$C:$C,RaceResults!$A:$A,A371,RaceResults!$D:$D,E371))</f>
        <v>3</v>
      </c>
      <c r="G371">
        <f>IF(E371="","",SUMIFS(RaceResults!$E:$E,RaceResults!$A:$A,A371,RaceResults!$D:$D,E371))</f>
        <v>34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45</v>
      </c>
      <c r="F372">
        <f>IF(E372="","",SUMIFS(RaceResults!$C:$C,RaceResults!$A:$A,A372,RaceResults!$D:$D,E372))</f>
        <v>4</v>
      </c>
      <c r="G372">
        <f>IF(E372="","",SUMIFS(RaceResults!$E:$E,RaceResults!$A:$A,A372,RaceResults!$D:$D,E372))</f>
        <v>33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12</v>
      </c>
      <c r="F373">
        <f>IF(E373="","",SUMIFS(RaceResults!$C:$C,RaceResults!$A:$A,A373,RaceResults!$D:$D,E373))</f>
        <v>7</v>
      </c>
      <c r="G373">
        <f>IF(E373="","",SUMIFS(RaceResults!$E:$E,RaceResults!$A:$A,A373,RaceResults!$D:$D,E373))</f>
        <v>30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45</v>
      </c>
      <c r="F374">
        <f>IF(E374="","",SUMIFS(RaceResults!$C:$C,RaceResults!$A:$A,A374,RaceResults!$D:$D,E374))</f>
        <v>4</v>
      </c>
      <c r="G374">
        <f>IF(E374="","",SUMIFS(RaceResults!$E:$E,RaceResults!$A:$A,A374,RaceResults!$D:$D,E374))</f>
        <v>33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12</v>
      </c>
      <c r="F375">
        <f>IF(E375="","",SUMIFS(RaceResults!$C:$C,RaceResults!$A:$A,A375,RaceResults!$D:$D,E375))</f>
        <v>7</v>
      </c>
      <c r="G375">
        <f>IF(E375="","",SUMIFS(RaceResults!$E:$E,RaceResults!$A:$A,A375,RaceResults!$D:$D,E375))</f>
        <v>30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2</v>
      </c>
      <c r="F376">
        <f>IF(E376="","",SUMIFS(RaceResults!$C:$C,RaceResults!$A:$A,A376,RaceResults!$D:$D,E376))</f>
        <v>38</v>
      </c>
      <c r="G376">
        <f>IF(E376="","",SUMIFS(RaceResults!$E:$E,RaceResults!$A:$A,A376,RaceResults!$D:$D,E376))</f>
        <v>1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23</v>
      </c>
      <c r="F377">
        <f>IF(E377="","",SUMIFS(RaceResults!$C:$C,RaceResults!$A:$A,A377,RaceResults!$D:$D,E377))</f>
        <v>22</v>
      </c>
      <c r="G377">
        <f>IF(E377="","",SUMIFS(RaceResults!$E:$E,RaceResults!$A:$A,A377,RaceResults!$D:$D,E377))</f>
        <v>15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5</v>
      </c>
      <c r="F378">
        <f>IF(E378="","",SUMIFS(RaceResults!$C:$C,RaceResults!$A:$A,A378,RaceResults!$D:$D,E378))</f>
        <v>5</v>
      </c>
      <c r="G378">
        <f>IF(E378="","",SUMIFS(RaceResults!$E:$E,RaceResults!$A:$A,A378,RaceResults!$D:$D,E378))</f>
        <v>32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11</v>
      </c>
      <c r="F379">
        <f>IF(E379="","",SUMIFS(RaceResults!$C:$C,RaceResults!$A:$A,A379,RaceResults!$D:$D,E379))</f>
        <v>3</v>
      </c>
      <c r="G379">
        <f>IF(E379="","",SUMIFS(RaceResults!$E:$E,RaceResults!$A:$A,A379,RaceResults!$D:$D,E379))</f>
        <v>34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9</v>
      </c>
      <c r="F380">
        <f>IF(E380="","",SUMIFS(RaceResults!$C:$C,RaceResults!$A:$A,A380,RaceResults!$D:$D,E380))</f>
        <v>37</v>
      </c>
      <c r="G380">
        <f>IF(E380="","",SUMIFS(RaceResults!$E:$E,RaceResults!$A:$A,A380,RaceResults!$D:$D,E380))</f>
        <v>1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5</v>
      </c>
      <c r="F381">
        <f>IF(E381="","",SUMIFS(RaceResults!$C:$C,RaceResults!$A:$A,A381,RaceResults!$D:$D,E381))</f>
        <v>5</v>
      </c>
      <c r="G381">
        <f>IF(E381="","",SUMIFS(RaceResults!$E:$E,RaceResults!$A:$A,A381,RaceResults!$D:$D,E381))</f>
        <v>32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48</v>
      </c>
      <c r="F382">
        <f>IF(E382="","",SUMIFS(RaceResults!$C:$C,RaceResults!$A:$A,A382,RaceResults!$D:$D,E382))</f>
        <v>17</v>
      </c>
      <c r="G382">
        <f>IF(E382="","",SUMIFS(RaceResults!$E:$E,RaceResults!$A:$A,A382,RaceResults!$D:$D,E382))</f>
        <v>20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5</v>
      </c>
      <c r="F386">
        <f>IF(E386="","",SUMIFS(RaceResults!$C:$C,RaceResults!$A:$A,A386,RaceResults!$D:$D,E386))</f>
        <v>5</v>
      </c>
      <c r="G386">
        <f>IF(E386="","",SUMIFS(RaceResults!$E:$E,RaceResults!$A:$A,A386,RaceResults!$D:$D,E386))</f>
        <v>32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11</v>
      </c>
      <c r="F387">
        <f>IF(E387="","",SUMIFS(RaceResults!$C:$C,RaceResults!$A:$A,A387,RaceResults!$D:$D,E387))</f>
        <v>3</v>
      </c>
      <c r="G387">
        <f>IF(E387="","",SUMIFS(RaceResults!$E:$E,RaceResults!$A:$A,A387,RaceResults!$D:$D,E387))</f>
        <v>34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12</v>
      </c>
      <c r="F388">
        <f>IF(E388="","",SUMIFS(RaceResults!$C:$C,RaceResults!$A:$A,A388,RaceResults!$D:$D,E388))</f>
        <v>7</v>
      </c>
      <c r="G388">
        <f>IF(E388="","",SUMIFS(RaceResults!$E:$E,RaceResults!$A:$A,A388,RaceResults!$D:$D,E388))</f>
        <v>30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54</v>
      </c>
      <c r="F389">
        <f>IF(E389="","",SUMIFS(RaceResults!$C:$C,RaceResults!$A:$A,A389,RaceResults!$D:$D,E389))</f>
        <v>6</v>
      </c>
      <c r="G389">
        <f>IF(E389="","",SUMIFS(RaceResults!$E:$E,RaceResults!$A:$A,A389,RaceResults!$D:$D,E389))</f>
        <v>31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45</v>
      </c>
      <c r="F390">
        <f>IF(E390="","",SUMIFS(RaceResults!$C:$C,RaceResults!$A:$A,A390,RaceResults!$D:$D,E390))</f>
        <v>4</v>
      </c>
      <c r="G390">
        <f>IF(E390="","",SUMIFS(RaceResults!$E:$E,RaceResults!$A:$A,A390,RaceResults!$D:$D,E390))</f>
        <v>33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19</v>
      </c>
      <c r="F391">
        <f>IF(E391="","",SUMIFS(RaceResults!$C:$C,RaceResults!$A:$A,A391,RaceResults!$D:$D,E391))</f>
        <v>34</v>
      </c>
      <c r="G391">
        <f>IF(E391="","",SUMIFS(RaceResults!$E:$E,RaceResults!$A:$A,A391,RaceResults!$D:$D,E391))</f>
        <v>3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5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45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12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45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11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7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11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20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12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11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12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45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11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45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7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11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45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20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12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5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11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54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45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5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2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2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2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2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3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5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2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1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1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6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2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1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4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1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5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4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1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1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1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5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1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1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3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2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6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4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2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6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1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3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5</v>
      </c>
      <c r="C2">
        <f>SUMIF(Calc!$E$2:$E$1081,A2,Calc!$G$2:$G$1081)</f>
        <v>33</v>
      </c>
      <c r="D2">
        <f>IF(B2=0,"",AVERAGEIF(Calc!$E$2:$E$1081,A2,Calc!$F$2:$F$1081))</f>
        <v>30.4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4</v>
      </c>
      <c r="C3">
        <f>SUMIF(Calc!$E$2:$E$1081,A3,Calc!$G$2:$G$1081)</f>
        <v>60</v>
      </c>
      <c r="D3">
        <f>IF(B3=0,"",AVERAGEIF(Calc!$E$2:$E$1081,A3,Calc!$F$2:$F$1081))</f>
        <v>22.5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42</v>
      </c>
      <c r="C6">
        <f>SUMIF(Calc!$E$2:$E$1081,A6,Calc!$G$2:$G$1081)</f>
        <v>851</v>
      </c>
      <c r="D6">
        <f>IF(B6=0,"",AVERAGEIF(Calc!$E$2:$E$1081,A6,Calc!$F$2:$F$1081))</f>
        <v>14.666666666666666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4</v>
      </c>
      <c r="C8">
        <f>SUMIF(Calc!$E$2:$E$1081,A8,Calc!$G$2:$G$1081)</f>
        <v>38</v>
      </c>
      <c r="D8">
        <f>IF(B8=0,"",AVERAGEIF(Calc!$E$2:$E$1081,A8,Calc!$F$2:$F$1081))</f>
        <v>9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12</v>
      </c>
      <c r="C10">
        <f>SUMIF(Calc!$E$2:$E$1081,A10,Calc!$G$2:$G$1081)</f>
        <v>396</v>
      </c>
      <c r="D10">
        <f>IF(B10=0,"",AVERAGEIF(Calc!$E$2:$E$1081,A10,Calc!$F$2:$F$1081))</f>
        <v>10.416666666666666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47</v>
      </c>
      <c r="C12">
        <f>SUMIF(Calc!$E$2:$E$1081,A12,Calc!$G$2:$G$1081)</f>
        <v>1386</v>
      </c>
      <c r="D12">
        <f>IF(B12=0,"",AVERAGEIF(Calc!$E$2:$E$1081,A12,Calc!$F$2:$F$1081))</f>
        <v>4.4042553191489358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39</v>
      </c>
      <c r="C13">
        <f>SUMIF(Calc!$E$2:$E$1081,A13,Calc!$G$2:$G$1081)</f>
        <v>935</v>
      </c>
      <c r="D13">
        <f>IF(B13=0,"",AVERAGEIF(Calc!$E$2:$E$1081,A13,Calc!$F$2:$F$1081))</f>
        <v>10.794871794871796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4</v>
      </c>
      <c r="C18">
        <f>SUMIF(Calc!$E$2:$E$1081,A18,Calc!$G$2:$G$1081)</f>
        <v>109</v>
      </c>
      <c r="D18">
        <f>IF(B18=0,"",AVERAGEIF(Calc!$E$2:$E$1081,A18,Calc!$F$2:$F$1081))</f>
        <v>9.75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6</v>
      </c>
      <c r="C20">
        <f>SUMIF(Calc!$E$2:$E$1081,A20,Calc!$G$2:$G$1081)</f>
        <v>34</v>
      </c>
      <c r="D20">
        <f>IF(B20=0,"",AVERAGEIF(Calc!$E$2:$E$1081,A20,Calc!$F$2:$F$1081))</f>
        <v>31.833333333333332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18</v>
      </c>
      <c r="C21">
        <f>SUMIF(Calc!$E$2:$E$1081,A21,Calc!$G$2:$G$1081)</f>
        <v>316</v>
      </c>
      <c r="D21">
        <f>IF(B21=0,"",AVERAGEIF(Calc!$E$2:$E$1081,A21,Calc!$F$2:$F$1081))</f>
        <v>15.555555555555555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8</v>
      </c>
      <c r="C23">
        <f>SUMIF(Calc!$E$2:$E$1081,A23,Calc!$G$2:$G$1081)</f>
        <v>45</v>
      </c>
      <c r="D23">
        <f>IF(B23=0,"",AVERAGEIF(Calc!$E$2:$E$1081,A23,Calc!$F$2:$F$1081))</f>
        <v>32.75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8</v>
      </c>
      <c r="C24">
        <f>SUMIF(Calc!$E$2:$E$1081,A24,Calc!$G$2:$G$1081)</f>
        <v>103</v>
      </c>
      <c r="D24">
        <f>IF(B24=0,"",AVERAGEIF(Calc!$E$2:$E$1081,A24,Calc!$F$2:$F$1081))</f>
        <v>24.125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16</v>
      </c>
      <c r="C25">
        <f>SUMIF(Calc!$E$2:$E$1081,A25,Calc!$G$2:$G$1081)</f>
        <v>344</v>
      </c>
      <c r="D25">
        <f>IF(B25=0,"",AVERAGEIF(Calc!$E$2:$E$1081,A25,Calc!$F$2:$F$1081))</f>
        <v>15.5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36</v>
      </c>
      <c r="C46">
        <f>SUMIF(Calc!$E$2:$E$1081,A46,Calc!$G$2:$G$1081)</f>
        <v>1079</v>
      </c>
      <c r="D46">
        <f>IF(B46=0,"",AVERAGEIF(Calc!$E$2:$E$1081,A46,Calc!$F$2:$F$1081))</f>
        <v>5.083333333333333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2</v>
      </c>
      <c r="C49">
        <f>SUMIF(Calc!$E$2:$E$1081,A49,Calc!$G$2:$G$1081)</f>
        <v>54</v>
      </c>
      <c r="D49">
        <f>IF(B49=0,"",AVERAGEIF(Calc!$E$2:$E$1081,A49,Calc!$F$2:$F$1081))</f>
        <v>10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13</v>
      </c>
      <c r="C55">
        <f>SUMIF(Calc!$E$2:$E$1081,A55,Calc!$G$2:$G$1081)</f>
        <v>371</v>
      </c>
      <c r="D55">
        <f>IF(B55=0,"",AVERAGEIF(Calc!$E$2:$E$1081,A55,Calc!$F$2:$F$1081))</f>
        <v>10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140</v>
      </c>
      <c r="D78">
        <f>IF(B78=0,"",AVERAGEIF(Calc!$E$2:$E$1081,A78,Calc!$F$2:$F$1081))</f>
        <v>9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10</v>
      </c>
      <c r="C98">
        <f>SUMIF(Calc!$E$2:$E$1081,A98,Calc!$G$2:$G$1081)</f>
        <v>452</v>
      </c>
      <c r="D98">
        <f>IF(B98=0,"",AVERAGEIF(Calc!$E$2:$E$1081,A98,Calc!$F$2:$F$1081))</f>
        <v>3.2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6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3</v>
      </c>
      <c r="B4" t="s">
        <v>21</v>
      </c>
      <c r="C4">
        <f>SUMIF(WeeklyPicks!$C:$C,B4,WeeklyPicks!$M:$M)</f>
        <v>945</v>
      </c>
      <c r="D4">
        <f>COUNTIF(RaceSummary!$C:$C,B4)</f>
        <v>3</v>
      </c>
      <c r="E4">
        <f>IF(COUNTIF(WeeklyPicks!$C:$C,B4)=0,"",AVERAGEIF(WeeklyPicks!$C:$C,B4,WeeklyPicks!$M:$M))</f>
        <v>26.25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1</v>
      </c>
      <c r="B5" t="s">
        <v>22</v>
      </c>
      <c r="C5">
        <f>SUMIF(WeeklyPicks!$C:$C,B5,WeeklyPicks!$M:$M)</f>
        <v>974</v>
      </c>
      <c r="D5">
        <f>COUNTIF(RaceSummary!$C:$C,B5)</f>
        <v>4</v>
      </c>
      <c r="E5">
        <f>IF(COUNTIF(WeeklyPicks!$C:$C,B5)=0,"",AVERAGEIF(WeeklyPicks!$C:$C,B5,WeeklyPicks!$M:$M))</f>
        <v>27.055555555555557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800</v>
      </c>
      <c r="D6">
        <f>COUNTIF(RaceSummary!$C:$C,B6)</f>
        <v>1</v>
      </c>
      <c r="E6">
        <f>IF(COUNTIF(WeeklyPicks!$C:$C,B6)=0,"",AVERAGEIF(WeeklyPicks!$C:$C,B6,WeeklyPicks!$M:$M))</f>
        <v>22.222222222222221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973</v>
      </c>
      <c r="D7">
        <f>COUNTIF(RaceSummary!$C:$C,B7)</f>
        <v>1</v>
      </c>
      <c r="E7">
        <f>IF(COUNTIF(WeeklyPicks!$C:$C,B7)=0,"",AVERAGEIF(WeeklyPicks!$C:$C,B7,WeeklyPicks!$M:$M))</f>
        <v>27.027777777777779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6</v>
      </c>
      <c r="B8" t="s">
        <v>27</v>
      </c>
      <c r="C8">
        <f>SUMIF(WeeklyPicks!$C:$C,B8,WeeklyPicks!$M:$M)</f>
        <v>684</v>
      </c>
      <c r="D8">
        <f>COUNTIF(RaceSummary!$C:$C,B8)</f>
        <v>1</v>
      </c>
      <c r="E8">
        <f>IF(COUNTIF(WeeklyPicks!$C:$C,B8)=0,"",AVERAGEIF(WeeklyPicks!$C:$C,B8,WeeklyPicks!$M:$M))</f>
        <v>19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5</v>
      </c>
      <c r="B9" t="s">
        <v>28</v>
      </c>
      <c r="C9">
        <f>SUMIF(WeeklyPicks!$C:$C,B9,WeeklyPicks!$M:$M)</f>
        <v>758</v>
      </c>
      <c r="D9">
        <f>COUNTIF(RaceSummary!$C:$C,B9)</f>
        <v>0</v>
      </c>
      <c r="E9">
        <f>IF(COUNTIF(WeeklyPicks!$C:$C,B9)=0,"",AVERAGEIF(WeeklyPicks!$C:$C,B9,WeeklyPicks!$M:$M))</f>
        <v>21.055555555555557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418</v>
      </c>
      <c r="D10" s="21">
        <f>COUNTIF(RaceSummary!$C:$C,B10)</f>
        <v>0</v>
      </c>
      <c r="E10" s="21">
        <f>IF(COUNTIF(WeeklyPicks!$C:$C,B10)=0,"",AVERAGEIF(WeeklyPicks!$C:$C,B10,WeeklyPicks!$M:$M))</f>
        <v>11.611111111111111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7</v>
      </c>
      <c r="B12" t="s">
        <v>31</v>
      </c>
      <c r="C12">
        <f>SUMIF(WeeklyPicks!$C:$C,B12,WeeklyPicks!$M:$M)</f>
        <v>611</v>
      </c>
      <c r="D12">
        <f>COUNTIF(RaceSummary!$C:$C,B12)</f>
        <v>0</v>
      </c>
      <c r="E12">
        <f>IF(COUNTIF(WeeklyPicks!$C:$C,B12)=0,"",AVERAGEIF(WeeklyPicks!$C:$C,B12,WeeklyPicks!$M:$M))</f>
        <v>16.972222222222221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611</v>
      </c>
      <c r="D13">
        <f>COUNTIF(RaceSummary!$C:$C,B13)</f>
        <v>1</v>
      </c>
      <c r="E13">
        <f>IF(COUNTIF(WeeklyPicks!$C:$C,B13)=0,"",AVERAGEIF(WeeklyPicks!$C:$C,B13,WeeklyPicks!$M:$M))</f>
        <v>16.972222222222221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880</v>
      </c>
      <c r="D28">
        <f>SUMIFS(WeeklyPicks!$M:$M,WeeklyPicks!$A:$A,"&lt;="&amp;$A28,WeeklyPicks!$C:$C,D$16)</f>
        <v>875</v>
      </c>
      <c r="E28">
        <f>SUMIFS(WeeklyPicks!$M:$M,WeeklyPicks!$A:$A,"&lt;="&amp;$A28,WeeklyPicks!$C:$C,E$16)</f>
        <v>736</v>
      </c>
      <c r="F28">
        <f>SUMIFS(WeeklyPicks!$M:$M,WeeklyPicks!$A:$A,"&lt;="&amp;$A28,WeeklyPicks!$C:$C,F$16)</f>
        <v>876</v>
      </c>
      <c r="G28">
        <f>SUMIFS(WeeklyPicks!$M:$M,WeeklyPicks!$A:$A,"&lt;="&amp;$A28,WeeklyPicks!$C:$C,G$16)</f>
        <v>620</v>
      </c>
      <c r="H28">
        <f>SUMIFS(WeeklyPicks!$M:$M,WeeklyPicks!$A:$A,"&lt;="&amp;$A28,WeeklyPicks!$C:$C,H$16)</f>
        <v>677</v>
      </c>
      <c r="I28">
        <f>SUMIFS(WeeklyPicks!$M:$M,WeeklyPicks!$A:$A,"&lt;="&amp;$A28,WeeklyPicks!$C:$C,I$16)</f>
        <v>365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515</v>
      </c>
      <c r="L28">
        <f>SUMIFS(WeeklyPicks!$M:$M,WeeklyPicks!$A:$A,"&lt;="&amp;$A28,WeeklyPicks!$C:$C,L$16)</f>
        <v>544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945</v>
      </c>
      <c r="D29">
        <f>SUMIFS(WeeklyPicks!$M:$M,WeeklyPicks!$A:$A,"&lt;="&amp;$A29,WeeklyPicks!$C:$C,D$16)</f>
        <v>974</v>
      </c>
      <c r="E29">
        <f>SUMIFS(WeeklyPicks!$M:$M,WeeklyPicks!$A:$A,"&lt;="&amp;$A29,WeeklyPicks!$C:$C,E$16)</f>
        <v>800</v>
      </c>
      <c r="F29">
        <f>SUMIFS(WeeklyPicks!$M:$M,WeeklyPicks!$A:$A,"&lt;="&amp;$A29,WeeklyPicks!$C:$C,F$16)</f>
        <v>973</v>
      </c>
      <c r="G29">
        <f>SUMIFS(WeeklyPicks!$M:$M,WeeklyPicks!$A:$A,"&lt;="&amp;$A29,WeeklyPicks!$C:$C,G$16)</f>
        <v>684</v>
      </c>
      <c r="H29">
        <f>SUMIFS(WeeklyPicks!$M:$M,WeeklyPicks!$A:$A,"&lt;="&amp;$A29,WeeklyPicks!$C:$C,H$16)</f>
        <v>758</v>
      </c>
      <c r="I29">
        <f>SUMIFS(WeeklyPicks!$M:$M,WeeklyPicks!$A:$A,"&lt;="&amp;$A29,WeeklyPicks!$C:$C,I$16)</f>
        <v>418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611</v>
      </c>
      <c r="L29">
        <f>SUMIFS(WeeklyPicks!$M:$M,WeeklyPicks!$A:$A,"&lt;="&amp;$A29,WeeklyPicks!$C:$C,L$16)</f>
        <v>611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945</v>
      </c>
      <c r="D30">
        <f>SUMIFS(WeeklyPicks!$M:$M,WeeklyPicks!$A:$A,"&lt;="&amp;$A30,WeeklyPicks!$C:$C,D$16)</f>
        <v>974</v>
      </c>
      <c r="E30">
        <f>SUMIFS(WeeklyPicks!$M:$M,WeeklyPicks!$A:$A,"&lt;="&amp;$A30,WeeklyPicks!$C:$C,E$16)</f>
        <v>800</v>
      </c>
      <c r="F30">
        <f>SUMIFS(WeeklyPicks!$M:$M,WeeklyPicks!$A:$A,"&lt;="&amp;$A30,WeeklyPicks!$C:$C,F$16)</f>
        <v>973</v>
      </c>
      <c r="G30">
        <f>SUMIFS(WeeklyPicks!$M:$M,WeeklyPicks!$A:$A,"&lt;="&amp;$A30,WeeklyPicks!$C:$C,G$16)</f>
        <v>684</v>
      </c>
      <c r="H30">
        <f>SUMIFS(WeeklyPicks!$M:$M,WeeklyPicks!$A:$A,"&lt;="&amp;$A30,WeeklyPicks!$C:$C,H$16)</f>
        <v>758</v>
      </c>
      <c r="I30">
        <f>SUMIFS(WeeklyPicks!$M:$M,WeeklyPicks!$A:$A,"&lt;="&amp;$A30,WeeklyPicks!$C:$C,I$16)</f>
        <v>418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611</v>
      </c>
      <c r="L30">
        <f>SUMIFS(WeeklyPicks!$M:$M,WeeklyPicks!$A:$A,"&lt;="&amp;$A30,WeeklyPicks!$C:$C,L$16)</f>
        <v>611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945</v>
      </c>
      <c r="D31">
        <f>SUMIFS(WeeklyPicks!$M:$M,WeeklyPicks!$A:$A,"&lt;="&amp;$A31,WeeklyPicks!$C:$C,D$16)</f>
        <v>974</v>
      </c>
      <c r="E31">
        <f>SUMIFS(WeeklyPicks!$M:$M,WeeklyPicks!$A:$A,"&lt;="&amp;$A31,WeeklyPicks!$C:$C,E$16)</f>
        <v>800</v>
      </c>
      <c r="F31">
        <f>SUMIFS(WeeklyPicks!$M:$M,WeeklyPicks!$A:$A,"&lt;="&amp;$A31,WeeklyPicks!$C:$C,F$16)</f>
        <v>973</v>
      </c>
      <c r="G31">
        <f>SUMIFS(WeeklyPicks!$M:$M,WeeklyPicks!$A:$A,"&lt;="&amp;$A31,WeeklyPicks!$C:$C,G$16)</f>
        <v>684</v>
      </c>
      <c r="H31">
        <f>SUMIFS(WeeklyPicks!$M:$M,WeeklyPicks!$A:$A,"&lt;="&amp;$A31,WeeklyPicks!$C:$C,H$16)</f>
        <v>758</v>
      </c>
      <c r="I31">
        <f>SUMIFS(WeeklyPicks!$M:$M,WeeklyPicks!$A:$A,"&lt;="&amp;$A31,WeeklyPicks!$C:$C,I$16)</f>
        <v>418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611</v>
      </c>
      <c r="L31">
        <f>SUMIFS(WeeklyPicks!$M:$M,WeeklyPicks!$A:$A,"&lt;="&amp;$A31,WeeklyPicks!$C:$C,L$16)</f>
        <v>611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945</v>
      </c>
      <c r="D32">
        <f>SUMIFS(WeeklyPicks!$M:$M,WeeklyPicks!$A:$A,"&lt;="&amp;$A32,WeeklyPicks!$C:$C,D$16)</f>
        <v>974</v>
      </c>
      <c r="E32">
        <f>SUMIFS(WeeklyPicks!$M:$M,WeeklyPicks!$A:$A,"&lt;="&amp;$A32,WeeklyPicks!$C:$C,E$16)</f>
        <v>800</v>
      </c>
      <c r="F32">
        <f>SUMIFS(WeeklyPicks!$M:$M,WeeklyPicks!$A:$A,"&lt;="&amp;$A32,WeeklyPicks!$C:$C,F$16)</f>
        <v>973</v>
      </c>
      <c r="G32">
        <f>SUMIFS(WeeklyPicks!$M:$M,WeeklyPicks!$A:$A,"&lt;="&amp;$A32,WeeklyPicks!$C:$C,G$16)</f>
        <v>684</v>
      </c>
      <c r="H32">
        <f>SUMIFS(WeeklyPicks!$M:$M,WeeklyPicks!$A:$A,"&lt;="&amp;$A32,WeeklyPicks!$C:$C,H$16)</f>
        <v>758</v>
      </c>
      <c r="I32">
        <f>SUMIFS(WeeklyPicks!$M:$M,WeeklyPicks!$A:$A,"&lt;="&amp;$A32,WeeklyPicks!$C:$C,I$16)</f>
        <v>418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611</v>
      </c>
      <c r="L32">
        <f>SUMIFS(WeeklyPicks!$M:$M,WeeklyPicks!$A:$A,"&lt;="&amp;$A32,WeeklyPicks!$C:$C,L$16)</f>
        <v>611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945</v>
      </c>
      <c r="D33">
        <f>SUMIFS(WeeklyPicks!$M:$M,WeeklyPicks!$A:$A,"&lt;="&amp;$A33,WeeklyPicks!$C:$C,D$16)</f>
        <v>974</v>
      </c>
      <c r="E33">
        <f>SUMIFS(WeeklyPicks!$M:$M,WeeklyPicks!$A:$A,"&lt;="&amp;$A33,WeeklyPicks!$C:$C,E$16)</f>
        <v>800</v>
      </c>
      <c r="F33">
        <f>SUMIFS(WeeklyPicks!$M:$M,WeeklyPicks!$A:$A,"&lt;="&amp;$A33,WeeklyPicks!$C:$C,F$16)</f>
        <v>973</v>
      </c>
      <c r="G33">
        <f>SUMIFS(WeeklyPicks!$M:$M,WeeklyPicks!$A:$A,"&lt;="&amp;$A33,WeeklyPicks!$C:$C,G$16)</f>
        <v>684</v>
      </c>
      <c r="H33">
        <f>SUMIFS(WeeklyPicks!$M:$M,WeeklyPicks!$A:$A,"&lt;="&amp;$A33,WeeklyPicks!$C:$C,H$16)</f>
        <v>758</v>
      </c>
      <c r="I33">
        <f>SUMIFS(WeeklyPicks!$M:$M,WeeklyPicks!$A:$A,"&lt;="&amp;$A33,WeeklyPicks!$C:$C,I$16)</f>
        <v>418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611</v>
      </c>
      <c r="L33">
        <f>SUMIFS(WeeklyPicks!$M:$M,WeeklyPicks!$A:$A,"&lt;="&amp;$A33,WeeklyPicks!$C:$C,L$16)</f>
        <v>611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945</v>
      </c>
      <c r="D34">
        <f>SUMIFS(WeeklyPicks!$M:$M,WeeklyPicks!$A:$A,"&lt;="&amp;$A34,WeeklyPicks!$C:$C,D$16)</f>
        <v>974</v>
      </c>
      <c r="E34">
        <f>SUMIFS(WeeklyPicks!$M:$M,WeeklyPicks!$A:$A,"&lt;="&amp;$A34,WeeklyPicks!$C:$C,E$16)</f>
        <v>800</v>
      </c>
      <c r="F34">
        <f>SUMIFS(WeeklyPicks!$M:$M,WeeklyPicks!$A:$A,"&lt;="&amp;$A34,WeeklyPicks!$C:$C,F$16)</f>
        <v>973</v>
      </c>
      <c r="G34">
        <f>SUMIFS(WeeklyPicks!$M:$M,WeeklyPicks!$A:$A,"&lt;="&amp;$A34,WeeklyPicks!$C:$C,G$16)</f>
        <v>684</v>
      </c>
      <c r="H34">
        <f>SUMIFS(WeeklyPicks!$M:$M,WeeklyPicks!$A:$A,"&lt;="&amp;$A34,WeeklyPicks!$C:$C,H$16)</f>
        <v>758</v>
      </c>
      <c r="I34">
        <f>SUMIFS(WeeklyPicks!$M:$M,WeeklyPicks!$A:$A,"&lt;="&amp;$A34,WeeklyPicks!$C:$C,I$16)</f>
        <v>418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611</v>
      </c>
      <c r="L34">
        <f>SUMIFS(WeeklyPicks!$M:$M,WeeklyPicks!$A:$A,"&lt;="&amp;$A34,WeeklyPicks!$C:$C,L$16)</f>
        <v>611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945</v>
      </c>
      <c r="D35">
        <f>SUMIFS(WeeklyPicks!$M:$M,WeeklyPicks!$A:$A,"&lt;="&amp;$A35,WeeklyPicks!$C:$C,D$16)</f>
        <v>974</v>
      </c>
      <c r="E35">
        <f>SUMIFS(WeeklyPicks!$M:$M,WeeklyPicks!$A:$A,"&lt;="&amp;$A35,WeeklyPicks!$C:$C,E$16)</f>
        <v>800</v>
      </c>
      <c r="F35">
        <f>SUMIFS(WeeklyPicks!$M:$M,WeeklyPicks!$A:$A,"&lt;="&amp;$A35,WeeklyPicks!$C:$C,F$16)</f>
        <v>973</v>
      </c>
      <c r="G35">
        <f>SUMIFS(WeeklyPicks!$M:$M,WeeklyPicks!$A:$A,"&lt;="&amp;$A35,WeeklyPicks!$C:$C,G$16)</f>
        <v>684</v>
      </c>
      <c r="H35">
        <f>SUMIFS(WeeklyPicks!$M:$M,WeeklyPicks!$A:$A,"&lt;="&amp;$A35,WeeklyPicks!$C:$C,H$16)</f>
        <v>758</v>
      </c>
      <c r="I35">
        <f>SUMIFS(WeeklyPicks!$M:$M,WeeklyPicks!$A:$A,"&lt;="&amp;$A35,WeeklyPicks!$C:$C,I$16)</f>
        <v>418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611</v>
      </c>
      <c r="L35">
        <f>SUMIFS(WeeklyPicks!$M:$M,WeeklyPicks!$A:$A,"&lt;="&amp;$A35,WeeklyPicks!$C:$C,L$16)</f>
        <v>611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945</v>
      </c>
      <c r="D36">
        <f>SUMIFS(WeeklyPicks!$M:$M,WeeklyPicks!$A:$A,"&lt;="&amp;$A36,WeeklyPicks!$C:$C,D$16)</f>
        <v>974</v>
      </c>
      <c r="E36">
        <f>SUMIFS(WeeklyPicks!$M:$M,WeeklyPicks!$A:$A,"&lt;="&amp;$A36,WeeklyPicks!$C:$C,E$16)</f>
        <v>800</v>
      </c>
      <c r="F36">
        <f>SUMIFS(WeeklyPicks!$M:$M,WeeklyPicks!$A:$A,"&lt;="&amp;$A36,WeeklyPicks!$C:$C,F$16)</f>
        <v>973</v>
      </c>
      <c r="G36">
        <f>SUMIFS(WeeklyPicks!$M:$M,WeeklyPicks!$A:$A,"&lt;="&amp;$A36,WeeklyPicks!$C:$C,G$16)</f>
        <v>684</v>
      </c>
      <c r="H36">
        <f>SUMIFS(WeeklyPicks!$M:$M,WeeklyPicks!$A:$A,"&lt;="&amp;$A36,WeeklyPicks!$C:$C,H$16)</f>
        <v>758</v>
      </c>
      <c r="I36">
        <f>SUMIFS(WeeklyPicks!$M:$M,WeeklyPicks!$A:$A,"&lt;="&amp;$A36,WeeklyPicks!$C:$C,I$16)</f>
        <v>418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611</v>
      </c>
      <c r="L36">
        <f>SUMIFS(WeeklyPicks!$M:$M,WeeklyPicks!$A:$A,"&lt;="&amp;$A36,WeeklyPicks!$C:$C,L$16)</f>
        <v>611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945</v>
      </c>
      <c r="D37">
        <f>SUMIFS(WeeklyPicks!$M:$M,WeeklyPicks!$A:$A,"&lt;="&amp;$A37,WeeklyPicks!$C:$C,D$16)</f>
        <v>974</v>
      </c>
      <c r="E37">
        <f>SUMIFS(WeeklyPicks!$M:$M,WeeklyPicks!$A:$A,"&lt;="&amp;$A37,WeeklyPicks!$C:$C,E$16)</f>
        <v>800</v>
      </c>
      <c r="F37">
        <f>SUMIFS(WeeklyPicks!$M:$M,WeeklyPicks!$A:$A,"&lt;="&amp;$A37,WeeklyPicks!$C:$C,F$16)</f>
        <v>973</v>
      </c>
      <c r="G37">
        <f>SUMIFS(WeeklyPicks!$M:$M,WeeklyPicks!$A:$A,"&lt;="&amp;$A37,WeeklyPicks!$C:$C,G$16)</f>
        <v>684</v>
      </c>
      <c r="H37">
        <f>SUMIFS(WeeklyPicks!$M:$M,WeeklyPicks!$A:$A,"&lt;="&amp;$A37,WeeklyPicks!$C:$C,H$16)</f>
        <v>758</v>
      </c>
      <c r="I37">
        <f>SUMIFS(WeeklyPicks!$M:$M,WeeklyPicks!$A:$A,"&lt;="&amp;$A37,WeeklyPicks!$C:$C,I$16)</f>
        <v>418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611</v>
      </c>
      <c r="L37">
        <f>SUMIFS(WeeklyPicks!$M:$M,WeeklyPicks!$A:$A,"&lt;="&amp;$A37,WeeklyPicks!$C:$C,L$16)</f>
        <v>611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945</v>
      </c>
      <c r="D38">
        <f>SUMIFS(WeeklyPicks!$M:$M,WeeklyPicks!$A:$A,"&lt;="&amp;$A38,WeeklyPicks!$C:$C,D$16)</f>
        <v>974</v>
      </c>
      <c r="E38">
        <f>SUMIFS(WeeklyPicks!$M:$M,WeeklyPicks!$A:$A,"&lt;="&amp;$A38,WeeklyPicks!$C:$C,E$16)</f>
        <v>800</v>
      </c>
      <c r="F38">
        <f>SUMIFS(WeeklyPicks!$M:$M,WeeklyPicks!$A:$A,"&lt;="&amp;$A38,WeeklyPicks!$C:$C,F$16)</f>
        <v>973</v>
      </c>
      <c r="G38">
        <f>SUMIFS(WeeklyPicks!$M:$M,WeeklyPicks!$A:$A,"&lt;="&amp;$A38,WeeklyPicks!$C:$C,G$16)</f>
        <v>684</v>
      </c>
      <c r="H38">
        <f>SUMIFS(WeeklyPicks!$M:$M,WeeklyPicks!$A:$A,"&lt;="&amp;$A38,WeeklyPicks!$C:$C,H$16)</f>
        <v>758</v>
      </c>
      <c r="I38">
        <f>SUMIFS(WeeklyPicks!$M:$M,WeeklyPicks!$A:$A,"&lt;="&amp;$A38,WeeklyPicks!$C:$C,I$16)</f>
        <v>418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611</v>
      </c>
      <c r="L38">
        <f>SUMIFS(WeeklyPicks!$M:$M,WeeklyPicks!$A:$A,"&lt;="&amp;$A38,WeeklyPicks!$C:$C,L$16)</f>
        <v>611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945</v>
      </c>
      <c r="D39">
        <f>SUMIFS(WeeklyPicks!$M:$M,WeeklyPicks!$A:$A,"&lt;="&amp;$A39,WeeklyPicks!$C:$C,D$16)</f>
        <v>974</v>
      </c>
      <c r="E39">
        <f>SUMIFS(WeeklyPicks!$M:$M,WeeklyPicks!$A:$A,"&lt;="&amp;$A39,WeeklyPicks!$C:$C,E$16)</f>
        <v>800</v>
      </c>
      <c r="F39">
        <f>SUMIFS(WeeklyPicks!$M:$M,WeeklyPicks!$A:$A,"&lt;="&amp;$A39,WeeklyPicks!$C:$C,F$16)</f>
        <v>973</v>
      </c>
      <c r="G39">
        <f>SUMIFS(WeeklyPicks!$M:$M,WeeklyPicks!$A:$A,"&lt;="&amp;$A39,WeeklyPicks!$C:$C,G$16)</f>
        <v>684</v>
      </c>
      <c r="H39">
        <f>SUMIFS(WeeklyPicks!$M:$M,WeeklyPicks!$A:$A,"&lt;="&amp;$A39,WeeklyPicks!$C:$C,H$16)</f>
        <v>758</v>
      </c>
      <c r="I39">
        <f>SUMIFS(WeeklyPicks!$M:$M,WeeklyPicks!$A:$A,"&lt;="&amp;$A39,WeeklyPicks!$C:$C,I$16)</f>
        <v>418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611</v>
      </c>
      <c r="L39">
        <f>SUMIFS(WeeklyPicks!$M:$M,WeeklyPicks!$A:$A,"&lt;="&amp;$A39,WeeklyPicks!$C:$C,L$16)</f>
        <v>611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945</v>
      </c>
      <c r="D40">
        <f>SUMIFS(WeeklyPicks!$M:$M,WeeklyPicks!$A:$A,"&lt;="&amp;$A40,WeeklyPicks!$C:$C,D$16)</f>
        <v>974</v>
      </c>
      <c r="E40">
        <f>SUMIFS(WeeklyPicks!$M:$M,WeeklyPicks!$A:$A,"&lt;="&amp;$A40,WeeklyPicks!$C:$C,E$16)</f>
        <v>800</v>
      </c>
      <c r="F40">
        <f>SUMIFS(WeeklyPicks!$M:$M,WeeklyPicks!$A:$A,"&lt;="&amp;$A40,WeeklyPicks!$C:$C,F$16)</f>
        <v>973</v>
      </c>
      <c r="G40">
        <f>SUMIFS(WeeklyPicks!$M:$M,WeeklyPicks!$A:$A,"&lt;="&amp;$A40,WeeklyPicks!$C:$C,G$16)</f>
        <v>684</v>
      </c>
      <c r="H40">
        <f>SUMIFS(WeeklyPicks!$M:$M,WeeklyPicks!$A:$A,"&lt;="&amp;$A40,WeeklyPicks!$C:$C,H$16)</f>
        <v>758</v>
      </c>
      <c r="I40">
        <f>SUMIFS(WeeklyPicks!$M:$M,WeeklyPicks!$A:$A,"&lt;="&amp;$A40,WeeklyPicks!$C:$C,I$16)</f>
        <v>418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611</v>
      </c>
      <c r="L40">
        <f>SUMIFS(WeeklyPicks!$M:$M,WeeklyPicks!$A:$A,"&lt;="&amp;$A40,WeeklyPicks!$C:$C,L$16)</f>
        <v>611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945</v>
      </c>
      <c r="D41">
        <f>SUMIFS(WeeklyPicks!$M:$M,WeeklyPicks!$A:$A,"&lt;="&amp;$A41,WeeklyPicks!$C:$C,D$16)</f>
        <v>974</v>
      </c>
      <c r="E41">
        <f>SUMIFS(WeeklyPicks!$M:$M,WeeklyPicks!$A:$A,"&lt;="&amp;$A41,WeeklyPicks!$C:$C,E$16)</f>
        <v>800</v>
      </c>
      <c r="F41">
        <f>SUMIFS(WeeklyPicks!$M:$M,WeeklyPicks!$A:$A,"&lt;="&amp;$A41,WeeklyPicks!$C:$C,F$16)</f>
        <v>973</v>
      </c>
      <c r="G41">
        <f>SUMIFS(WeeklyPicks!$M:$M,WeeklyPicks!$A:$A,"&lt;="&amp;$A41,WeeklyPicks!$C:$C,G$16)</f>
        <v>684</v>
      </c>
      <c r="H41">
        <f>SUMIFS(WeeklyPicks!$M:$M,WeeklyPicks!$A:$A,"&lt;="&amp;$A41,WeeklyPicks!$C:$C,H$16)</f>
        <v>758</v>
      </c>
      <c r="I41">
        <f>SUMIFS(WeeklyPicks!$M:$M,WeeklyPicks!$A:$A,"&lt;="&amp;$A41,WeeklyPicks!$C:$C,I$16)</f>
        <v>418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611</v>
      </c>
      <c r="L41">
        <f>SUMIFS(WeeklyPicks!$M:$M,WeeklyPicks!$A:$A,"&lt;="&amp;$A41,WeeklyPicks!$C:$C,L$16)</f>
        <v>611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945</v>
      </c>
      <c r="D42">
        <f>SUMIFS(WeeklyPicks!$M:$M,WeeklyPicks!$A:$A,"&lt;="&amp;$A42,WeeklyPicks!$C:$C,D$16)</f>
        <v>974</v>
      </c>
      <c r="E42">
        <f>SUMIFS(WeeklyPicks!$M:$M,WeeklyPicks!$A:$A,"&lt;="&amp;$A42,WeeklyPicks!$C:$C,E$16)</f>
        <v>800</v>
      </c>
      <c r="F42">
        <f>SUMIFS(WeeklyPicks!$M:$M,WeeklyPicks!$A:$A,"&lt;="&amp;$A42,WeeklyPicks!$C:$C,F$16)</f>
        <v>973</v>
      </c>
      <c r="G42">
        <f>SUMIFS(WeeklyPicks!$M:$M,WeeklyPicks!$A:$A,"&lt;="&amp;$A42,WeeklyPicks!$C:$C,G$16)</f>
        <v>684</v>
      </c>
      <c r="H42">
        <f>SUMIFS(WeeklyPicks!$M:$M,WeeklyPicks!$A:$A,"&lt;="&amp;$A42,WeeklyPicks!$C:$C,H$16)</f>
        <v>758</v>
      </c>
      <c r="I42">
        <f>SUMIFS(WeeklyPicks!$M:$M,WeeklyPicks!$A:$A,"&lt;="&amp;$A42,WeeklyPicks!$C:$C,I$16)</f>
        <v>418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611</v>
      </c>
      <c r="L42">
        <f>SUMIFS(WeeklyPicks!$M:$M,WeeklyPicks!$A:$A,"&lt;="&amp;$A42,WeeklyPicks!$C:$C,L$16)</f>
        <v>611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945</v>
      </c>
      <c r="D43">
        <f>SUMIFS(WeeklyPicks!$M:$M,WeeklyPicks!$A:$A,"&lt;="&amp;$A43,WeeklyPicks!$C:$C,D$16)</f>
        <v>974</v>
      </c>
      <c r="E43">
        <f>SUMIFS(WeeklyPicks!$M:$M,WeeklyPicks!$A:$A,"&lt;="&amp;$A43,WeeklyPicks!$C:$C,E$16)</f>
        <v>800</v>
      </c>
      <c r="F43">
        <f>SUMIFS(WeeklyPicks!$M:$M,WeeklyPicks!$A:$A,"&lt;="&amp;$A43,WeeklyPicks!$C:$C,F$16)</f>
        <v>973</v>
      </c>
      <c r="G43">
        <f>SUMIFS(WeeklyPicks!$M:$M,WeeklyPicks!$A:$A,"&lt;="&amp;$A43,WeeklyPicks!$C:$C,G$16)</f>
        <v>684</v>
      </c>
      <c r="H43">
        <f>SUMIFS(WeeklyPicks!$M:$M,WeeklyPicks!$A:$A,"&lt;="&amp;$A43,WeeklyPicks!$C:$C,H$16)</f>
        <v>758</v>
      </c>
      <c r="I43">
        <f>SUMIFS(WeeklyPicks!$M:$M,WeeklyPicks!$A:$A,"&lt;="&amp;$A43,WeeklyPicks!$C:$C,I$16)</f>
        <v>418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611</v>
      </c>
      <c r="L43">
        <f>SUMIFS(WeeklyPicks!$M:$M,WeeklyPicks!$A:$A,"&lt;="&amp;$A43,WeeklyPicks!$C:$C,L$16)</f>
        <v>611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945</v>
      </c>
      <c r="D44">
        <f>SUMIFS(WeeklyPicks!$M:$M,WeeklyPicks!$A:$A,"&lt;="&amp;$A44,WeeklyPicks!$C:$C,D$16)</f>
        <v>974</v>
      </c>
      <c r="E44">
        <f>SUMIFS(WeeklyPicks!$M:$M,WeeklyPicks!$A:$A,"&lt;="&amp;$A44,WeeklyPicks!$C:$C,E$16)</f>
        <v>800</v>
      </c>
      <c r="F44">
        <f>SUMIFS(WeeklyPicks!$M:$M,WeeklyPicks!$A:$A,"&lt;="&amp;$A44,WeeklyPicks!$C:$C,F$16)</f>
        <v>973</v>
      </c>
      <c r="G44">
        <f>SUMIFS(WeeklyPicks!$M:$M,WeeklyPicks!$A:$A,"&lt;="&amp;$A44,WeeklyPicks!$C:$C,G$16)</f>
        <v>684</v>
      </c>
      <c r="H44">
        <f>SUMIFS(WeeklyPicks!$M:$M,WeeklyPicks!$A:$A,"&lt;="&amp;$A44,WeeklyPicks!$C:$C,H$16)</f>
        <v>758</v>
      </c>
      <c r="I44">
        <f>SUMIFS(WeeklyPicks!$M:$M,WeeklyPicks!$A:$A,"&lt;="&amp;$A44,WeeklyPicks!$C:$C,I$16)</f>
        <v>418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611</v>
      </c>
      <c r="L44">
        <f>SUMIFS(WeeklyPicks!$M:$M,WeeklyPicks!$A:$A,"&lt;="&amp;$A44,WeeklyPicks!$C:$C,L$16)</f>
        <v>611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945</v>
      </c>
      <c r="D45">
        <f>SUMIFS(WeeklyPicks!$M:$M,WeeklyPicks!$A:$A,"&lt;="&amp;$A45,WeeklyPicks!$C:$C,D$16)</f>
        <v>974</v>
      </c>
      <c r="E45">
        <f>SUMIFS(WeeklyPicks!$M:$M,WeeklyPicks!$A:$A,"&lt;="&amp;$A45,WeeklyPicks!$C:$C,E$16)</f>
        <v>800</v>
      </c>
      <c r="F45">
        <f>SUMIFS(WeeklyPicks!$M:$M,WeeklyPicks!$A:$A,"&lt;="&amp;$A45,WeeklyPicks!$C:$C,F$16)</f>
        <v>973</v>
      </c>
      <c r="G45">
        <f>SUMIFS(WeeklyPicks!$M:$M,WeeklyPicks!$A:$A,"&lt;="&amp;$A45,WeeklyPicks!$C:$C,G$16)</f>
        <v>684</v>
      </c>
      <c r="H45">
        <f>SUMIFS(WeeklyPicks!$M:$M,WeeklyPicks!$A:$A,"&lt;="&amp;$A45,WeeklyPicks!$C:$C,H$16)</f>
        <v>758</v>
      </c>
      <c r="I45">
        <f>SUMIFS(WeeklyPicks!$M:$M,WeeklyPicks!$A:$A,"&lt;="&amp;$A45,WeeklyPicks!$C:$C,I$16)</f>
        <v>418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611</v>
      </c>
      <c r="L45">
        <f>SUMIFS(WeeklyPicks!$M:$M,WeeklyPicks!$A:$A,"&lt;="&amp;$A45,WeeklyPicks!$C:$C,L$16)</f>
        <v>611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945</v>
      </c>
      <c r="D46">
        <f>SUMIFS(WeeklyPicks!$M:$M,WeeklyPicks!$A:$A,"&lt;="&amp;$A46,WeeklyPicks!$C:$C,D$16)</f>
        <v>974</v>
      </c>
      <c r="E46">
        <f>SUMIFS(WeeklyPicks!$M:$M,WeeklyPicks!$A:$A,"&lt;="&amp;$A46,WeeklyPicks!$C:$C,E$16)</f>
        <v>800</v>
      </c>
      <c r="F46">
        <f>SUMIFS(WeeklyPicks!$M:$M,WeeklyPicks!$A:$A,"&lt;="&amp;$A46,WeeklyPicks!$C:$C,F$16)</f>
        <v>973</v>
      </c>
      <c r="G46">
        <f>SUMIFS(WeeklyPicks!$M:$M,WeeklyPicks!$A:$A,"&lt;="&amp;$A46,WeeklyPicks!$C:$C,G$16)</f>
        <v>684</v>
      </c>
      <c r="H46">
        <f>SUMIFS(WeeklyPicks!$M:$M,WeeklyPicks!$A:$A,"&lt;="&amp;$A46,WeeklyPicks!$C:$C,H$16)</f>
        <v>758</v>
      </c>
      <c r="I46">
        <f>SUMIFS(WeeklyPicks!$M:$M,WeeklyPicks!$A:$A,"&lt;="&amp;$A46,WeeklyPicks!$C:$C,I$16)</f>
        <v>418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611</v>
      </c>
      <c r="L46">
        <f>SUMIFS(WeeklyPicks!$M:$M,WeeklyPicks!$A:$A,"&lt;="&amp;$A46,WeeklyPicks!$C:$C,L$16)</f>
        <v>611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945</v>
      </c>
      <c r="D47">
        <f>SUMIFS(WeeklyPicks!$M:$M,WeeklyPicks!$A:$A,"&lt;="&amp;$A47,WeeklyPicks!$C:$C,D$16)</f>
        <v>974</v>
      </c>
      <c r="E47">
        <f>SUMIFS(WeeklyPicks!$M:$M,WeeklyPicks!$A:$A,"&lt;="&amp;$A47,WeeklyPicks!$C:$C,E$16)</f>
        <v>800</v>
      </c>
      <c r="F47">
        <f>SUMIFS(WeeklyPicks!$M:$M,WeeklyPicks!$A:$A,"&lt;="&amp;$A47,WeeklyPicks!$C:$C,F$16)</f>
        <v>973</v>
      </c>
      <c r="G47">
        <f>SUMIFS(WeeklyPicks!$M:$M,WeeklyPicks!$A:$A,"&lt;="&amp;$A47,WeeklyPicks!$C:$C,G$16)</f>
        <v>684</v>
      </c>
      <c r="H47">
        <f>SUMIFS(WeeklyPicks!$M:$M,WeeklyPicks!$A:$A,"&lt;="&amp;$A47,WeeklyPicks!$C:$C,H$16)</f>
        <v>758</v>
      </c>
      <c r="I47">
        <f>SUMIFS(WeeklyPicks!$M:$M,WeeklyPicks!$A:$A,"&lt;="&amp;$A47,WeeklyPicks!$C:$C,I$16)</f>
        <v>418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611</v>
      </c>
      <c r="L47">
        <f>SUMIFS(WeeklyPicks!$M:$M,WeeklyPicks!$A:$A,"&lt;="&amp;$A47,WeeklyPicks!$C:$C,L$16)</f>
        <v>611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945</v>
      </c>
      <c r="D48">
        <f>SUMIFS(WeeklyPicks!$M:$M,WeeklyPicks!$A:$A,"&lt;="&amp;$A48,WeeklyPicks!$C:$C,D$16)</f>
        <v>974</v>
      </c>
      <c r="E48">
        <f>SUMIFS(WeeklyPicks!$M:$M,WeeklyPicks!$A:$A,"&lt;="&amp;$A48,WeeklyPicks!$C:$C,E$16)</f>
        <v>800</v>
      </c>
      <c r="F48">
        <f>SUMIFS(WeeklyPicks!$M:$M,WeeklyPicks!$A:$A,"&lt;="&amp;$A48,WeeklyPicks!$C:$C,F$16)</f>
        <v>973</v>
      </c>
      <c r="G48">
        <f>SUMIFS(WeeklyPicks!$M:$M,WeeklyPicks!$A:$A,"&lt;="&amp;$A48,WeeklyPicks!$C:$C,G$16)</f>
        <v>684</v>
      </c>
      <c r="H48">
        <f>SUMIFS(WeeklyPicks!$M:$M,WeeklyPicks!$A:$A,"&lt;="&amp;$A48,WeeklyPicks!$C:$C,H$16)</f>
        <v>758</v>
      </c>
      <c r="I48">
        <f>SUMIFS(WeeklyPicks!$M:$M,WeeklyPicks!$A:$A,"&lt;="&amp;$A48,WeeklyPicks!$C:$C,I$16)</f>
        <v>418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611</v>
      </c>
      <c r="L48">
        <f>SUMIFS(WeeklyPicks!$M:$M,WeeklyPicks!$A:$A,"&lt;="&amp;$A48,WeeklyPicks!$C:$C,L$16)</f>
        <v>611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945</v>
      </c>
      <c r="D49">
        <f>SUMIFS(WeeklyPicks!$M:$M,WeeklyPicks!$A:$A,"&lt;="&amp;$A49,WeeklyPicks!$C:$C,D$16)</f>
        <v>974</v>
      </c>
      <c r="E49">
        <f>SUMIFS(WeeklyPicks!$M:$M,WeeklyPicks!$A:$A,"&lt;="&amp;$A49,WeeklyPicks!$C:$C,E$16)</f>
        <v>800</v>
      </c>
      <c r="F49">
        <f>SUMIFS(WeeklyPicks!$M:$M,WeeklyPicks!$A:$A,"&lt;="&amp;$A49,WeeklyPicks!$C:$C,F$16)</f>
        <v>973</v>
      </c>
      <c r="G49">
        <f>SUMIFS(WeeklyPicks!$M:$M,WeeklyPicks!$A:$A,"&lt;="&amp;$A49,WeeklyPicks!$C:$C,G$16)</f>
        <v>684</v>
      </c>
      <c r="H49">
        <f>SUMIFS(WeeklyPicks!$M:$M,WeeklyPicks!$A:$A,"&lt;="&amp;$A49,WeeklyPicks!$C:$C,H$16)</f>
        <v>758</v>
      </c>
      <c r="I49">
        <f>SUMIFS(WeeklyPicks!$M:$M,WeeklyPicks!$A:$A,"&lt;="&amp;$A49,WeeklyPicks!$C:$C,I$16)</f>
        <v>418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611</v>
      </c>
      <c r="L49">
        <f>SUMIFS(WeeklyPicks!$M:$M,WeeklyPicks!$A:$A,"&lt;="&amp;$A49,WeeklyPicks!$C:$C,L$16)</f>
        <v>611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945</v>
      </c>
      <c r="D50">
        <f>SUMIFS(WeeklyPicks!$M:$M,WeeklyPicks!$A:$A,"&lt;="&amp;$A50,WeeklyPicks!$C:$C,D$16)</f>
        <v>974</v>
      </c>
      <c r="E50">
        <f>SUMIFS(WeeklyPicks!$M:$M,WeeklyPicks!$A:$A,"&lt;="&amp;$A50,WeeklyPicks!$C:$C,E$16)</f>
        <v>800</v>
      </c>
      <c r="F50">
        <f>SUMIFS(WeeklyPicks!$M:$M,WeeklyPicks!$A:$A,"&lt;="&amp;$A50,WeeklyPicks!$C:$C,F$16)</f>
        <v>973</v>
      </c>
      <c r="G50">
        <f>SUMIFS(WeeklyPicks!$M:$M,WeeklyPicks!$A:$A,"&lt;="&amp;$A50,WeeklyPicks!$C:$C,G$16)</f>
        <v>684</v>
      </c>
      <c r="H50">
        <f>SUMIFS(WeeklyPicks!$M:$M,WeeklyPicks!$A:$A,"&lt;="&amp;$A50,WeeklyPicks!$C:$C,H$16)</f>
        <v>758</v>
      </c>
      <c r="I50">
        <f>SUMIFS(WeeklyPicks!$M:$M,WeeklyPicks!$A:$A,"&lt;="&amp;$A50,WeeklyPicks!$C:$C,I$16)</f>
        <v>418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611</v>
      </c>
      <c r="L50">
        <f>SUMIFS(WeeklyPicks!$M:$M,WeeklyPicks!$A:$A,"&lt;="&amp;$A50,WeeklyPicks!$C:$C,L$16)</f>
        <v>611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945</v>
      </c>
      <c r="D51">
        <f>SUMIFS(WeeklyPicks!$M:$M,WeeklyPicks!$A:$A,"&lt;="&amp;$A51,WeeklyPicks!$C:$C,D$16)</f>
        <v>974</v>
      </c>
      <c r="E51">
        <f>SUMIFS(WeeklyPicks!$M:$M,WeeklyPicks!$A:$A,"&lt;="&amp;$A51,WeeklyPicks!$C:$C,E$16)</f>
        <v>800</v>
      </c>
      <c r="F51">
        <f>SUMIFS(WeeklyPicks!$M:$M,WeeklyPicks!$A:$A,"&lt;="&amp;$A51,WeeklyPicks!$C:$C,F$16)</f>
        <v>973</v>
      </c>
      <c r="G51">
        <f>SUMIFS(WeeklyPicks!$M:$M,WeeklyPicks!$A:$A,"&lt;="&amp;$A51,WeeklyPicks!$C:$C,G$16)</f>
        <v>684</v>
      </c>
      <c r="H51">
        <f>SUMIFS(WeeklyPicks!$M:$M,WeeklyPicks!$A:$A,"&lt;="&amp;$A51,WeeklyPicks!$C:$C,H$16)</f>
        <v>758</v>
      </c>
      <c r="I51">
        <f>SUMIFS(WeeklyPicks!$M:$M,WeeklyPicks!$A:$A,"&lt;="&amp;$A51,WeeklyPicks!$C:$C,I$16)</f>
        <v>418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611</v>
      </c>
      <c r="L51">
        <f>SUMIFS(WeeklyPicks!$M:$M,WeeklyPicks!$A:$A,"&lt;="&amp;$A51,WeeklyPicks!$C:$C,L$16)</f>
        <v>611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945</v>
      </c>
      <c r="D52">
        <f>SUMIFS(WeeklyPicks!$M:$M,WeeklyPicks!$A:$A,"&lt;="&amp;$A52,WeeklyPicks!$C:$C,D$16)</f>
        <v>974</v>
      </c>
      <c r="E52">
        <f>SUMIFS(WeeklyPicks!$M:$M,WeeklyPicks!$A:$A,"&lt;="&amp;$A52,WeeklyPicks!$C:$C,E$16)</f>
        <v>800</v>
      </c>
      <c r="F52">
        <f>SUMIFS(WeeklyPicks!$M:$M,WeeklyPicks!$A:$A,"&lt;="&amp;$A52,WeeklyPicks!$C:$C,F$16)</f>
        <v>973</v>
      </c>
      <c r="G52">
        <f>SUMIFS(WeeklyPicks!$M:$M,WeeklyPicks!$A:$A,"&lt;="&amp;$A52,WeeklyPicks!$C:$C,G$16)</f>
        <v>684</v>
      </c>
      <c r="H52">
        <f>SUMIFS(WeeklyPicks!$M:$M,WeeklyPicks!$A:$A,"&lt;="&amp;$A52,WeeklyPicks!$C:$C,H$16)</f>
        <v>758</v>
      </c>
      <c r="I52">
        <f>SUMIFS(WeeklyPicks!$M:$M,WeeklyPicks!$A:$A,"&lt;="&amp;$A52,WeeklyPicks!$C:$C,I$16)</f>
        <v>418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611</v>
      </c>
      <c r="L52">
        <f>SUMIFS(WeeklyPicks!$M:$M,WeeklyPicks!$A:$A,"&lt;="&amp;$A52,WeeklyPicks!$C:$C,L$16)</f>
        <v>611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3</v>
      </c>
      <c r="B5" s="16" t="str">
        <f>Dashboard!B4</f>
        <v>Pat</v>
      </c>
      <c r="C5" s="16">
        <f>Dashboard!C4</f>
        <v>945</v>
      </c>
      <c r="D5" s="16">
        <f>Dashboard!D4</f>
        <v>3</v>
      </c>
      <c r="E5" s="16">
        <f>Dashboard!G4</f>
        <v>82</v>
      </c>
    </row>
    <row r="6" spans="1:6" ht="18" customHeight="1" x14ac:dyDescent="0.3">
      <c r="A6" s="16">
        <f>Dashboard!A5</f>
        <v>1</v>
      </c>
      <c r="B6" s="16" t="str">
        <f>Dashboard!B5</f>
        <v>Meg</v>
      </c>
      <c r="C6" s="16">
        <f>Dashboard!C5</f>
        <v>974</v>
      </c>
      <c r="D6" s="16">
        <f>Dashboard!D5</f>
        <v>4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800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973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6</v>
      </c>
      <c r="B9" s="16" t="str">
        <f>Dashboard!B8</f>
        <v>Joe</v>
      </c>
      <c r="C9" s="16">
        <f>Dashboard!C8</f>
        <v>684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5</v>
      </c>
      <c r="B10" s="16" t="str">
        <f>Dashboard!B9</f>
        <v>Evelyn</v>
      </c>
      <c r="C10" s="16">
        <f>Dashboard!C9</f>
        <v>758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418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7</v>
      </c>
      <c r="B13" s="16" t="str">
        <f>Dashboard!B12</f>
        <v>Jay</v>
      </c>
      <c r="C13" s="16">
        <f>Dashboard!C12</f>
        <v>611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611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2026-05-31T19:49:28Z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