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506" documentId="8_{64ED620B-E9CD-47B3-A172-B982AAA909D5}" xr6:coauthVersionLast="47" xr6:coauthVersionMax="47" xr10:uidLastSave="{007394F8-A737-4160-ABB2-0FFF9D0F6952}"/>
  <bookViews>
    <workbookView xWindow="19090" yWindow="-110" windowWidth="19420" windowHeight="10300" firstSheet="3" activeTab="6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C49" i="10" s="1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2" i="10" l="1"/>
  <c r="C3" i="10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<sst xmlns="http://schemas.openxmlformats.org/spreadsheetml/2006/main" count="8285" uniqueCount="159">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</sst>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515</c:v>
                </c:pt>
                <c:pt idx="1">
                  <c:v>544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880</c:v>
                </c:pt>
                <c:pt idx="18">
                  <c:v>880</c:v>
                </c:pt>
                <c:pt idx="19">
                  <c:v>880</c:v>
                </c:pt>
                <c:pt idx="20">
                  <c:v>880</c:v>
                </c:pt>
                <c:pt idx="21">
                  <c:v>880</c:v>
                </c:pt>
                <c:pt idx="22">
                  <c:v>880</c:v>
                </c:pt>
                <c:pt idx="23">
                  <c:v>880</c:v>
                </c:pt>
                <c:pt idx="24">
                  <c:v>880</c:v>
                </c:pt>
                <c:pt idx="25">
                  <c:v>880</c:v>
                </c:pt>
                <c:pt idx="26">
                  <c:v>880</c:v>
                </c:pt>
                <c:pt idx="27">
                  <c:v>880</c:v>
                </c:pt>
                <c:pt idx="28">
                  <c:v>880</c:v>
                </c:pt>
                <c:pt idx="29">
                  <c:v>880</c:v>
                </c:pt>
                <c:pt idx="30">
                  <c:v>880</c:v>
                </c:pt>
                <c:pt idx="31">
                  <c:v>880</c:v>
                </c:pt>
                <c:pt idx="32">
                  <c:v>880</c:v>
                </c:pt>
                <c:pt idx="33">
                  <c:v>880</c:v>
                </c:pt>
                <c:pt idx="34">
                  <c:v>880</c:v>
                </c:pt>
                <c:pt idx="35">
                  <c:v>880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875</c:v>
                </c:pt>
                <c:pt idx="18">
                  <c:v>875</c:v>
                </c:pt>
                <c:pt idx="19">
                  <c:v>875</c:v>
                </c:pt>
                <c:pt idx="20">
                  <c:v>875</c:v>
                </c:pt>
                <c:pt idx="21">
                  <c:v>875</c:v>
                </c:pt>
                <c:pt idx="22">
                  <c:v>875</c:v>
                </c:pt>
                <c:pt idx="23">
                  <c:v>875</c:v>
                </c:pt>
                <c:pt idx="24">
                  <c:v>875</c:v>
                </c:pt>
                <c:pt idx="25">
                  <c:v>875</c:v>
                </c:pt>
                <c:pt idx="26">
                  <c:v>875</c:v>
                </c:pt>
                <c:pt idx="27">
                  <c:v>875</c:v>
                </c:pt>
                <c:pt idx="28">
                  <c:v>875</c:v>
                </c:pt>
                <c:pt idx="29">
                  <c:v>875</c:v>
                </c:pt>
                <c:pt idx="30">
                  <c:v>875</c:v>
                </c:pt>
                <c:pt idx="31">
                  <c:v>875</c:v>
                </c:pt>
                <c:pt idx="32">
                  <c:v>875</c:v>
                </c:pt>
                <c:pt idx="33">
                  <c:v>875</c:v>
                </c:pt>
                <c:pt idx="34">
                  <c:v>875</c:v>
                </c:pt>
                <c:pt idx="35">
                  <c:v>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14.305555555555555</c:v>
                </c:pt>
                <c:pt idx="1">
                  <c:v>15.111111111111111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736</c:v>
                </c:pt>
                <c:pt idx="18">
                  <c:v>736</c:v>
                </c:pt>
                <c:pt idx="19">
                  <c:v>736</c:v>
                </c:pt>
                <c:pt idx="20">
                  <c:v>736</c:v>
                </c:pt>
                <c:pt idx="21">
                  <c:v>736</c:v>
                </c:pt>
                <c:pt idx="22">
                  <c:v>736</c:v>
                </c:pt>
                <c:pt idx="23">
                  <c:v>736</c:v>
                </c:pt>
                <c:pt idx="24">
                  <c:v>736</c:v>
                </c:pt>
                <c:pt idx="25">
                  <c:v>736</c:v>
                </c:pt>
                <c:pt idx="26">
                  <c:v>736</c:v>
                </c:pt>
                <c:pt idx="27">
                  <c:v>736</c:v>
                </c:pt>
                <c:pt idx="28">
                  <c:v>736</c:v>
                </c:pt>
                <c:pt idx="29">
                  <c:v>736</c:v>
                </c:pt>
                <c:pt idx="30">
                  <c:v>736</c:v>
                </c:pt>
                <c:pt idx="31">
                  <c:v>736</c:v>
                </c:pt>
                <c:pt idx="32">
                  <c:v>736</c:v>
                </c:pt>
                <c:pt idx="33">
                  <c:v>736</c:v>
                </c:pt>
                <c:pt idx="34">
                  <c:v>736</c:v>
                </c:pt>
                <c:pt idx="35">
                  <c:v>736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876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876</c:v>
                </c:pt>
                <c:pt idx="23">
                  <c:v>876</c:v>
                </c:pt>
                <c:pt idx="24">
                  <c:v>876</c:v>
                </c:pt>
                <c:pt idx="25">
                  <c:v>876</c:v>
                </c:pt>
                <c:pt idx="26">
                  <c:v>876</c:v>
                </c:pt>
                <c:pt idx="27">
                  <c:v>876</c:v>
                </c:pt>
                <c:pt idx="28">
                  <c:v>876</c:v>
                </c:pt>
                <c:pt idx="29">
                  <c:v>876</c:v>
                </c:pt>
                <c:pt idx="30">
                  <c:v>876</c:v>
                </c:pt>
                <c:pt idx="31">
                  <c:v>876</c:v>
                </c:pt>
                <c:pt idx="32">
                  <c:v>876</c:v>
                </c:pt>
                <c:pt idx="33">
                  <c:v>876</c:v>
                </c:pt>
                <c:pt idx="34">
                  <c:v>876</c:v>
                </c:pt>
                <c:pt idx="35">
                  <c:v>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zoomScaleNormal="100" workbookViewId="0">
      <pane ySplit="1" topLeftCell="A107" activePane="bottomLeft" state="frozen"/>
      <selection pane="bottomLeft" activeCell="F119" sqref="F119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tabSelected="1" zoomScaleNormal="100" workbookViewId="0">
      <pane ySplit="1" topLeftCell="A436" activePane="bottomLeft" state="frozen"/>
      <selection pane="bottomLeft" activeCell="D481" sqref="D48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3</v>
      </c>
      <c r="C2">
        <f>SUMIF(Calc!$E$2:$E$1081,A2,Calc!$G$2:$G$1081)</f>
        <v>29</v>
      </c>
      <c r="D2">
        <f>IF(B2=0,"",AVERAGEIF(Calc!$E$2:$E$1081,A2,Calc!$F$2:$F$1081))</f>
        <v>27.333333333333332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3</v>
      </c>
      <c r="C3">
        <f>SUMIF(Calc!$E$2:$E$1081,A3,Calc!$G$2:$G$1081)</f>
        <v>59</v>
      </c>
      <c r="D3">
        <f>IF(B3=0,"",AVERAGEIF(Calc!$E$2:$E$1081,A3,Calc!$F$2:$F$1081))</f>
        <v>17.333333333333332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35</v>
      </c>
      <c r="C6">
        <f>SUMIF(Calc!$E$2:$E$1081,A6,Calc!$G$2:$G$1081)</f>
        <v>723</v>
      </c>
      <c r="D6">
        <f>IF(B6=0,"",AVERAGEIF(Calc!$E$2:$E$1081,A6,Calc!$F$2:$F$1081))</f>
        <v>17.028571428571428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11</v>
      </c>
      <c r="C10">
        <f>SUMIF(Calc!$E$2:$E$1081,A10,Calc!$G$2:$G$1081)</f>
        <v>395</v>
      </c>
      <c r="D10">
        <f>IF(B10=0,"",AVERAGEIF(Calc!$E$2:$E$1081,A10,Calc!$F$2:$F$1081))</f>
        <v>8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1216</v>
      </c>
      <c r="D12">
        <f>IF(B12=0,"",AVERAGEIF(Calc!$E$2:$E$1081,A12,Calc!$F$2:$F$1081))</f>
        <v>5.333333333333333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31</v>
      </c>
      <c r="C13">
        <f>SUMIF(Calc!$E$2:$E$1081,A13,Calc!$G$2:$G$1081)</f>
        <v>815</v>
      </c>
      <c r="D13">
        <f>IF(B13=0,"",AVERAGEIF(Calc!$E$2:$E$1081,A13,Calc!$F$2:$F$1081))</f>
        <v>12.67741935483871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31</v>
      </c>
      <c r="D20">
        <f>IF(B20=0,"",AVERAGEIF(Calc!$E$2:$E$1081,A20,Calc!$F$2:$F$1081))</f>
        <v>31.4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16</v>
      </c>
      <c r="C21">
        <f>SUMIF(Calc!$E$2:$E$1081,A21,Calc!$G$2:$G$1081)</f>
        <v>316</v>
      </c>
      <c r="D21">
        <f>IF(B21=0,"",AVERAGEIF(Calc!$E$2:$E$1081,A21,Calc!$F$2:$F$1081))</f>
        <v>17.5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15</v>
      </c>
      <c r="C25">
        <f>SUMIF(Calc!$E$2:$E$1081,A25,Calc!$G$2:$G$1081)</f>
        <v>316</v>
      </c>
      <c r="D25">
        <f>IF(B25=0,"",AVERAGEIF(Calc!$E$2:$E$1081,A25,Calc!$F$2:$F$1081))</f>
        <v>15.933333333333334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25</v>
      </c>
      <c r="C46">
        <f>SUMIF(Calc!$E$2:$E$1081,A46,Calc!$G$2:$G$1081)</f>
        <v>914</v>
      </c>
      <c r="D46">
        <f>IF(B46=0,"",AVERAGEIF(Calc!$E$2:$E$1081,A46,Calc!$F$2:$F$1081))</f>
        <v>6.52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34</v>
      </c>
      <c r="D49">
        <f>IF(B49=0,"",AVERAGEIF(Calc!$E$2:$E$1081,A49,Calc!$F$2:$F$1081))</f>
        <v>3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340</v>
      </c>
      <c r="D55">
        <f>IF(B55=0,"",AVERAGEIF(Calc!$E$2:$E$1081,A55,Calc!$F$2:$F$1081))</f>
        <v>11.272727272727273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880</v>
      </c>
      <c r="D4">
        <f>COUNTIF(RaceSummary!$C:$C,B4)</f>
        <v>3</v>
      </c>
      <c r="E4">
        <f>IF(COUNTIF(WeeklyPicks!$C:$C,B4)=0,"",AVERAGEIF(WeeklyPicks!$C:$C,B4,WeeklyPicks!$M:$M))</f>
        <v>24.444444444444443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875</v>
      </c>
      <c r="D5">
        <f>COUNTIF(RaceSummary!$C:$C,B5)</f>
        <v>3</v>
      </c>
      <c r="E5">
        <f>IF(COUNTIF(WeeklyPicks!$C:$C,B5)=0,"",AVERAGEIF(WeeklyPicks!$C:$C,B5,WeeklyPicks!$M:$M))</f>
        <v>24.305555555555557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736</v>
      </c>
      <c r="D6">
        <f>COUNTIF(RaceSummary!$C:$C,B6)</f>
        <v>1</v>
      </c>
      <c r="E6">
        <f>IF(COUNTIF(WeeklyPicks!$C:$C,B6)=0,"",AVERAGEIF(WeeklyPicks!$C:$C,B6,WeeklyPicks!$M:$M))</f>
        <v>20.444444444444443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876</v>
      </c>
      <c r="D7">
        <f>COUNTIF(RaceSummary!$C:$C,B7)</f>
        <v>1</v>
      </c>
      <c r="E7">
        <f>IF(COUNTIF(WeeklyPicks!$C:$C,B7)=0,"",AVERAGEIF(WeeklyPicks!$C:$C,B7,WeeklyPicks!$M:$M))</f>
        <v>24.333333333333332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620</v>
      </c>
      <c r="D8">
        <f>COUNTIF(RaceSummary!$C:$C,B8)</f>
        <v>1</v>
      </c>
      <c r="E8">
        <f>IF(COUNTIF(WeeklyPicks!$C:$C,B8)=0,"",AVERAGEIF(WeeklyPicks!$C:$C,B8,WeeklyPicks!$M:$M))</f>
        <v>17.222222222222221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677</v>
      </c>
      <c r="D9">
        <f>COUNTIF(RaceSummary!$C:$C,B9)</f>
        <v>0</v>
      </c>
      <c r="E9">
        <f>IF(COUNTIF(WeeklyPicks!$C:$C,B9)=0,"",AVERAGEIF(WeeklyPicks!$C:$C,B9,WeeklyPicks!$M:$M))</f>
        <v>18.805555555555557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365</v>
      </c>
      <c r="D10" s="21">
        <f>COUNTIF(RaceSummary!$C:$C,B10)</f>
        <v>0</v>
      </c>
      <c r="E10" s="21">
        <f>IF(COUNTIF(WeeklyPicks!$C:$C,B10)=0,"",AVERAGEIF(WeeklyPicks!$C:$C,B10,WeeklyPicks!$M:$M))</f>
        <v>10.138888888888889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515</v>
      </c>
      <c r="D12">
        <f>COUNTIF(RaceSummary!$C:$C,B12)</f>
        <v>0</v>
      </c>
      <c r="E12">
        <f>IF(COUNTIF(WeeklyPicks!$C:$C,B12)=0,"",AVERAGEIF(WeeklyPicks!$C:$C,B12,WeeklyPicks!$M:$M))</f>
        <v>14.305555555555555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544</v>
      </c>
      <c r="D13">
        <f>COUNTIF(RaceSummary!$C:$C,B13)</f>
        <v>1</v>
      </c>
      <c r="E13">
        <f>IF(COUNTIF(WeeklyPicks!$C:$C,B13)=0,"",AVERAGEIF(WeeklyPicks!$C:$C,B13,WeeklyPicks!$M:$M))</f>
        <v>15.111111111111111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880</v>
      </c>
      <c r="D29">
        <f>SUMIFS(WeeklyPicks!$M:$M,WeeklyPicks!$A:$A,"&lt;="&amp;$A29,WeeklyPicks!$C:$C,D$16)</f>
        <v>875</v>
      </c>
      <c r="E29">
        <f>SUMIFS(WeeklyPicks!$M:$M,WeeklyPicks!$A:$A,"&lt;="&amp;$A29,WeeklyPicks!$C:$C,E$16)</f>
        <v>736</v>
      </c>
      <c r="F29">
        <f>SUMIFS(WeeklyPicks!$M:$M,WeeklyPicks!$A:$A,"&lt;="&amp;$A29,WeeklyPicks!$C:$C,F$16)</f>
        <v>876</v>
      </c>
      <c r="G29">
        <f>SUMIFS(WeeklyPicks!$M:$M,WeeklyPicks!$A:$A,"&lt;="&amp;$A29,WeeklyPicks!$C:$C,G$16)</f>
        <v>620</v>
      </c>
      <c r="H29">
        <f>SUMIFS(WeeklyPicks!$M:$M,WeeklyPicks!$A:$A,"&lt;="&amp;$A29,WeeklyPicks!$C:$C,H$16)</f>
        <v>677</v>
      </c>
      <c r="I29">
        <f>SUMIFS(WeeklyPicks!$M:$M,WeeklyPicks!$A:$A,"&lt;="&amp;$A29,WeeklyPicks!$C:$C,I$16)</f>
        <v>365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515</v>
      </c>
      <c r="L29">
        <f>SUMIFS(WeeklyPicks!$M:$M,WeeklyPicks!$A:$A,"&lt;="&amp;$A29,WeeklyPicks!$C:$C,L$16)</f>
        <v>544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880</v>
      </c>
      <c r="D30">
        <f>SUMIFS(WeeklyPicks!$M:$M,WeeklyPicks!$A:$A,"&lt;="&amp;$A30,WeeklyPicks!$C:$C,D$16)</f>
        <v>875</v>
      </c>
      <c r="E30">
        <f>SUMIFS(WeeklyPicks!$M:$M,WeeklyPicks!$A:$A,"&lt;="&amp;$A30,WeeklyPicks!$C:$C,E$16)</f>
        <v>736</v>
      </c>
      <c r="F30">
        <f>SUMIFS(WeeklyPicks!$M:$M,WeeklyPicks!$A:$A,"&lt;="&amp;$A30,WeeklyPicks!$C:$C,F$16)</f>
        <v>876</v>
      </c>
      <c r="G30">
        <f>SUMIFS(WeeklyPicks!$M:$M,WeeklyPicks!$A:$A,"&lt;="&amp;$A30,WeeklyPicks!$C:$C,G$16)</f>
        <v>620</v>
      </c>
      <c r="H30">
        <f>SUMIFS(WeeklyPicks!$M:$M,WeeklyPicks!$A:$A,"&lt;="&amp;$A30,WeeklyPicks!$C:$C,H$16)</f>
        <v>677</v>
      </c>
      <c r="I30">
        <f>SUMIFS(WeeklyPicks!$M:$M,WeeklyPicks!$A:$A,"&lt;="&amp;$A30,WeeklyPicks!$C:$C,I$16)</f>
        <v>365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515</v>
      </c>
      <c r="L30">
        <f>SUMIFS(WeeklyPicks!$M:$M,WeeklyPicks!$A:$A,"&lt;="&amp;$A30,WeeklyPicks!$C:$C,L$16)</f>
        <v>544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880</v>
      </c>
      <c r="D31">
        <f>SUMIFS(WeeklyPicks!$M:$M,WeeklyPicks!$A:$A,"&lt;="&amp;$A31,WeeklyPicks!$C:$C,D$16)</f>
        <v>875</v>
      </c>
      <c r="E31">
        <f>SUMIFS(WeeklyPicks!$M:$M,WeeklyPicks!$A:$A,"&lt;="&amp;$A31,WeeklyPicks!$C:$C,E$16)</f>
        <v>736</v>
      </c>
      <c r="F31">
        <f>SUMIFS(WeeklyPicks!$M:$M,WeeklyPicks!$A:$A,"&lt;="&amp;$A31,WeeklyPicks!$C:$C,F$16)</f>
        <v>876</v>
      </c>
      <c r="G31">
        <f>SUMIFS(WeeklyPicks!$M:$M,WeeklyPicks!$A:$A,"&lt;="&amp;$A31,WeeklyPicks!$C:$C,G$16)</f>
        <v>620</v>
      </c>
      <c r="H31">
        <f>SUMIFS(WeeklyPicks!$M:$M,WeeklyPicks!$A:$A,"&lt;="&amp;$A31,WeeklyPicks!$C:$C,H$16)</f>
        <v>677</v>
      </c>
      <c r="I31">
        <f>SUMIFS(WeeklyPicks!$M:$M,WeeklyPicks!$A:$A,"&lt;="&amp;$A31,WeeklyPicks!$C:$C,I$16)</f>
        <v>365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515</v>
      </c>
      <c r="L31">
        <f>SUMIFS(WeeklyPicks!$M:$M,WeeklyPicks!$A:$A,"&lt;="&amp;$A31,WeeklyPicks!$C:$C,L$16)</f>
        <v>544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880</v>
      </c>
      <c r="D32">
        <f>SUMIFS(WeeklyPicks!$M:$M,WeeklyPicks!$A:$A,"&lt;="&amp;$A32,WeeklyPicks!$C:$C,D$16)</f>
        <v>875</v>
      </c>
      <c r="E32">
        <f>SUMIFS(WeeklyPicks!$M:$M,WeeklyPicks!$A:$A,"&lt;="&amp;$A32,WeeklyPicks!$C:$C,E$16)</f>
        <v>736</v>
      </c>
      <c r="F32">
        <f>SUMIFS(WeeklyPicks!$M:$M,WeeklyPicks!$A:$A,"&lt;="&amp;$A32,WeeklyPicks!$C:$C,F$16)</f>
        <v>876</v>
      </c>
      <c r="G32">
        <f>SUMIFS(WeeklyPicks!$M:$M,WeeklyPicks!$A:$A,"&lt;="&amp;$A32,WeeklyPicks!$C:$C,G$16)</f>
        <v>620</v>
      </c>
      <c r="H32">
        <f>SUMIFS(WeeklyPicks!$M:$M,WeeklyPicks!$A:$A,"&lt;="&amp;$A32,WeeklyPicks!$C:$C,H$16)</f>
        <v>677</v>
      </c>
      <c r="I32">
        <f>SUMIFS(WeeklyPicks!$M:$M,WeeklyPicks!$A:$A,"&lt;="&amp;$A32,WeeklyPicks!$C:$C,I$16)</f>
        <v>365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515</v>
      </c>
      <c r="L32">
        <f>SUMIFS(WeeklyPicks!$M:$M,WeeklyPicks!$A:$A,"&lt;="&amp;$A32,WeeklyPicks!$C:$C,L$16)</f>
        <v>544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880</v>
      </c>
      <c r="D33">
        <f>SUMIFS(WeeklyPicks!$M:$M,WeeklyPicks!$A:$A,"&lt;="&amp;$A33,WeeklyPicks!$C:$C,D$16)</f>
        <v>875</v>
      </c>
      <c r="E33">
        <f>SUMIFS(WeeklyPicks!$M:$M,WeeklyPicks!$A:$A,"&lt;="&amp;$A33,WeeklyPicks!$C:$C,E$16)</f>
        <v>736</v>
      </c>
      <c r="F33">
        <f>SUMIFS(WeeklyPicks!$M:$M,WeeklyPicks!$A:$A,"&lt;="&amp;$A33,WeeklyPicks!$C:$C,F$16)</f>
        <v>876</v>
      </c>
      <c r="G33">
        <f>SUMIFS(WeeklyPicks!$M:$M,WeeklyPicks!$A:$A,"&lt;="&amp;$A33,WeeklyPicks!$C:$C,G$16)</f>
        <v>620</v>
      </c>
      <c r="H33">
        <f>SUMIFS(WeeklyPicks!$M:$M,WeeklyPicks!$A:$A,"&lt;="&amp;$A33,WeeklyPicks!$C:$C,H$16)</f>
        <v>677</v>
      </c>
      <c r="I33">
        <f>SUMIFS(WeeklyPicks!$M:$M,WeeklyPicks!$A:$A,"&lt;="&amp;$A33,WeeklyPicks!$C:$C,I$16)</f>
        <v>365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515</v>
      </c>
      <c r="L33">
        <f>SUMIFS(WeeklyPicks!$M:$M,WeeklyPicks!$A:$A,"&lt;="&amp;$A33,WeeklyPicks!$C:$C,L$16)</f>
        <v>544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880</v>
      </c>
      <c r="D34">
        <f>SUMIFS(WeeklyPicks!$M:$M,WeeklyPicks!$A:$A,"&lt;="&amp;$A34,WeeklyPicks!$C:$C,D$16)</f>
        <v>875</v>
      </c>
      <c r="E34">
        <f>SUMIFS(WeeklyPicks!$M:$M,WeeklyPicks!$A:$A,"&lt;="&amp;$A34,WeeklyPicks!$C:$C,E$16)</f>
        <v>736</v>
      </c>
      <c r="F34">
        <f>SUMIFS(WeeklyPicks!$M:$M,WeeklyPicks!$A:$A,"&lt;="&amp;$A34,WeeklyPicks!$C:$C,F$16)</f>
        <v>876</v>
      </c>
      <c r="G34">
        <f>SUMIFS(WeeklyPicks!$M:$M,WeeklyPicks!$A:$A,"&lt;="&amp;$A34,WeeklyPicks!$C:$C,G$16)</f>
        <v>620</v>
      </c>
      <c r="H34">
        <f>SUMIFS(WeeklyPicks!$M:$M,WeeklyPicks!$A:$A,"&lt;="&amp;$A34,WeeklyPicks!$C:$C,H$16)</f>
        <v>677</v>
      </c>
      <c r="I34">
        <f>SUMIFS(WeeklyPicks!$M:$M,WeeklyPicks!$A:$A,"&lt;="&amp;$A34,WeeklyPicks!$C:$C,I$16)</f>
        <v>365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515</v>
      </c>
      <c r="L34">
        <f>SUMIFS(WeeklyPicks!$M:$M,WeeklyPicks!$A:$A,"&lt;="&amp;$A34,WeeklyPicks!$C:$C,L$16)</f>
        <v>544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880</v>
      </c>
      <c r="D35">
        <f>SUMIFS(WeeklyPicks!$M:$M,WeeklyPicks!$A:$A,"&lt;="&amp;$A35,WeeklyPicks!$C:$C,D$16)</f>
        <v>875</v>
      </c>
      <c r="E35">
        <f>SUMIFS(WeeklyPicks!$M:$M,WeeklyPicks!$A:$A,"&lt;="&amp;$A35,WeeklyPicks!$C:$C,E$16)</f>
        <v>736</v>
      </c>
      <c r="F35">
        <f>SUMIFS(WeeklyPicks!$M:$M,WeeklyPicks!$A:$A,"&lt;="&amp;$A35,WeeklyPicks!$C:$C,F$16)</f>
        <v>876</v>
      </c>
      <c r="G35">
        <f>SUMIFS(WeeklyPicks!$M:$M,WeeklyPicks!$A:$A,"&lt;="&amp;$A35,WeeklyPicks!$C:$C,G$16)</f>
        <v>620</v>
      </c>
      <c r="H35">
        <f>SUMIFS(WeeklyPicks!$M:$M,WeeklyPicks!$A:$A,"&lt;="&amp;$A35,WeeklyPicks!$C:$C,H$16)</f>
        <v>677</v>
      </c>
      <c r="I35">
        <f>SUMIFS(WeeklyPicks!$M:$M,WeeklyPicks!$A:$A,"&lt;="&amp;$A35,WeeklyPicks!$C:$C,I$16)</f>
        <v>365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515</v>
      </c>
      <c r="L35">
        <f>SUMIFS(WeeklyPicks!$M:$M,WeeklyPicks!$A:$A,"&lt;="&amp;$A35,WeeklyPicks!$C:$C,L$16)</f>
        <v>544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880</v>
      </c>
      <c r="D36">
        <f>SUMIFS(WeeklyPicks!$M:$M,WeeklyPicks!$A:$A,"&lt;="&amp;$A36,WeeklyPicks!$C:$C,D$16)</f>
        <v>875</v>
      </c>
      <c r="E36">
        <f>SUMIFS(WeeklyPicks!$M:$M,WeeklyPicks!$A:$A,"&lt;="&amp;$A36,WeeklyPicks!$C:$C,E$16)</f>
        <v>736</v>
      </c>
      <c r="F36">
        <f>SUMIFS(WeeklyPicks!$M:$M,WeeklyPicks!$A:$A,"&lt;="&amp;$A36,WeeklyPicks!$C:$C,F$16)</f>
        <v>876</v>
      </c>
      <c r="G36">
        <f>SUMIFS(WeeklyPicks!$M:$M,WeeklyPicks!$A:$A,"&lt;="&amp;$A36,WeeklyPicks!$C:$C,G$16)</f>
        <v>620</v>
      </c>
      <c r="H36">
        <f>SUMIFS(WeeklyPicks!$M:$M,WeeklyPicks!$A:$A,"&lt;="&amp;$A36,WeeklyPicks!$C:$C,H$16)</f>
        <v>677</v>
      </c>
      <c r="I36">
        <f>SUMIFS(WeeklyPicks!$M:$M,WeeklyPicks!$A:$A,"&lt;="&amp;$A36,WeeklyPicks!$C:$C,I$16)</f>
        <v>365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515</v>
      </c>
      <c r="L36">
        <f>SUMIFS(WeeklyPicks!$M:$M,WeeklyPicks!$A:$A,"&lt;="&amp;$A36,WeeklyPicks!$C:$C,L$16)</f>
        <v>544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880</v>
      </c>
      <c r="D37">
        <f>SUMIFS(WeeklyPicks!$M:$M,WeeklyPicks!$A:$A,"&lt;="&amp;$A37,WeeklyPicks!$C:$C,D$16)</f>
        <v>875</v>
      </c>
      <c r="E37">
        <f>SUMIFS(WeeklyPicks!$M:$M,WeeklyPicks!$A:$A,"&lt;="&amp;$A37,WeeklyPicks!$C:$C,E$16)</f>
        <v>736</v>
      </c>
      <c r="F37">
        <f>SUMIFS(WeeklyPicks!$M:$M,WeeklyPicks!$A:$A,"&lt;="&amp;$A37,WeeklyPicks!$C:$C,F$16)</f>
        <v>876</v>
      </c>
      <c r="G37">
        <f>SUMIFS(WeeklyPicks!$M:$M,WeeklyPicks!$A:$A,"&lt;="&amp;$A37,WeeklyPicks!$C:$C,G$16)</f>
        <v>620</v>
      </c>
      <c r="H37">
        <f>SUMIFS(WeeklyPicks!$M:$M,WeeklyPicks!$A:$A,"&lt;="&amp;$A37,WeeklyPicks!$C:$C,H$16)</f>
        <v>677</v>
      </c>
      <c r="I37">
        <f>SUMIFS(WeeklyPicks!$M:$M,WeeklyPicks!$A:$A,"&lt;="&amp;$A37,WeeklyPicks!$C:$C,I$16)</f>
        <v>365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515</v>
      </c>
      <c r="L37">
        <f>SUMIFS(WeeklyPicks!$M:$M,WeeklyPicks!$A:$A,"&lt;="&amp;$A37,WeeklyPicks!$C:$C,L$16)</f>
        <v>544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880</v>
      </c>
      <c r="D38">
        <f>SUMIFS(WeeklyPicks!$M:$M,WeeklyPicks!$A:$A,"&lt;="&amp;$A38,WeeklyPicks!$C:$C,D$16)</f>
        <v>875</v>
      </c>
      <c r="E38">
        <f>SUMIFS(WeeklyPicks!$M:$M,WeeklyPicks!$A:$A,"&lt;="&amp;$A38,WeeklyPicks!$C:$C,E$16)</f>
        <v>736</v>
      </c>
      <c r="F38">
        <f>SUMIFS(WeeklyPicks!$M:$M,WeeklyPicks!$A:$A,"&lt;="&amp;$A38,WeeklyPicks!$C:$C,F$16)</f>
        <v>876</v>
      </c>
      <c r="G38">
        <f>SUMIFS(WeeklyPicks!$M:$M,WeeklyPicks!$A:$A,"&lt;="&amp;$A38,WeeklyPicks!$C:$C,G$16)</f>
        <v>620</v>
      </c>
      <c r="H38">
        <f>SUMIFS(WeeklyPicks!$M:$M,WeeklyPicks!$A:$A,"&lt;="&amp;$A38,WeeklyPicks!$C:$C,H$16)</f>
        <v>677</v>
      </c>
      <c r="I38">
        <f>SUMIFS(WeeklyPicks!$M:$M,WeeklyPicks!$A:$A,"&lt;="&amp;$A38,WeeklyPicks!$C:$C,I$16)</f>
        <v>365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515</v>
      </c>
      <c r="L38">
        <f>SUMIFS(WeeklyPicks!$M:$M,WeeklyPicks!$A:$A,"&lt;="&amp;$A38,WeeklyPicks!$C:$C,L$16)</f>
        <v>544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880</v>
      </c>
      <c r="D39">
        <f>SUMIFS(WeeklyPicks!$M:$M,WeeklyPicks!$A:$A,"&lt;="&amp;$A39,WeeklyPicks!$C:$C,D$16)</f>
        <v>875</v>
      </c>
      <c r="E39">
        <f>SUMIFS(WeeklyPicks!$M:$M,WeeklyPicks!$A:$A,"&lt;="&amp;$A39,WeeklyPicks!$C:$C,E$16)</f>
        <v>736</v>
      </c>
      <c r="F39">
        <f>SUMIFS(WeeklyPicks!$M:$M,WeeklyPicks!$A:$A,"&lt;="&amp;$A39,WeeklyPicks!$C:$C,F$16)</f>
        <v>876</v>
      </c>
      <c r="G39">
        <f>SUMIFS(WeeklyPicks!$M:$M,WeeklyPicks!$A:$A,"&lt;="&amp;$A39,WeeklyPicks!$C:$C,G$16)</f>
        <v>620</v>
      </c>
      <c r="H39">
        <f>SUMIFS(WeeklyPicks!$M:$M,WeeklyPicks!$A:$A,"&lt;="&amp;$A39,WeeklyPicks!$C:$C,H$16)</f>
        <v>677</v>
      </c>
      <c r="I39">
        <f>SUMIFS(WeeklyPicks!$M:$M,WeeklyPicks!$A:$A,"&lt;="&amp;$A39,WeeklyPicks!$C:$C,I$16)</f>
        <v>365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515</v>
      </c>
      <c r="L39">
        <f>SUMIFS(WeeklyPicks!$M:$M,WeeklyPicks!$A:$A,"&lt;="&amp;$A39,WeeklyPicks!$C:$C,L$16)</f>
        <v>544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880</v>
      </c>
      <c r="D40">
        <f>SUMIFS(WeeklyPicks!$M:$M,WeeklyPicks!$A:$A,"&lt;="&amp;$A40,WeeklyPicks!$C:$C,D$16)</f>
        <v>875</v>
      </c>
      <c r="E40">
        <f>SUMIFS(WeeklyPicks!$M:$M,WeeklyPicks!$A:$A,"&lt;="&amp;$A40,WeeklyPicks!$C:$C,E$16)</f>
        <v>736</v>
      </c>
      <c r="F40">
        <f>SUMIFS(WeeklyPicks!$M:$M,WeeklyPicks!$A:$A,"&lt;="&amp;$A40,WeeklyPicks!$C:$C,F$16)</f>
        <v>876</v>
      </c>
      <c r="G40">
        <f>SUMIFS(WeeklyPicks!$M:$M,WeeklyPicks!$A:$A,"&lt;="&amp;$A40,WeeklyPicks!$C:$C,G$16)</f>
        <v>620</v>
      </c>
      <c r="H40">
        <f>SUMIFS(WeeklyPicks!$M:$M,WeeklyPicks!$A:$A,"&lt;="&amp;$A40,WeeklyPicks!$C:$C,H$16)</f>
        <v>677</v>
      </c>
      <c r="I40">
        <f>SUMIFS(WeeklyPicks!$M:$M,WeeklyPicks!$A:$A,"&lt;="&amp;$A40,WeeklyPicks!$C:$C,I$16)</f>
        <v>365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515</v>
      </c>
      <c r="L40">
        <f>SUMIFS(WeeklyPicks!$M:$M,WeeklyPicks!$A:$A,"&lt;="&amp;$A40,WeeklyPicks!$C:$C,L$16)</f>
        <v>544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880</v>
      </c>
      <c r="D41">
        <f>SUMIFS(WeeklyPicks!$M:$M,WeeklyPicks!$A:$A,"&lt;="&amp;$A41,WeeklyPicks!$C:$C,D$16)</f>
        <v>875</v>
      </c>
      <c r="E41">
        <f>SUMIFS(WeeklyPicks!$M:$M,WeeklyPicks!$A:$A,"&lt;="&amp;$A41,WeeklyPicks!$C:$C,E$16)</f>
        <v>736</v>
      </c>
      <c r="F41">
        <f>SUMIFS(WeeklyPicks!$M:$M,WeeklyPicks!$A:$A,"&lt;="&amp;$A41,WeeklyPicks!$C:$C,F$16)</f>
        <v>876</v>
      </c>
      <c r="G41">
        <f>SUMIFS(WeeklyPicks!$M:$M,WeeklyPicks!$A:$A,"&lt;="&amp;$A41,WeeklyPicks!$C:$C,G$16)</f>
        <v>620</v>
      </c>
      <c r="H41">
        <f>SUMIFS(WeeklyPicks!$M:$M,WeeklyPicks!$A:$A,"&lt;="&amp;$A41,WeeklyPicks!$C:$C,H$16)</f>
        <v>677</v>
      </c>
      <c r="I41">
        <f>SUMIFS(WeeklyPicks!$M:$M,WeeklyPicks!$A:$A,"&lt;="&amp;$A41,WeeklyPicks!$C:$C,I$16)</f>
        <v>365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515</v>
      </c>
      <c r="L41">
        <f>SUMIFS(WeeklyPicks!$M:$M,WeeklyPicks!$A:$A,"&lt;="&amp;$A41,WeeklyPicks!$C:$C,L$16)</f>
        <v>544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880</v>
      </c>
      <c r="D42">
        <f>SUMIFS(WeeklyPicks!$M:$M,WeeklyPicks!$A:$A,"&lt;="&amp;$A42,WeeklyPicks!$C:$C,D$16)</f>
        <v>875</v>
      </c>
      <c r="E42">
        <f>SUMIFS(WeeklyPicks!$M:$M,WeeklyPicks!$A:$A,"&lt;="&amp;$A42,WeeklyPicks!$C:$C,E$16)</f>
        <v>736</v>
      </c>
      <c r="F42">
        <f>SUMIFS(WeeklyPicks!$M:$M,WeeklyPicks!$A:$A,"&lt;="&amp;$A42,WeeklyPicks!$C:$C,F$16)</f>
        <v>876</v>
      </c>
      <c r="G42">
        <f>SUMIFS(WeeklyPicks!$M:$M,WeeklyPicks!$A:$A,"&lt;="&amp;$A42,WeeklyPicks!$C:$C,G$16)</f>
        <v>620</v>
      </c>
      <c r="H42">
        <f>SUMIFS(WeeklyPicks!$M:$M,WeeklyPicks!$A:$A,"&lt;="&amp;$A42,WeeklyPicks!$C:$C,H$16)</f>
        <v>677</v>
      </c>
      <c r="I42">
        <f>SUMIFS(WeeklyPicks!$M:$M,WeeklyPicks!$A:$A,"&lt;="&amp;$A42,WeeklyPicks!$C:$C,I$16)</f>
        <v>365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515</v>
      </c>
      <c r="L42">
        <f>SUMIFS(WeeklyPicks!$M:$M,WeeklyPicks!$A:$A,"&lt;="&amp;$A42,WeeklyPicks!$C:$C,L$16)</f>
        <v>544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880</v>
      </c>
      <c r="D43">
        <f>SUMIFS(WeeklyPicks!$M:$M,WeeklyPicks!$A:$A,"&lt;="&amp;$A43,WeeklyPicks!$C:$C,D$16)</f>
        <v>875</v>
      </c>
      <c r="E43">
        <f>SUMIFS(WeeklyPicks!$M:$M,WeeklyPicks!$A:$A,"&lt;="&amp;$A43,WeeklyPicks!$C:$C,E$16)</f>
        <v>736</v>
      </c>
      <c r="F43">
        <f>SUMIFS(WeeklyPicks!$M:$M,WeeklyPicks!$A:$A,"&lt;="&amp;$A43,WeeklyPicks!$C:$C,F$16)</f>
        <v>876</v>
      </c>
      <c r="G43">
        <f>SUMIFS(WeeklyPicks!$M:$M,WeeklyPicks!$A:$A,"&lt;="&amp;$A43,WeeklyPicks!$C:$C,G$16)</f>
        <v>620</v>
      </c>
      <c r="H43">
        <f>SUMIFS(WeeklyPicks!$M:$M,WeeklyPicks!$A:$A,"&lt;="&amp;$A43,WeeklyPicks!$C:$C,H$16)</f>
        <v>677</v>
      </c>
      <c r="I43">
        <f>SUMIFS(WeeklyPicks!$M:$M,WeeklyPicks!$A:$A,"&lt;="&amp;$A43,WeeklyPicks!$C:$C,I$16)</f>
        <v>365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515</v>
      </c>
      <c r="L43">
        <f>SUMIFS(WeeklyPicks!$M:$M,WeeklyPicks!$A:$A,"&lt;="&amp;$A43,WeeklyPicks!$C:$C,L$16)</f>
        <v>544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880</v>
      </c>
      <c r="D44">
        <f>SUMIFS(WeeklyPicks!$M:$M,WeeklyPicks!$A:$A,"&lt;="&amp;$A44,WeeklyPicks!$C:$C,D$16)</f>
        <v>875</v>
      </c>
      <c r="E44">
        <f>SUMIFS(WeeklyPicks!$M:$M,WeeklyPicks!$A:$A,"&lt;="&amp;$A44,WeeklyPicks!$C:$C,E$16)</f>
        <v>736</v>
      </c>
      <c r="F44">
        <f>SUMIFS(WeeklyPicks!$M:$M,WeeklyPicks!$A:$A,"&lt;="&amp;$A44,WeeklyPicks!$C:$C,F$16)</f>
        <v>876</v>
      </c>
      <c r="G44">
        <f>SUMIFS(WeeklyPicks!$M:$M,WeeklyPicks!$A:$A,"&lt;="&amp;$A44,WeeklyPicks!$C:$C,G$16)</f>
        <v>620</v>
      </c>
      <c r="H44">
        <f>SUMIFS(WeeklyPicks!$M:$M,WeeklyPicks!$A:$A,"&lt;="&amp;$A44,WeeklyPicks!$C:$C,H$16)</f>
        <v>677</v>
      </c>
      <c r="I44">
        <f>SUMIFS(WeeklyPicks!$M:$M,WeeklyPicks!$A:$A,"&lt;="&amp;$A44,WeeklyPicks!$C:$C,I$16)</f>
        <v>365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515</v>
      </c>
      <c r="L44">
        <f>SUMIFS(WeeklyPicks!$M:$M,WeeklyPicks!$A:$A,"&lt;="&amp;$A44,WeeklyPicks!$C:$C,L$16)</f>
        <v>544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880</v>
      </c>
      <c r="D45">
        <f>SUMIFS(WeeklyPicks!$M:$M,WeeklyPicks!$A:$A,"&lt;="&amp;$A45,WeeklyPicks!$C:$C,D$16)</f>
        <v>875</v>
      </c>
      <c r="E45">
        <f>SUMIFS(WeeklyPicks!$M:$M,WeeklyPicks!$A:$A,"&lt;="&amp;$A45,WeeklyPicks!$C:$C,E$16)</f>
        <v>736</v>
      </c>
      <c r="F45">
        <f>SUMIFS(WeeklyPicks!$M:$M,WeeklyPicks!$A:$A,"&lt;="&amp;$A45,WeeklyPicks!$C:$C,F$16)</f>
        <v>876</v>
      </c>
      <c r="G45">
        <f>SUMIFS(WeeklyPicks!$M:$M,WeeklyPicks!$A:$A,"&lt;="&amp;$A45,WeeklyPicks!$C:$C,G$16)</f>
        <v>620</v>
      </c>
      <c r="H45">
        <f>SUMIFS(WeeklyPicks!$M:$M,WeeklyPicks!$A:$A,"&lt;="&amp;$A45,WeeklyPicks!$C:$C,H$16)</f>
        <v>677</v>
      </c>
      <c r="I45">
        <f>SUMIFS(WeeklyPicks!$M:$M,WeeklyPicks!$A:$A,"&lt;="&amp;$A45,WeeklyPicks!$C:$C,I$16)</f>
        <v>365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515</v>
      </c>
      <c r="L45">
        <f>SUMIFS(WeeklyPicks!$M:$M,WeeklyPicks!$A:$A,"&lt;="&amp;$A45,WeeklyPicks!$C:$C,L$16)</f>
        <v>544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880</v>
      </c>
      <c r="D46">
        <f>SUMIFS(WeeklyPicks!$M:$M,WeeklyPicks!$A:$A,"&lt;="&amp;$A46,WeeklyPicks!$C:$C,D$16)</f>
        <v>875</v>
      </c>
      <c r="E46">
        <f>SUMIFS(WeeklyPicks!$M:$M,WeeklyPicks!$A:$A,"&lt;="&amp;$A46,WeeklyPicks!$C:$C,E$16)</f>
        <v>736</v>
      </c>
      <c r="F46">
        <f>SUMIFS(WeeklyPicks!$M:$M,WeeklyPicks!$A:$A,"&lt;="&amp;$A46,WeeklyPicks!$C:$C,F$16)</f>
        <v>876</v>
      </c>
      <c r="G46">
        <f>SUMIFS(WeeklyPicks!$M:$M,WeeklyPicks!$A:$A,"&lt;="&amp;$A46,WeeklyPicks!$C:$C,G$16)</f>
        <v>620</v>
      </c>
      <c r="H46">
        <f>SUMIFS(WeeklyPicks!$M:$M,WeeklyPicks!$A:$A,"&lt;="&amp;$A46,WeeklyPicks!$C:$C,H$16)</f>
        <v>677</v>
      </c>
      <c r="I46">
        <f>SUMIFS(WeeklyPicks!$M:$M,WeeklyPicks!$A:$A,"&lt;="&amp;$A46,WeeklyPicks!$C:$C,I$16)</f>
        <v>365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515</v>
      </c>
      <c r="L46">
        <f>SUMIFS(WeeklyPicks!$M:$M,WeeklyPicks!$A:$A,"&lt;="&amp;$A46,WeeklyPicks!$C:$C,L$16)</f>
        <v>544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880</v>
      </c>
      <c r="D47">
        <f>SUMIFS(WeeklyPicks!$M:$M,WeeklyPicks!$A:$A,"&lt;="&amp;$A47,WeeklyPicks!$C:$C,D$16)</f>
        <v>875</v>
      </c>
      <c r="E47">
        <f>SUMIFS(WeeklyPicks!$M:$M,WeeklyPicks!$A:$A,"&lt;="&amp;$A47,WeeklyPicks!$C:$C,E$16)</f>
        <v>736</v>
      </c>
      <c r="F47">
        <f>SUMIFS(WeeklyPicks!$M:$M,WeeklyPicks!$A:$A,"&lt;="&amp;$A47,WeeklyPicks!$C:$C,F$16)</f>
        <v>876</v>
      </c>
      <c r="G47">
        <f>SUMIFS(WeeklyPicks!$M:$M,WeeklyPicks!$A:$A,"&lt;="&amp;$A47,WeeklyPicks!$C:$C,G$16)</f>
        <v>620</v>
      </c>
      <c r="H47">
        <f>SUMIFS(WeeklyPicks!$M:$M,WeeklyPicks!$A:$A,"&lt;="&amp;$A47,WeeklyPicks!$C:$C,H$16)</f>
        <v>677</v>
      </c>
      <c r="I47">
        <f>SUMIFS(WeeklyPicks!$M:$M,WeeklyPicks!$A:$A,"&lt;="&amp;$A47,WeeklyPicks!$C:$C,I$16)</f>
        <v>365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515</v>
      </c>
      <c r="L47">
        <f>SUMIFS(WeeklyPicks!$M:$M,WeeklyPicks!$A:$A,"&lt;="&amp;$A47,WeeklyPicks!$C:$C,L$16)</f>
        <v>544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880</v>
      </c>
      <c r="D48">
        <f>SUMIFS(WeeklyPicks!$M:$M,WeeklyPicks!$A:$A,"&lt;="&amp;$A48,WeeklyPicks!$C:$C,D$16)</f>
        <v>875</v>
      </c>
      <c r="E48">
        <f>SUMIFS(WeeklyPicks!$M:$M,WeeklyPicks!$A:$A,"&lt;="&amp;$A48,WeeklyPicks!$C:$C,E$16)</f>
        <v>736</v>
      </c>
      <c r="F48">
        <f>SUMIFS(WeeklyPicks!$M:$M,WeeklyPicks!$A:$A,"&lt;="&amp;$A48,WeeklyPicks!$C:$C,F$16)</f>
        <v>876</v>
      </c>
      <c r="G48">
        <f>SUMIFS(WeeklyPicks!$M:$M,WeeklyPicks!$A:$A,"&lt;="&amp;$A48,WeeklyPicks!$C:$C,G$16)</f>
        <v>620</v>
      </c>
      <c r="H48">
        <f>SUMIFS(WeeklyPicks!$M:$M,WeeklyPicks!$A:$A,"&lt;="&amp;$A48,WeeklyPicks!$C:$C,H$16)</f>
        <v>677</v>
      </c>
      <c r="I48">
        <f>SUMIFS(WeeklyPicks!$M:$M,WeeklyPicks!$A:$A,"&lt;="&amp;$A48,WeeklyPicks!$C:$C,I$16)</f>
        <v>365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515</v>
      </c>
      <c r="L48">
        <f>SUMIFS(WeeklyPicks!$M:$M,WeeklyPicks!$A:$A,"&lt;="&amp;$A48,WeeklyPicks!$C:$C,L$16)</f>
        <v>544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880</v>
      </c>
      <c r="D49">
        <f>SUMIFS(WeeklyPicks!$M:$M,WeeklyPicks!$A:$A,"&lt;="&amp;$A49,WeeklyPicks!$C:$C,D$16)</f>
        <v>875</v>
      </c>
      <c r="E49">
        <f>SUMIFS(WeeklyPicks!$M:$M,WeeklyPicks!$A:$A,"&lt;="&amp;$A49,WeeklyPicks!$C:$C,E$16)</f>
        <v>736</v>
      </c>
      <c r="F49">
        <f>SUMIFS(WeeklyPicks!$M:$M,WeeklyPicks!$A:$A,"&lt;="&amp;$A49,WeeklyPicks!$C:$C,F$16)</f>
        <v>876</v>
      </c>
      <c r="G49">
        <f>SUMIFS(WeeklyPicks!$M:$M,WeeklyPicks!$A:$A,"&lt;="&amp;$A49,WeeklyPicks!$C:$C,G$16)</f>
        <v>620</v>
      </c>
      <c r="H49">
        <f>SUMIFS(WeeklyPicks!$M:$M,WeeklyPicks!$A:$A,"&lt;="&amp;$A49,WeeklyPicks!$C:$C,H$16)</f>
        <v>677</v>
      </c>
      <c r="I49">
        <f>SUMIFS(WeeklyPicks!$M:$M,WeeklyPicks!$A:$A,"&lt;="&amp;$A49,WeeklyPicks!$C:$C,I$16)</f>
        <v>365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515</v>
      </c>
      <c r="L49">
        <f>SUMIFS(WeeklyPicks!$M:$M,WeeklyPicks!$A:$A,"&lt;="&amp;$A49,WeeklyPicks!$C:$C,L$16)</f>
        <v>544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880</v>
      </c>
      <c r="D50">
        <f>SUMIFS(WeeklyPicks!$M:$M,WeeklyPicks!$A:$A,"&lt;="&amp;$A50,WeeklyPicks!$C:$C,D$16)</f>
        <v>875</v>
      </c>
      <c r="E50">
        <f>SUMIFS(WeeklyPicks!$M:$M,WeeklyPicks!$A:$A,"&lt;="&amp;$A50,WeeklyPicks!$C:$C,E$16)</f>
        <v>736</v>
      </c>
      <c r="F50">
        <f>SUMIFS(WeeklyPicks!$M:$M,WeeklyPicks!$A:$A,"&lt;="&amp;$A50,WeeklyPicks!$C:$C,F$16)</f>
        <v>876</v>
      </c>
      <c r="G50">
        <f>SUMIFS(WeeklyPicks!$M:$M,WeeklyPicks!$A:$A,"&lt;="&amp;$A50,WeeklyPicks!$C:$C,G$16)</f>
        <v>620</v>
      </c>
      <c r="H50">
        <f>SUMIFS(WeeklyPicks!$M:$M,WeeklyPicks!$A:$A,"&lt;="&amp;$A50,WeeklyPicks!$C:$C,H$16)</f>
        <v>677</v>
      </c>
      <c r="I50">
        <f>SUMIFS(WeeklyPicks!$M:$M,WeeklyPicks!$A:$A,"&lt;="&amp;$A50,WeeklyPicks!$C:$C,I$16)</f>
        <v>365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515</v>
      </c>
      <c r="L50">
        <f>SUMIFS(WeeklyPicks!$M:$M,WeeklyPicks!$A:$A,"&lt;="&amp;$A50,WeeklyPicks!$C:$C,L$16)</f>
        <v>544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880</v>
      </c>
      <c r="D51">
        <f>SUMIFS(WeeklyPicks!$M:$M,WeeklyPicks!$A:$A,"&lt;="&amp;$A51,WeeklyPicks!$C:$C,D$16)</f>
        <v>875</v>
      </c>
      <c r="E51">
        <f>SUMIFS(WeeklyPicks!$M:$M,WeeklyPicks!$A:$A,"&lt;="&amp;$A51,WeeklyPicks!$C:$C,E$16)</f>
        <v>736</v>
      </c>
      <c r="F51">
        <f>SUMIFS(WeeklyPicks!$M:$M,WeeklyPicks!$A:$A,"&lt;="&amp;$A51,WeeklyPicks!$C:$C,F$16)</f>
        <v>876</v>
      </c>
      <c r="G51">
        <f>SUMIFS(WeeklyPicks!$M:$M,WeeklyPicks!$A:$A,"&lt;="&amp;$A51,WeeklyPicks!$C:$C,G$16)</f>
        <v>620</v>
      </c>
      <c r="H51">
        <f>SUMIFS(WeeklyPicks!$M:$M,WeeklyPicks!$A:$A,"&lt;="&amp;$A51,WeeklyPicks!$C:$C,H$16)</f>
        <v>677</v>
      </c>
      <c r="I51">
        <f>SUMIFS(WeeklyPicks!$M:$M,WeeklyPicks!$A:$A,"&lt;="&amp;$A51,WeeklyPicks!$C:$C,I$16)</f>
        <v>365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515</v>
      </c>
      <c r="L51">
        <f>SUMIFS(WeeklyPicks!$M:$M,WeeklyPicks!$A:$A,"&lt;="&amp;$A51,WeeklyPicks!$C:$C,L$16)</f>
        <v>544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880</v>
      </c>
      <c r="D52">
        <f>SUMIFS(WeeklyPicks!$M:$M,WeeklyPicks!$A:$A,"&lt;="&amp;$A52,WeeklyPicks!$C:$C,D$16)</f>
        <v>875</v>
      </c>
      <c r="E52">
        <f>SUMIFS(WeeklyPicks!$M:$M,WeeklyPicks!$A:$A,"&lt;="&amp;$A52,WeeklyPicks!$C:$C,E$16)</f>
        <v>736</v>
      </c>
      <c r="F52">
        <f>SUMIFS(WeeklyPicks!$M:$M,WeeklyPicks!$A:$A,"&lt;="&amp;$A52,WeeklyPicks!$C:$C,F$16)</f>
        <v>876</v>
      </c>
      <c r="G52">
        <f>SUMIFS(WeeklyPicks!$M:$M,WeeklyPicks!$A:$A,"&lt;="&amp;$A52,WeeklyPicks!$C:$C,G$16)</f>
        <v>620</v>
      </c>
      <c r="H52">
        <f>SUMIFS(WeeklyPicks!$M:$M,WeeklyPicks!$A:$A,"&lt;="&amp;$A52,WeeklyPicks!$C:$C,H$16)</f>
        <v>677</v>
      </c>
      <c r="I52">
        <f>SUMIFS(WeeklyPicks!$M:$M,WeeklyPicks!$A:$A,"&lt;="&amp;$A52,WeeklyPicks!$C:$C,I$16)</f>
        <v>365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515</v>
      </c>
      <c r="L52">
        <f>SUMIFS(WeeklyPicks!$M:$M,WeeklyPicks!$A:$A,"&lt;="&amp;$A52,WeeklyPicks!$C:$C,L$16)</f>
        <v>544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880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875</v>
      </c>
      <c r="D6" s="16">
        <f>Dashboard!D5</f>
        <v>3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736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876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620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677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365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515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544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2026-05-11T01:28:08Z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