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1432" documentId="8_{64ED620B-E9CD-47B3-A172-B982AAA909D5}" xr6:coauthVersionLast="47" xr6:coauthVersionMax="47" xr10:uidLastSave="{C7A96CF8-C087-466F-8577-B49D2A7AE753}"/>
  <bookViews>
    <workbookView xWindow="-108" yWindow="-108" windowWidth="23256" windowHeight="12456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M43" i="5" s="1"/>
  <c r="E177" i="7"/>
  <c r="E176" i="7"/>
  <c r="E175" i="7"/>
  <c r="M42" i="5" s="1"/>
  <c r="E174" i="7"/>
  <c r="E173" i="7"/>
  <c r="E172" i="7"/>
  <c r="E171" i="7"/>
  <c r="N42" i="5" s="1"/>
  <c r="E170" i="7"/>
  <c r="E169" i="7"/>
  <c r="L46" i="5" s="1"/>
  <c r="E168" i="7"/>
  <c r="E167" i="7"/>
  <c r="E166" i="7"/>
  <c r="N46" i="5" s="1"/>
  <c r="E165" i="7"/>
  <c r="N44" i="5" s="1"/>
  <c r="E164" i="7"/>
  <c r="N43" i="5" s="1"/>
  <c r="E163" i="7"/>
  <c r="M46" i="5" s="1"/>
  <c r="E162" i="7"/>
  <c r="E161" i="7"/>
  <c r="E160" i="7"/>
  <c r="E159" i="7"/>
  <c r="N36" i="5" s="1"/>
  <c r="E158" i="7"/>
  <c r="E157" i="7"/>
  <c r="E156" i="7"/>
  <c r="E155" i="7"/>
  <c r="E154" i="7"/>
  <c r="L34" i="5" s="1"/>
  <c r="E153" i="7"/>
  <c r="M34" i="5" s="1"/>
  <c r="E152" i="7"/>
  <c r="L33" i="5" s="1"/>
  <c r="E151" i="7"/>
  <c r="E150" i="7"/>
  <c r="N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M32" i="5" s="1"/>
  <c r="E126" i="7"/>
  <c r="E125" i="7"/>
  <c r="E124" i="7"/>
  <c r="E123" i="7"/>
  <c r="M33" i="5" s="1"/>
  <c r="E122" i="7"/>
  <c r="E121" i="7"/>
  <c r="E120" i="7"/>
  <c r="E119" i="7"/>
  <c r="M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N23" i="5" s="1"/>
  <c r="E91" i="7"/>
  <c r="E90" i="7"/>
  <c r="M23" i="5" s="1"/>
  <c r="E89" i="7"/>
  <c r="N22" i="5" s="1"/>
  <c r="E88" i="7"/>
  <c r="E87" i="7"/>
  <c r="E86" i="7"/>
  <c r="E85" i="7"/>
  <c r="M22" i="5" s="1"/>
  <c r="E84" i="7"/>
  <c r="L22" i="5" s="1"/>
  <c r="E83" i="7"/>
  <c r="L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N361" i="5"/>
  <c r="M361" i="5"/>
  <c r="L361" i="5"/>
  <c r="K361" i="5"/>
  <c r="J361" i="5"/>
  <c r="I361" i="5"/>
  <c r="N360" i="5"/>
  <c r="M360" i="5"/>
  <c r="L360" i="5"/>
  <c r="K360" i="5"/>
  <c r="J360" i="5"/>
  <c r="I360" i="5"/>
  <c r="N359" i="5"/>
  <c r="M359" i="5"/>
  <c r="L359" i="5"/>
  <c r="K359" i="5"/>
  <c r="J359" i="5"/>
  <c r="I359" i="5"/>
  <c r="N358" i="5"/>
  <c r="M358" i="5"/>
  <c r="L358" i="5"/>
  <c r="K358" i="5"/>
  <c r="J358" i="5"/>
  <c r="I358" i="5"/>
  <c r="N357" i="5"/>
  <c r="M357" i="5"/>
  <c r="L357" i="5"/>
  <c r="K357" i="5"/>
  <c r="J357" i="5"/>
  <c r="I357" i="5"/>
  <c r="N356" i="5"/>
  <c r="M356" i="5"/>
  <c r="L356" i="5"/>
  <c r="K356" i="5"/>
  <c r="J356" i="5"/>
  <c r="I356" i="5"/>
  <c r="N355" i="5"/>
  <c r="M355" i="5"/>
  <c r="L355" i="5"/>
  <c r="K355" i="5"/>
  <c r="J355" i="5"/>
  <c r="I355" i="5"/>
  <c r="N354" i="5"/>
  <c r="M354" i="5"/>
  <c r="L354" i="5"/>
  <c r="K354" i="5"/>
  <c r="J354" i="5"/>
  <c r="I354" i="5"/>
  <c r="N353" i="5"/>
  <c r="M353" i="5"/>
  <c r="L353" i="5"/>
  <c r="K353" i="5"/>
  <c r="J353" i="5"/>
  <c r="I353" i="5"/>
  <c r="N352" i="5"/>
  <c r="M352" i="5"/>
  <c r="L352" i="5"/>
  <c r="K352" i="5"/>
  <c r="J352" i="5"/>
  <c r="I352" i="5"/>
  <c r="N351" i="5"/>
  <c r="M351" i="5"/>
  <c r="L351" i="5"/>
  <c r="K351" i="5"/>
  <c r="J351" i="5"/>
  <c r="I351" i="5"/>
  <c r="N350" i="5"/>
  <c r="M350" i="5"/>
  <c r="L350" i="5"/>
  <c r="K350" i="5"/>
  <c r="J350" i="5"/>
  <c r="I350" i="5"/>
  <c r="N349" i="5"/>
  <c r="M349" i="5"/>
  <c r="L349" i="5"/>
  <c r="K349" i="5"/>
  <c r="J349" i="5"/>
  <c r="I349" i="5"/>
  <c r="N348" i="5"/>
  <c r="M348" i="5"/>
  <c r="L348" i="5"/>
  <c r="K348" i="5"/>
  <c r="J348" i="5"/>
  <c r="I348" i="5"/>
  <c r="N347" i="5"/>
  <c r="M347" i="5"/>
  <c r="L347" i="5"/>
  <c r="K347" i="5"/>
  <c r="J347" i="5"/>
  <c r="I347" i="5"/>
  <c r="N346" i="5"/>
  <c r="M346" i="5"/>
  <c r="L346" i="5"/>
  <c r="K346" i="5"/>
  <c r="J346" i="5"/>
  <c r="I346" i="5"/>
  <c r="N345" i="5"/>
  <c r="M345" i="5"/>
  <c r="L345" i="5"/>
  <c r="K345" i="5"/>
  <c r="J345" i="5"/>
  <c r="I345" i="5"/>
  <c r="N344" i="5"/>
  <c r="M344" i="5"/>
  <c r="L344" i="5"/>
  <c r="K344" i="5"/>
  <c r="J344" i="5"/>
  <c r="I344" i="5"/>
  <c r="N343" i="5"/>
  <c r="M343" i="5"/>
  <c r="L343" i="5"/>
  <c r="K343" i="5"/>
  <c r="J343" i="5"/>
  <c r="I343" i="5"/>
  <c r="N342" i="5"/>
  <c r="M342" i="5"/>
  <c r="L342" i="5"/>
  <c r="K342" i="5"/>
  <c r="J342" i="5"/>
  <c r="I342" i="5"/>
  <c r="N341" i="5"/>
  <c r="M341" i="5"/>
  <c r="L341" i="5"/>
  <c r="K341" i="5"/>
  <c r="J341" i="5"/>
  <c r="I341" i="5"/>
  <c r="N340" i="5"/>
  <c r="M340" i="5"/>
  <c r="L340" i="5"/>
  <c r="K340" i="5"/>
  <c r="J340" i="5"/>
  <c r="I340" i="5"/>
  <c r="N339" i="5"/>
  <c r="M339" i="5"/>
  <c r="L339" i="5"/>
  <c r="K339" i="5"/>
  <c r="J339" i="5"/>
  <c r="I339" i="5"/>
  <c r="N338" i="5"/>
  <c r="M338" i="5"/>
  <c r="L338" i="5"/>
  <c r="K338" i="5"/>
  <c r="J338" i="5"/>
  <c r="I338" i="5"/>
  <c r="N337" i="5"/>
  <c r="M337" i="5"/>
  <c r="L337" i="5"/>
  <c r="K337" i="5"/>
  <c r="J337" i="5"/>
  <c r="I337" i="5"/>
  <c r="N336" i="5"/>
  <c r="M336" i="5"/>
  <c r="L336" i="5"/>
  <c r="K336" i="5"/>
  <c r="J336" i="5"/>
  <c r="I336" i="5"/>
  <c r="N335" i="5"/>
  <c r="M335" i="5"/>
  <c r="L335" i="5"/>
  <c r="K335" i="5"/>
  <c r="J335" i="5"/>
  <c r="I335" i="5"/>
  <c r="N334" i="5"/>
  <c r="M334" i="5"/>
  <c r="L334" i="5"/>
  <c r="K334" i="5"/>
  <c r="J334" i="5"/>
  <c r="I334" i="5"/>
  <c r="N333" i="5"/>
  <c r="M333" i="5"/>
  <c r="L333" i="5"/>
  <c r="K333" i="5"/>
  <c r="J333" i="5"/>
  <c r="I333" i="5"/>
  <c r="N332" i="5"/>
  <c r="M332" i="5"/>
  <c r="L332" i="5"/>
  <c r="K332" i="5"/>
  <c r="J332" i="5"/>
  <c r="I332" i="5"/>
  <c r="N331" i="5"/>
  <c r="M331" i="5"/>
  <c r="L331" i="5"/>
  <c r="K331" i="5"/>
  <c r="J331" i="5"/>
  <c r="I331" i="5"/>
  <c r="N330" i="5"/>
  <c r="M330" i="5"/>
  <c r="L330" i="5"/>
  <c r="K330" i="5"/>
  <c r="J330" i="5"/>
  <c r="I330" i="5"/>
  <c r="N329" i="5"/>
  <c r="M329" i="5"/>
  <c r="L329" i="5"/>
  <c r="K329" i="5"/>
  <c r="J329" i="5"/>
  <c r="I329" i="5"/>
  <c r="N328" i="5"/>
  <c r="M328" i="5"/>
  <c r="L328" i="5"/>
  <c r="K328" i="5"/>
  <c r="J328" i="5"/>
  <c r="I328" i="5"/>
  <c r="N327" i="5"/>
  <c r="M327" i="5"/>
  <c r="L327" i="5"/>
  <c r="K327" i="5"/>
  <c r="J327" i="5"/>
  <c r="I327" i="5"/>
  <c r="N326" i="5"/>
  <c r="M326" i="5"/>
  <c r="L326" i="5"/>
  <c r="K326" i="5"/>
  <c r="J326" i="5"/>
  <c r="I326" i="5"/>
  <c r="N325" i="5"/>
  <c r="M325" i="5"/>
  <c r="L325" i="5"/>
  <c r="K325" i="5"/>
  <c r="J325" i="5"/>
  <c r="I325" i="5"/>
  <c r="N324" i="5"/>
  <c r="M324" i="5"/>
  <c r="L324" i="5"/>
  <c r="K324" i="5"/>
  <c r="J324" i="5"/>
  <c r="I324" i="5"/>
  <c r="N323" i="5"/>
  <c r="M323" i="5"/>
  <c r="L323" i="5"/>
  <c r="K323" i="5"/>
  <c r="J323" i="5"/>
  <c r="I323" i="5"/>
  <c r="N322" i="5"/>
  <c r="M322" i="5"/>
  <c r="L322" i="5"/>
  <c r="K322" i="5"/>
  <c r="J322" i="5"/>
  <c r="I322" i="5"/>
  <c r="N321" i="5"/>
  <c r="M321" i="5"/>
  <c r="L321" i="5"/>
  <c r="K321" i="5"/>
  <c r="J321" i="5"/>
  <c r="I321" i="5"/>
  <c r="N320" i="5"/>
  <c r="M320" i="5"/>
  <c r="L320" i="5"/>
  <c r="K320" i="5"/>
  <c r="J320" i="5"/>
  <c r="I320" i="5"/>
  <c r="N319" i="5"/>
  <c r="M319" i="5"/>
  <c r="L319" i="5"/>
  <c r="K319" i="5"/>
  <c r="J319" i="5"/>
  <c r="I319" i="5"/>
  <c r="N318" i="5"/>
  <c r="M318" i="5"/>
  <c r="L318" i="5"/>
  <c r="K318" i="5"/>
  <c r="J318" i="5"/>
  <c r="I318" i="5"/>
  <c r="N317" i="5"/>
  <c r="M317" i="5"/>
  <c r="L317" i="5"/>
  <c r="K317" i="5"/>
  <c r="J317" i="5"/>
  <c r="I317" i="5"/>
  <c r="N316" i="5"/>
  <c r="M316" i="5"/>
  <c r="L316" i="5"/>
  <c r="K316" i="5"/>
  <c r="J316" i="5"/>
  <c r="I316" i="5"/>
  <c r="N315" i="5"/>
  <c r="M315" i="5"/>
  <c r="L315" i="5"/>
  <c r="K315" i="5"/>
  <c r="J315" i="5"/>
  <c r="I315" i="5"/>
  <c r="N314" i="5"/>
  <c r="M314" i="5"/>
  <c r="L314" i="5"/>
  <c r="K314" i="5"/>
  <c r="J314" i="5"/>
  <c r="I314" i="5"/>
  <c r="N313" i="5"/>
  <c r="M313" i="5"/>
  <c r="L313" i="5"/>
  <c r="K313" i="5"/>
  <c r="J313" i="5"/>
  <c r="I313" i="5"/>
  <c r="N312" i="5"/>
  <c r="M312" i="5"/>
  <c r="L312" i="5"/>
  <c r="K312" i="5"/>
  <c r="J312" i="5"/>
  <c r="I312" i="5"/>
  <c r="N311" i="5"/>
  <c r="M311" i="5"/>
  <c r="L311" i="5"/>
  <c r="K311" i="5"/>
  <c r="J311" i="5"/>
  <c r="I311" i="5"/>
  <c r="N310" i="5"/>
  <c r="M310" i="5"/>
  <c r="L310" i="5"/>
  <c r="K310" i="5"/>
  <c r="J310" i="5"/>
  <c r="I310" i="5"/>
  <c r="N309" i="5"/>
  <c r="M309" i="5"/>
  <c r="L309" i="5"/>
  <c r="K309" i="5"/>
  <c r="J309" i="5"/>
  <c r="I309" i="5"/>
  <c r="N308" i="5"/>
  <c r="M308" i="5"/>
  <c r="L308" i="5"/>
  <c r="K308" i="5"/>
  <c r="J308" i="5"/>
  <c r="I308" i="5"/>
  <c r="N307" i="5"/>
  <c r="M307" i="5"/>
  <c r="L307" i="5"/>
  <c r="K307" i="5"/>
  <c r="J307" i="5"/>
  <c r="I307" i="5"/>
  <c r="N306" i="5"/>
  <c r="M306" i="5"/>
  <c r="L306" i="5"/>
  <c r="K306" i="5"/>
  <c r="J306" i="5"/>
  <c r="I306" i="5"/>
  <c r="N305" i="5"/>
  <c r="M305" i="5"/>
  <c r="L305" i="5"/>
  <c r="K305" i="5"/>
  <c r="J305" i="5"/>
  <c r="I305" i="5"/>
  <c r="N304" i="5"/>
  <c r="M304" i="5"/>
  <c r="L304" i="5"/>
  <c r="K304" i="5"/>
  <c r="J304" i="5"/>
  <c r="I304" i="5"/>
  <c r="N303" i="5"/>
  <c r="M303" i="5"/>
  <c r="L303" i="5"/>
  <c r="K303" i="5"/>
  <c r="J303" i="5"/>
  <c r="I303" i="5"/>
  <c r="N302" i="5"/>
  <c r="M302" i="5"/>
  <c r="L302" i="5"/>
  <c r="K302" i="5"/>
  <c r="J302" i="5"/>
  <c r="I302" i="5"/>
  <c r="N301" i="5"/>
  <c r="M301" i="5"/>
  <c r="L301" i="5"/>
  <c r="K301" i="5"/>
  <c r="J301" i="5"/>
  <c r="I301" i="5"/>
  <c r="N300" i="5"/>
  <c r="M300" i="5"/>
  <c r="L300" i="5"/>
  <c r="K300" i="5"/>
  <c r="J300" i="5"/>
  <c r="I300" i="5"/>
  <c r="N299" i="5"/>
  <c r="M299" i="5"/>
  <c r="L299" i="5"/>
  <c r="K299" i="5"/>
  <c r="J299" i="5"/>
  <c r="I299" i="5"/>
  <c r="N298" i="5"/>
  <c r="M298" i="5"/>
  <c r="L298" i="5"/>
  <c r="K298" i="5"/>
  <c r="J298" i="5"/>
  <c r="I298" i="5"/>
  <c r="N297" i="5"/>
  <c r="M297" i="5"/>
  <c r="L297" i="5"/>
  <c r="K297" i="5"/>
  <c r="J297" i="5"/>
  <c r="I297" i="5"/>
  <c r="N296" i="5"/>
  <c r="M296" i="5"/>
  <c r="L296" i="5"/>
  <c r="K296" i="5"/>
  <c r="J296" i="5"/>
  <c r="I296" i="5"/>
  <c r="N295" i="5"/>
  <c r="M295" i="5"/>
  <c r="L295" i="5"/>
  <c r="K295" i="5"/>
  <c r="J295" i="5"/>
  <c r="I295" i="5"/>
  <c r="N294" i="5"/>
  <c r="M294" i="5"/>
  <c r="L294" i="5"/>
  <c r="K294" i="5"/>
  <c r="J294" i="5"/>
  <c r="I294" i="5"/>
  <c r="N293" i="5"/>
  <c r="M293" i="5"/>
  <c r="L293" i="5"/>
  <c r="K293" i="5"/>
  <c r="J293" i="5"/>
  <c r="I293" i="5"/>
  <c r="N292" i="5"/>
  <c r="M292" i="5"/>
  <c r="L292" i="5"/>
  <c r="K292" i="5"/>
  <c r="J292" i="5"/>
  <c r="I292" i="5"/>
  <c r="N291" i="5"/>
  <c r="M291" i="5"/>
  <c r="L291" i="5"/>
  <c r="K291" i="5"/>
  <c r="J291" i="5"/>
  <c r="I291" i="5"/>
  <c r="N290" i="5"/>
  <c r="M290" i="5"/>
  <c r="L290" i="5"/>
  <c r="K290" i="5"/>
  <c r="J290" i="5"/>
  <c r="I290" i="5"/>
  <c r="N289" i="5"/>
  <c r="M289" i="5"/>
  <c r="L289" i="5"/>
  <c r="K289" i="5"/>
  <c r="J289" i="5"/>
  <c r="I289" i="5"/>
  <c r="N288" i="5"/>
  <c r="M288" i="5"/>
  <c r="L288" i="5"/>
  <c r="K288" i="5"/>
  <c r="J288" i="5"/>
  <c r="I288" i="5"/>
  <c r="N287" i="5"/>
  <c r="M287" i="5"/>
  <c r="L287" i="5"/>
  <c r="K287" i="5"/>
  <c r="J287" i="5"/>
  <c r="I287" i="5"/>
  <c r="N286" i="5"/>
  <c r="M286" i="5"/>
  <c r="L286" i="5"/>
  <c r="K286" i="5"/>
  <c r="J286" i="5"/>
  <c r="I286" i="5"/>
  <c r="N285" i="5"/>
  <c r="M285" i="5"/>
  <c r="L285" i="5"/>
  <c r="K285" i="5"/>
  <c r="J285" i="5"/>
  <c r="I285" i="5"/>
  <c r="N284" i="5"/>
  <c r="M284" i="5"/>
  <c r="L284" i="5"/>
  <c r="K284" i="5"/>
  <c r="J284" i="5"/>
  <c r="I284" i="5"/>
  <c r="N283" i="5"/>
  <c r="M283" i="5"/>
  <c r="L283" i="5"/>
  <c r="K283" i="5"/>
  <c r="J283" i="5"/>
  <c r="I283" i="5"/>
  <c r="N282" i="5"/>
  <c r="M282" i="5"/>
  <c r="L282" i="5"/>
  <c r="K282" i="5"/>
  <c r="J282" i="5"/>
  <c r="I282" i="5"/>
  <c r="N281" i="5"/>
  <c r="M281" i="5"/>
  <c r="L281" i="5"/>
  <c r="K281" i="5"/>
  <c r="J281" i="5"/>
  <c r="I281" i="5"/>
  <c r="N280" i="5"/>
  <c r="M280" i="5"/>
  <c r="L280" i="5"/>
  <c r="K280" i="5"/>
  <c r="J280" i="5"/>
  <c r="I280" i="5"/>
  <c r="N279" i="5"/>
  <c r="M279" i="5"/>
  <c r="L279" i="5"/>
  <c r="K279" i="5"/>
  <c r="J279" i="5"/>
  <c r="I279" i="5"/>
  <c r="N278" i="5"/>
  <c r="M278" i="5"/>
  <c r="L278" i="5"/>
  <c r="K278" i="5"/>
  <c r="J278" i="5"/>
  <c r="I278" i="5"/>
  <c r="N277" i="5"/>
  <c r="M277" i="5"/>
  <c r="L277" i="5"/>
  <c r="K277" i="5"/>
  <c r="J277" i="5"/>
  <c r="I277" i="5"/>
  <c r="N276" i="5"/>
  <c r="M276" i="5"/>
  <c r="L276" i="5"/>
  <c r="K276" i="5"/>
  <c r="J276" i="5"/>
  <c r="I276" i="5"/>
  <c r="N275" i="5"/>
  <c r="M275" i="5"/>
  <c r="L275" i="5"/>
  <c r="K275" i="5"/>
  <c r="J275" i="5"/>
  <c r="I275" i="5"/>
  <c r="N274" i="5"/>
  <c r="M274" i="5"/>
  <c r="L274" i="5"/>
  <c r="K274" i="5"/>
  <c r="J274" i="5"/>
  <c r="I274" i="5"/>
  <c r="N273" i="5"/>
  <c r="M273" i="5"/>
  <c r="L273" i="5"/>
  <c r="K273" i="5"/>
  <c r="J273" i="5"/>
  <c r="I273" i="5"/>
  <c r="N272" i="5"/>
  <c r="M272" i="5"/>
  <c r="L272" i="5"/>
  <c r="K272" i="5"/>
  <c r="J272" i="5"/>
  <c r="I272" i="5"/>
  <c r="N271" i="5"/>
  <c r="M271" i="5"/>
  <c r="L271" i="5"/>
  <c r="K271" i="5"/>
  <c r="J271" i="5"/>
  <c r="I271" i="5"/>
  <c r="N270" i="5"/>
  <c r="M270" i="5"/>
  <c r="L270" i="5"/>
  <c r="K270" i="5"/>
  <c r="J270" i="5"/>
  <c r="I270" i="5"/>
  <c r="N269" i="5"/>
  <c r="M269" i="5"/>
  <c r="L269" i="5"/>
  <c r="K269" i="5"/>
  <c r="J269" i="5"/>
  <c r="I269" i="5"/>
  <c r="N268" i="5"/>
  <c r="M268" i="5"/>
  <c r="L268" i="5"/>
  <c r="K268" i="5"/>
  <c r="J268" i="5"/>
  <c r="I268" i="5"/>
  <c r="N267" i="5"/>
  <c r="M267" i="5"/>
  <c r="L267" i="5"/>
  <c r="K267" i="5"/>
  <c r="J267" i="5"/>
  <c r="I267" i="5"/>
  <c r="N266" i="5"/>
  <c r="M266" i="5"/>
  <c r="L266" i="5"/>
  <c r="K266" i="5"/>
  <c r="J266" i="5"/>
  <c r="I266" i="5"/>
  <c r="N265" i="5"/>
  <c r="M265" i="5"/>
  <c r="L265" i="5"/>
  <c r="K265" i="5"/>
  <c r="J265" i="5"/>
  <c r="I265" i="5"/>
  <c r="N264" i="5"/>
  <c r="M264" i="5"/>
  <c r="L264" i="5"/>
  <c r="K264" i="5"/>
  <c r="J264" i="5"/>
  <c r="I264" i="5"/>
  <c r="N263" i="5"/>
  <c r="M263" i="5"/>
  <c r="L263" i="5"/>
  <c r="K263" i="5"/>
  <c r="J263" i="5"/>
  <c r="I263" i="5"/>
  <c r="N262" i="5"/>
  <c r="M262" i="5"/>
  <c r="L262" i="5"/>
  <c r="K262" i="5"/>
  <c r="J262" i="5"/>
  <c r="I262" i="5"/>
  <c r="N261" i="5"/>
  <c r="M261" i="5"/>
  <c r="L261" i="5"/>
  <c r="K261" i="5"/>
  <c r="J261" i="5"/>
  <c r="I261" i="5"/>
  <c r="N260" i="5"/>
  <c r="M260" i="5"/>
  <c r="L260" i="5"/>
  <c r="K260" i="5"/>
  <c r="J260" i="5"/>
  <c r="I260" i="5"/>
  <c r="N259" i="5"/>
  <c r="M259" i="5"/>
  <c r="L259" i="5"/>
  <c r="K259" i="5"/>
  <c r="J259" i="5"/>
  <c r="I259" i="5"/>
  <c r="N258" i="5"/>
  <c r="M258" i="5"/>
  <c r="L258" i="5"/>
  <c r="K258" i="5"/>
  <c r="J258" i="5"/>
  <c r="I258" i="5"/>
  <c r="N257" i="5"/>
  <c r="M257" i="5"/>
  <c r="L257" i="5"/>
  <c r="K257" i="5"/>
  <c r="J257" i="5"/>
  <c r="I257" i="5"/>
  <c r="N256" i="5"/>
  <c r="M256" i="5"/>
  <c r="L256" i="5"/>
  <c r="K256" i="5"/>
  <c r="J256" i="5"/>
  <c r="I256" i="5"/>
  <c r="N255" i="5"/>
  <c r="M255" i="5"/>
  <c r="L255" i="5"/>
  <c r="K255" i="5"/>
  <c r="J255" i="5"/>
  <c r="I255" i="5"/>
  <c r="N254" i="5"/>
  <c r="M254" i="5"/>
  <c r="L254" i="5"/>
  <c r="K254" i="5"/>
  <c r="J254" i="5"/>
  <c r="I254" i="5"/>
  <c r="N253" i="5"/>
  <c r="M253" i="5"/>
  <c r="L253" i="5"/>
  <c r="K253" i="5"/>
  <c r="J253" i="5"/>
  <c r="I253" i="5"/>
  <c r="N252" i="5"/>
  <c r="M252" i="5"/>
  <c r="L252" i="5"/>
  <c r="K252" i="5"/>
  <c r="J252" i="5"/>
  <c r="I252" i="5"/>
  <c r="N251" i="5"/>
  <c r="M251" i="5"/>
  <c r="L251" i="5"/>
  <c r="K251" i="5"/>
  <c r="J251" i="5"/>
  <c r="I251" i="5"/>
  <c r="N250" i="5"/>
  <c r="M250" i="5"/>
  <c r="L250" i="5"/>
  <c r="K250" i="5"/>
  <c r="J250" i="5"/>
  <c r="I250" i="5"/>
  <c r="N249" i="5"/>
  <c r="M249" i="5"/>
  <c r="L249" i="5"/>
  <c r="K249" i="5"/>
  <c r="J249" i="5"/>
  <c r="I249" i="5"/>
  <c r="N248" i="5"/>
  <c r="M248" i="5"/>
  <c r="L248" i="5"/>
  <c r="K248" i="5"/>
  <c r="J248" i="5"/>
  <c r="I248" i="5"/>
  <c r="N247" i="5"/>
  <c r="M247" i="5"/>
  <c r="L247" i="5"/>
  <c r="K247" i="5"/>
  <c r="J247" i="5"/>
  <c r="I247" i="5"/>
  <c r="N246" i="5"/>
  <c r="M246" i="5"/>
  <c r="L246" i="5"/>
  <c r="K246" i="5"/>
  <c r="J246" i="5"/>
  <c r="I246" i="5"/>
  <c r="N245" i="5"/>
  <c r="M245" i="5"/>
  <c r="L245" i="5"/>
  <c r="K245" i="5"/>
  <c r="J245" i="5"/>
  <c r="I245" i="5"/>
  <c r="N244" i="5"/>
  <c r="M244" i="5"/>
  <c r="L244" i="5"/>
  <c r="K244" i="5"/>
  <c r="J244" i="5"/>
  <c r="I244" i="5"/>
  <c r="N243" i="5"/>
  <c r="M243" i="5"/>
  <c r="L243" i="5"/>
  <c r="K243" i="5"/>
  <c r="J243" i="5"/>
  <c r="I243" i="5"/>
  <c r="N242" i="5"/>
  <c r="M242" i="5"/>
  <c r="L242" i="5"/>
  <c r="K242" i="5"/>
  <c r="J242" i="5"/>
  <c r="I242" i="5"/>
  <c r="N241" i="5"/>
  <c r="M241" i="5"/>
  <c r="L241" i="5"/>
  <c r="K241" i="5"/>
  <c r="J241" i="5"/>
  <c r="I241" i="5"/>
  <c r="N240" i="5"/>
  <c r="M240" i="5"/>
  <c r="L240" i="5"/>
  <c r="K240" i="5"/>
  <c r="J240" i="5"/>
  <c r="I240" i="5"/>
  <c r="N239" i="5"/>
  <c r="M239" i="5"/>
  <c r="L239" i="5"/>
  <c r="K239" i="5"/>
  <c r="J239" i="5"/>
  <c r="I239" i="5"/>
  <c r="N238" i="5"/>
  <c r="M238" i="5"/>
  <c r="L238" i="5"/>
  <c r="K238" i="5"/>
  <c r="J238" i="5"/>
  <c r="I238" i="5"/>
  <c r="N237" i="5"/>
  <c r="M237" i="5"/>
  <c r="L237" i="5"/>
  <c r="K237" i="5"/>
  <c r="J237" i="5"/>
  <c r="I237" i="5"/>
  <c r="N236" i="5"/>
  <c r="M236" i="5"/>
  <c r="L236" i="5"/>
  <c r="K236" i="5"/>
  <c r="J236" i="5"/>
  <c r="I236" i="5"/>
  <c r="N235" i="5"/>
  <c r="M235" i="5"/>
  <c r="L235" i="5"/>
  <c r="K235" i="5"/>
  <c r="J235" i="5"/>
  <c r="I235" i="5"/>
  <c r="N234" i="5"/>
  <c r="M234" i="5"/>
  <c r="L234" i="5"/>
  <c r="K234" i="5"/>
  <c r="J234" i="5"/>
  <c r="I234" i="5"/>
  <c r="N233" i="5"/>
  <c r="M233" i="5"/>
  <c r="L233" i="5"/>
  <c r="K233" i="5"/>
  <c r="J233" i="5"/>
  <c r="I233" i="5"/>
  <c r="N232" i="5"/>
  <c r="M232" i="5"/>
  <c r="L232" i="5"/>
  <c r="K232" i="5"/>
  <c r="J232" i="5"/>
  <c r="I232" i="5"/>
  <c r="N231" i="5"/>
  <c r="M231" i="5"/>
  <c r="L231" i="5"/>
  <c r="K231" i="5"/>
  <c r="J231" i="5"/>
  <c r="I231" i="5"/>
  <c r="N230" i="5"/>
  <c r="M230" i="5"/>
  <c r="L230" i="5"/>
  <c r="K230" i="5"/>
  <c r="J230" i="5"/>
  <c r="I230" i="5"/>
  <c r="N229" i="5"/>
  <c r="M229" i="5"/>
  <c r="L229" i="5"/>
  <c r="K229" i="5"/>
  <c r="J229" i="5"/>
  <c r="I229" i="5"/>
  <c r="N228" i="5"/>
  <c r="M228" i="5"/>
  <c r="L228" i="5"/>
  <c r="K228" i="5"/>
  <c r="J228" i="5"/>
  <c r="I228" i="5"/>
  <c r="N227" i="5"/>
  <c r="M227" i="5"/>
  <c r="L227" i="5"/>
  <c r="K227" i="5"/>
  <c r="J227" i="5"/>
  <c r="I227" i="5"/>
  <c r="N226" i="5"/>
  <c r="M226" i="5"/>
  <c r="L226" i="5"/>
  <c r="K226" i="5"/>
  <c r="J226" i="5"/>
  <c r="I226" i="5"/>
  <c r="N225" i="5"/>
  <c r="M225" i="5"/>
  <c r="L225" i="5"/>
  <c r="K225" i="5"/>
  <c r="J225" i="5"/>
  <c r="I225" i="5"/>
  <c r="N224" i="5"/>
  <c r="M224" i="5"/>
  <c r="L224" i="5"/>
  <c r="K224" i="5"/>
  <c r="J224" i="5"/>
  <c r="I224" i="5"/>
  <c r="N223" i="5"/>
  <c r="M223" i="5"/>
  <c r="L223" i="5"/>
  <c r="K223" i="5"/>
  <c r="J223" i="5"/>
  <c r="I223" i="5"/>
  <c r="N222" i="5"/>
  <c r="M222" i="5"/>
  <c r="L222" i="5"/>
  <c r="K222" i="5"/>
  <c r="J222" i="5"/>
  <c r="I222" i="5"/>
  <c r="N221" i="5"/>
  <c r="M221" i="5"/>
  <c r="L221" i="5"/>
  <c r="K221" i="5"/>
  <c r="J221" i="5"/>
  <c r="I221" i="5"/>
  <c r="N220" i="5"/>
  <c r="M220" i="5"/>
  <c r="L220" i="5"/>
  <c r="K220" i="5"/>
  <c r="J220" i="5"/>
  <c r="I220" i="5"/>
  <c r="N219" i="5"/>
  <c r="M219" i="5"/>
  <c r="L219" i="5"/>
  <c r="K219" i="5"/>
  <c r="J219" i="5"/>
  <c r="I219" i="5"/>
  <c r="N218" i="5"/>
  <c r="M218" i="5"/>
  <c r="L218" i="5"/>
  <c r="K218" i="5"/>
  <c r="J218" i="5"/>
  <c r="I218" i="5"/>
  <c r="N217" i="5"/>
  <c r="M217" i="5"/>
  <c r="L217" i="5"/>
  <c r="K217" i="5"/>
  <c r="J217" i="5"/>
  <c r="I217" i="5"/>
  <c r="N216" i="5"/>
  <c r="M216" i="5"/>
  <c r="L216" i="5"/>
  <c r="K216" i="5"/>
  <c r="J216" i="5"/>
  <c r="I216" i="5"/>
  <c r="N215" i="5"/>
  <c r="M215" i="5"/>
  <c r="L215" i="5"/>
  <c r="K215" i="5"/>
  <c r="J215" i="5"/>
  <c r="I215" i="5"/>
  <c r="N214" i="5"/>
  <c r="M214" i="5"/>
  <c r="L214" i="5"/>
  <c r="K214" i="5"/>
  <c r="J214" i="5"/>
  <c r="I214" i="5"/>
  <c r="N213" i="5"/>
  <c r="M213" i="5"/>
  <c r="L213" i="5"/>
  <c r="K213" i="5"/>
  <c r="J213" i="5"/>
  <c r="I213" i="5"/>
  <c r="N212" i="5"/>
  <c r="M212" i="5"/>
  <c r="L212" i="5"/>
  <c r="K212" i="5"/>
  <c r="J212" i="5"/>
  <c r="I212" i="5"/>
  <c r="N211" i="5"/>
  <c r="M211" i="5"/>
  <c r="L211" i="5"/>
  <c r="K211" i="5"/>
  <c r="J211" i="5"/>
  <c r="I211" i="5"/>
  <c r="N210" i="5"/>
  <c r="M210" i="5"/>
  <c r="L210" i="5"/>
  <c r="K210" i="5"/>
  <c r="J210" i="5"/>
  <c r="I210" i="5"/>
  <c r="N209" i="5"/>
  <c r="M209" i="5"/>
  <c r="L209" i="5"/>
  <c r="K209" i="5"/>
  <c r="J209" i="5"/>
  <c r="I209" i="5"/>
  <c r="N208" i="5"/>
  <c r="M208" i="5"/>
  <c r="L208" i="5"/>
  <c r="K208" i="5"/>
  <c r="J208" i="5"/>
  <c r="I208" i="5"/>
  <c r="N207" i="5"/>
  <c r="M207" i="5"/>
  <c r="L207" i="5"/>
  <c r="K207" i="5"/>
  <c r="J207" i="5"/>
  <c r="I207" i="5"/>
  <c r="N206" i="5"/>
  <c r="M206" i="5"/>
  <c r="L206" i="5"/>
  <c r="K206" i="5"/>
  <c r="J206" i="5"/>
  <c r="I206" i="5"/>
  <c r="N205" i="5"/>
  <c r="M205" i="5"/>
  <c r="L205" i="5"/>
  <c r="K205" i="5"/>
  <c r="J205" i="5"/>
  <c r="I205" i="5"/>
  <c r="N204" i="5"/>
  <c r="M204" i="5"/>
  <c r="L204" i="5"/>
  <c r="K204" i="5"/>
  <c r="J204" i="5"/>
  <c r="I204" i="5"/>
  <c r="N203" i="5"/>
  <c r="M203" i="5"/>
  <c r="L203" i="5"/>
  <c r="K203" i="5"/>
  <c r="J203" i="5"/>
  <c r="I203" i="5"/>
  <c r="N202" i="5"/>
  <c r="M202" i="5"/>
  <c r="L202" i="5"/>
  <c r="K202" i="5"/>
  <c r="J202" i="5"/>
  <c r="I202" i="5"/>
  <c r="N201" i="5"/>
  <c r="M201" i="5"/>
  <c r="L201" i="5"/>
  <c r="K201" i="5"/>
  <c r="J201" i="5"/>
  <c r="I201" i="5"/>
  <c r="N200" i="5"/>
  <c r="M200" i="5"/>
  <c r="L200" i="5"/>
  <c r="K200" i="5"/>
  <c r="J200" i="5"/>
  <c r="I200" i="5"/>
  <c r="N199" i="5"/>
  <c r="M199" i="5"/>
  <c r="L199" i="5"/>
  <c r="K199" i="5"/>
  <c r="J199" i="5"/>
  <c r="I199" i="5"/>
  <c r="N198" i="5"/>
  <c r="M198" i="5"/>
  <c r="L198" i="5"/>
  <c r="K198" i="5"/>
  <c r="J198" i="5"/>
  <c r="I198" i="5"/>
  <c r="N197" i="5"/>
  <c r="M197" i="5"/>
  <c r="L197" i="5"/>
  <c r="K197" i="5"/>
  <c r="J197" i="5"/>
  <c r="I197" i="5"/>
  <c r="N196" i="5"/>
  <c r="M196" i="5"/>
  <c r="L196" i="5"/>
  <c r="K196" i="5"/>
  <c r="J196" i="5"/>
  <c r="I196" i="5"/>
  <c r="N195" i="5"/>
  <c r="M195" i="5"/>
  <c r="L195" i="5"/>
  <c r="K195" i="5"/>
  <c r="J195" i="5"/>
  <c r="I195" i="5"/>
  <c r="N194" i="5"/>
  <c r="M194" i="5"/>
  <c r="L194" i="5"/>
  <c r="K194" i="5"/>
  <c r="J194" i="5"/>
  <c r="I194" i="5"/>
  <c r="N193" i="5"/>
  <c r="M193" i="5"/>
  <c r="L193" i="5"/>
  <c r="K193" i="5"/>
  <c r="J193" i="5"/>
  <c r="I193" i="5"/>
  <c r="N192" i="5"/>
  <c r="M192" i="5"/>
  <c r="L192" i="5"/>
  <c r="K192" i="5"/>
  <c r="J192" i="5"/>
  <c r="I192" i="5"/>
  <c r="N191" i="5"/>
  <c r="M191" i="5"/>
  <c r="L191" i="5"/>
  <c r="K191" i="5"/>
  <c r="J191" i="5"/>
  <c r="I191" i="5"/>
  <c r="N190" i="5"/>
  <c r="M190" i="5"/>
  <c r="L190" i="5"/>
  <c r="K190" i="5"/>
  <c r="J190" i="5"/>
  <c r="I190" i="5"/>
  <c r="N189" i="5"/>
  <c r="M189" i="5"/>
  <c r="L189" i="5"/>
  <c r="K189" i="5"/>
  <c r="J189" i="5"/>
  <c r="I189" i="5"/>
  <c r="N188" i="5"/>
  <c r="M188" i="5"/>
  <c r="L188" i="5"/>
  <c r="K188" i="5"/>
  <c r="J188" i="5"/>
  <c r="I188" i="5"/>
  <c r="N187" i="5"/>
  <c r="M187" i="5"/>
  <c r="L187" i="5"/>
  <c r="K187" i="5"/>
  <c r="J187" i="5"/>
  <c r="I187" i="5"/>
  <c r="N186" i="5"/>
  <c r="M186" i="5"/>
  <c r="L186" i="5"/>
  <c r="K186" i="5"/>
  <c r="J186" i="5"/>
  <c r="I186" i="5"/>
  <c r="N185" i="5"/>
  <c r="M185" i="5"/>
  <c r="L185" i="5"/>
  <c r="K185" i="5"/>
  <c r="J185" i="5"/>
  <c r="I185" i="5"/>
  <c r="N184" i="5"/>
  <c r="M184" i="5"/>
  <c r="L184" i="5"/>
  <c r="K184" i="5"/>
  <c r="J184" i="5"/>
  <c r="I184" i="5"/>
  <c r="N183" i="5"/>
  <c r="M183" i="5"/>
  <c r="L183" i="5"/>
  <c r="K183" i="5"/>
  <c r="J183" i="5"/>
  <c r="I183" i="5"/>
  <c r="N182" i="5"/>
  <c r="M182" i="5"/>
  <c r="L182" i="5"/>
  <c r="K182" i="5"/>
  <c r="J182" i="5"/>
  <c r="I182" i="5"/>
  <c r="N181" i="5"/>
  <c r="M181" i="5"/>
  <c r="L181" i="5"/>
  <c r="K181" i="5"/>
  <c r="J181" i="5"/>
  <c r="I181" i="5"/>
  <c r="N180" i="5"/>
  <c r="M180" i="5"/>
  <c r="L180" i="5"/>
  <c r="K180" i="5"/>
  <c r="J180" i="5"/>
  <c r="I180" i="5"/>
  <c r="N179" i="5"/>
  <c r="M179" i="5"/>
  <c r="L179" i="5"/>
  <c r="K179" i="5"/>
  <c r="J179" i="5"/>
  <c r="I179" i="5"/>
  <c r="N178" i="5"/>
  <c r="M178" i="5"/>
  <c r="L178" i="5"/>
  <c r="K178" i="5"/>
  <c r="J178" i="5"/>
  <c r="I178" i="5"/>
  <c r="N177" i="5"/>
  <c r="M177" i="5"/>
  <c r="L177" i="5"/>
  <c r="K177" i="5"/>
  <c r="J177" i="5"/>
  <c r="I177" i="5"/>
  <c r="N176" i="5"/>
  <c r="M176" i="5"/>
  <c r="L176" i="5"/>
  <c r="K176" i="5"/>
  <c r="J176" i="5"/>
  <c r="I176" i="5"/>
  <c r="N175" i="5"/>
  <c r="M175" i="5"/>
  <c r="L175" i="5"/>
  <c r="K175" i="5"/>
  <c r="J175" i="5"/>
  <c r="I175" i="5"/>
  <c r="N174" i="5"/>
  <c r="M174" i="5"/>
  <c r="L174" i="5"/>
  <c r="K174" i="5"/>
  <c r="J174" i="5"/>
  <c r="I174" i="5"/>
  <c r="N173" i="5"/>
  <c r="M173" i="5"/>
  <c r="L173" i="5"/>
  <c r="K173" i="5"/>
  <c r="J173" i="5"/>
  <c r="I173" i="5"/>
  <c r="N172" i="5"/>
  <c r="M172" i="5"/>
  <c r="L172" i="5"/>
  <c r="K172" i="5"/>
  <c r="J172" i="5"/>
  <c r="I172" i="5"/>
  <c r="N171" i="5"/>
  <c r="M171" i="5"/>
  <c r="L171" i="5"/>
  <c r="K171" i="5"/>
  <c r="J171" i="5"/>
  <c r="I171" i="5"/>
  <c r="N170" i="5"/>
  <c r="M170" i="5"/>
  <c r="L170" i="5"/>
  <c r="K170" i="5"/>
  <c r="J170" i="5"/>
  <c r="I170" i="5"/>
  <c r="N169" i="5"/>
  <c r="M169" i="5"/>
  <c r="L169" i="5"/>
  <c r="K169" i="5"/>
  <c r="J169" i="5"/>
  <c r="I169" i="5"/>
  <c r="N168" i="5"/>
  <c r="M168" i="5"/>
  <c r="L168" i="5"/>
  <c r="K168" i="5"/>
  <c r="J168" i="5"/>
  <c r="I168" i="5"/>
  <c r="N167" i="5"/>
  <c r="M167" i="5"/>
  <c r="L167" i="5"/>
  <c r="K167" i="5"/>
  <c r="J167" i="5"/>
  <c r="I167" i="5"/>
  <c r="N166" i="5"/>
  <c r="M166" i="5"/>
  <c r="L166" i="5"/>
  <c r="K166" i="5"/>
  <c r="J166" i="5"/>
  <c r="I166" i="5"/>
  <c r="N165" i="5"/>
  <c r="M165" i="5"/>
  <c r="L165" i="5"/>
  <c r="K165" i="5"/>
  <c r="J165" i="5"/>
  <c r="I165" i="5"/>
  <c r="N164" i="5"/>
  <c r="M164" i="5"/>
  <c r="L164" i="5"/>
  <c r="K164" i="5"/>
  <c r="J164" i="5"/>
  <c r="I164" i="5"/>
  <c r="N163" i="5"/>
  <c r="M163" i="5"/>
  <c r="L163" i="5"/>
  <c r="K163" i="5"/>
  <c r="J163" i="5"/>
  <c r="I163" i="5"/>
  <c r="N162" i="5"/>
  <c r="M162" i="5"/>
  <c r="L162" i="5"/>
  <c r="K162" i="5"/>
  <c r="J162" i="5"/>
  <c r="I162" i="5"/>
  <c r="N161" i="5"/>
  <c r="M161" i="5"/>
  <c r="L161" i="5"/>
  <c r="K161" i="5"/>
  <c r="J161" i="5"/>
  <c r="I161" i="5"/>
  <c r="N160" i="5"/>
  <c r="M160" i="5"/>
  <c r="L160" i="5"/>
  <c r="K160" i="5"/>
  <c r="J160" i="5"/>
  <c r="I160" i="5"/>
  <c r="N159" i="5"/>
  <c r="M159" i="5"/>
  <c r="L159" i="5"/>
  <c r="K159" i="5"/>
  <c r="J159" i="5"/>
  <c r="I159" i="5"/>
  <c r="N158" i="5"/>
  <c r="M158" i="5"/>
  <c r="L158" i="5"/>
  <c r="K158" i="5"/>
  <c r="J158" i="5"/>
  <c r="I158" i="5"/>
  <c r="N157" i="5"/>
  <c r="M157" i="5"/>
  <c r="L157" i="5"/>
  <c r="K157" i="5"/>
  <c r="J157" i="5"/>
  <c r="I157" i="5"/>
  <c r="N156" i="5"/>
  <c r="M156" i="5"/>
  <c r="L156" i="5"/>
  <c r="K156" i="5"/>
  <c r="J156" i="5"/>
  <c r="I156" i="5"/>
  <c r="N155" i="5"/>
  <c r="M155" i="5"/>
  <c r="L155" i="5"/>
  <c r="K155" i="5"/>
  <c r="J155" i="5"/>
  <c r="I155" i="5"/>
  <c r="N154" i="5"/>
  <c r="M154" i="5"/>
  <c r="L154" i="5"/>
  <c r="K154" i="5"/>
  <c r="J154" i="5"/>
  <c r="I154" i="5"/>
  <c r="N153" i="5"/>
  <c r="M153" i="5"/>
  <c r="L153" i="5"/>
  <c r="K153" i="5"/>
  <c r="J153" i="5"/>
  <c r="I153" i="5"/>
  <c r="N152" i="5"/>
  <c r="M152" i="5"/>
  <c r="L152" i="5"/>
  <c r="K152" i="5"/>
  <c r="J152" i="5"/>
  <c r="I152" i="5"/>
  <c r="N151" i="5"/>
  <c r="M151" i="5"/>
  <c r="L151" i="5"/>
  <c r="K151" i="5"/>
  <c r="J151" i="5"/>
  <c r="N150" i="5"/>
  <c r="M150" i="5"/>
  <c r="L150" i="5"/>
  <c r="K150" i="5"/>
  <c r="J150" i="5"/>
  <c r="I150" i="5"/>
  <c r="N149" i="5"/>
  <c r="M149" i="5"/>
  <c r="L149" i="5"/>
  <c r="K149" i="5"/>
  <c r="J149" i="5"/>
  <c r="I149" i="5"/>
  <c r="N148" i="5"/>
  <c r="M148" i="5"/>
  <c r="L148" i="5"/>
  <c r="K148" i="5"/>
  <c r="J148" i="5"/>
  <c r="I148" i="5"/>
  <c r="N147" i="5"/>
  <c r="M147" i="5"/>
  <c r="L147" i="5"/>
  <c r="K147" i="5"/>
  <c r="J147" i="5"/>
  <c r="I147" i="5"/>
  <c r="N146" i="5"/>
  <c r="M146" i="5"/>
  <c r="L146" i="5"/>
  <c r="K146" i="5"/>
  <c r="J146" i="5"/>
  <c r="I146" i="5"/>
  <c r="N145" i="5"/>
  <c r="M145" i="5"/>
  <c r="L145" i="5"/>
  <c r="K145" i="5"/>
  <c r="J145" i="5"/>
  <c r="I145" i="5"/>
  <c r="N144" i="5"/>
  <c r="M144" i="5"/>
  <c r="L144" i="5"/>
  <c r="K144" i="5"/>
  <c r="J144" i="5"/>
  <c r="I144" i="5"/>
  <c r="N143" i="5"/>
  <c r="M143" i="5"/>
  <c r="L143" i="5"/>
  <c r="K143" i="5"/>
  <c r="J143" i="5"/>
  <c r="I143" i="5"/>
  <c r="N142" i="5"/>
  <c r="M142" i="5"/>
  <c r="L142" i="5"/>
  <c r="K142" i="5"/>
  <c r="J142" i="5"/>
  <c r="I142" i="5"/>
  <c r="N141" i="5"/>
  <c r="M141" i="5"/>
  <c r="L141" i="5"/>
  <c r="K141" i="5"/>
  <c r="J141" i="5"/>
  <c r="I141" i="5"/>
  <c r="N140" i="5"/>
  <c r="M140" i="5"/>
  <c r="L140" i="5"/>
  <c r="K140" i="5"/>
  <c r="J140" i="5"/>
  <c r="I140" i="5"/>
  <c r="N139" i="5"/>
  <c r="M139" i="5"/>
  <c r="L139" i="5"/>
  <c r="K139" i="5"/>
  <c r="J139" i="5"/>
  <c r="I139" i="5"/>
  <c r="N138" i="5"/>
  <c r="M138" i="5"/>
  <c r="L138" i="5"/>
  <c r="K138" i="5"/>
  <c r="J138" i="5"/>
  <c r="I138" i="5"/>
  <c r="N137" i="5"/>
  <c r="M137" i="5"/>
  <c r="L137" i="5"/>
  <c r="K137" i="5"/>
  <c r="J137" i="5"/>
  <c r="I137" i="5"/>
  <c r="N136" i="5"/>
  <c r="M136" i="5"/>
  <c r="L136" i="5"/>
  <c r="K136" i="5"/>
  <c r="J136" i="5"/>
  <c r="I136" i="5"/>
  <c r="N135" i="5"/>
  <c r="M135" i="5"/>
  <c r="L135" i="5"/>
  <c r="K135" i="5"/>
  <c r="J135" i="5"/>
  <c r="I135" i="5"/>
  <c r="N134" i="5"/>
  <c r="M134" i="5"/>
  <c r="L134" i="5"/>
  <c r="K134" i="5"/>
  <c r="J134" i="5"/>
  <c r="I134" i="5"/>
  <c r="N133" i="5"/>
  <c r="M133" i="5"/>
  <c r="L133" i="5"/>
  <c r="K133" i="5"/>
  <c r="J133" i="5"/>
  <c r="I133" i="5"/>
  <c r="N132" i="5"/>
  <c r="M132" i="5"/>
  <c r="L132" i="5"/>
  <c r="K132" i="5"/>
  <c r="J132" i="5"/>
  <c r="I132" i="5"/>
  <c r="N131" i="5"/>
  <c r="M131" i="5"/>
  <c r="L131" i="5"/>
  <c r="K131" i="5"/>
  <c r="J131" i="5"/>
  <c r="I131" i="5"/>
  <c r="N130" i="5"/>
  <c r="M130" i="5"/>
  <c r="L130" i="5"/>
  <c r="K130" i="5"/>
  <c r="J130" i="5"/>
  <c r="I130" i="5"/>
  <c r="N129" i="5"/>
  <c r="M129" i="5"/>
  <c r="L129" i="5"/>
  <c r="K129" i="5"/>
  <c r="J129" i="5"/>
  <c r="I129" i="5"/>
  <c r="N128" i="5"/>
  <c r="M128" i="5"/>
  <c r="L128" i="5"/>
  <c r="K128" i="5"/>
  <c r="J128" i="5"/>
  <c r="I128" i="5"/>
  <c r="N127" i="5"/>
  <c r="M127" i="5"/>
  <c r="L127" i="5"/>
  <c r="K127" i="5"/>
  <c r="J127" i="5"/>
  <c r="I127" i="5"/>
  <c r="N126" i="5"/>
  <c r="M126" i="5"/>
  <c r="L126" i="5"/>
  <c r="K126" i="5"/>
  <c r="J126" i="5"/>
  <c r="I126" i="5"/>
  <c r="N125" i="5"/>
  <c r="M125" i="5"/>
  <c r="L125" i="5"/>
  <c r="K125" i="5"/>
  <c r="J125" i="5"/>
  <c r="I125" i="5"/>
  <c r="N124" i="5"/>
  <c r="M124" i="5"/>
  <c r="L124" i="5"/>
  <c r="K124" i="5"/>
  <c r="J124" i="5"/>
  <c r="I124" i="5"/>
  <c r="N123" i="5"/>
  <c r="M123" i="5"/>
  <c r="L123" i="5"/>
  <c r="K123" i="5"/>
  <c r="J123" i="5"/>
  <c r="I123" i="5"/>
  <c r="N122" i="5"/>
  <c r="M122" i="5"/>
  <c r="L122" i="5"/>
  <c r="K122" i="5"/>
  <c r="J122" i="5"/>
  <c r="I122" i="5"/>
  <c r="N121" i="5"/>
  <c r="M121" i="5"/>
  <c r="L121" i="5"/>
  <c r="K121" i="5"/>
  <c r="J121" i="5"/>
  <c r="I121" i="5"/>
  <c r="N120" i="5"/>
  <c r="M120" i="5"/>
  <c r="L120" i="5"/>
  <c r="K120" i="5"/>
  <c r="J120" i="5"/>
  <c r="I120" i="5"/>
  <c r="N119" i="5"/>
  <c r="M119" i="5"/>
  <c r="L119" i="5"/>
  <c r="K119" i="5"/>
  <c r="J119" i="5"/>
  <c r="I119" i="5"/>
  <c r="N118" i="5"/>
  <c r="M118" i="5"/>
  <c r="L118" i="5"/>
  <c r="K118" i="5"/>
  <c r="J118" i="5"/>
  <c r="I118" i="5"/>
  <c r="N117" i="5"/>
  <c r="M117" i="5"/>
  <c r="L117" i="5"/>
  <c r="K117" i="5"/>
  <c r="J117" i="5"/>
  <c r="I117" i="5"/>
  <c r="N116" i="5"/>
  <c r="M116" i="5"/>
  <c r="L116" i="5"/>
  <c r="K116" i="5"/>
  <c r="J116" i="5"/>
  <c r="I116" i="5"/>
  <c r="N115" i="5"/>
  <c r="M115" i="5"/>
  <c r="L115" i="5"/>
  <c r="K115" i="5"/>
  <c r="J115" i="5"/>
  <c r="I115" i="5"/>
  <c r="N114" i="5"/>
  <c r="M114" i="5"/>
  <c r="L114" i="5"/>
  <c r="K114" i="5"/>
  <c r="J114" i="5"/>
  <c r="I114" i="5"/>
  <c r="N113" i="5"/>
  <c r="M113" i="5"/>
  <c r="L113" i="5"/>
  <c r="K113" i="5"/>
  <c r="J113" i="5"/>
  <c r="I113" i="5"/>
  <c r="N112" i="5"/>
  <c r="M112" i="5"/>
  <c r="L112" i="5"/>
  <c r="K112" i="5"/>
  <c r="J112" i="5"/>
  <c r="I112" i="5"/>
  <c r="N111" i="5"/>
  <c r="M111" i="5"/>
  <c r="L111" i="5"/>
  <c r="K111" i="5"/>
  <c r="J111" i="5"/>
  <c r="I111" i="5"/>
  <c r="N110" i="5"/>
  <c r="M110" i="5"/>
  <c r="L110" i="5"/>
  <c r="K110" i="5"/>
  <c r="J110" i="5"/>
  <c r="I110" i="5"/>
  <c r="N109" i="5"/>
  <c r="M109" i="5"/>
  <c r="L109" i="5"/>
  <c r="K109" i="5"/>
  <c r="J109" i="5"/>
  <c r="I109" i="5"/>
  <c r="N108" i="5"/>
  <c r="M108" i="5"/>
  <c r="L108" i="5"/>
  <c r="K108" i="5"/>
  <c r="J108" i="5"/>
  <c r="I108" i="5"/>
  <c r="N107" i="5"/>
  <c r="M107" i="5"/>
  <c r="L107" i="5"/>
  <c r="K107" i="5"/>
  <c r="J107" i="5"/>
  <c r="I107" i="5"/>
  <c r="N106" i="5"/>
  <c r="M106" i="5"/>
  <c r="L106" i="5"/>
  <c r="K106" i="5"/>
  <c r="J106" i="5"/>
  <c r="I106" i="5"/>
  <c r="N105" i="5"/>
  <c r="M105" i="5"/>
  <c r="L105" i="5"/>
  <c r="K105" i="5"/>
  <c r="J105" i="5"/>
  <c r="I105" i="5"/>
  <c r="N104" i="5"/>
  <c r="M104" i="5"/>
  <c r="L104" i="5"/>
  <c r="K104" i="5"/>
  <c r="J104" i="5"/>
  <c r="I104" i="5"/>
  <c r="N103" i="5"/>
  <c r="M103" i="5"/>
  <c r="L103" i="5"/>
  <c r="K103" i="5"/>
  <c r="J103" i="5"/>
  <c r="I103" i="5"/>
  <c r="N102" i="5"/>
  <c r="M102" i="5"/>
  <c r="L102" i="5"/>
  <c r="K102" i="5"/>
  <c r="J102" i="5"/>
  <c r="I102" i="5"/>
  <c r="N101" i="5"/>
  <c r="M101" i="5"/>
  <c r="L101" i="5"/>
  <c r="K101" i="5"/>
  <c r="J101" i="5"/>
  <c r="I101" i="5"/>
  <c r="N100" i="5"/>
  <c r="M100" i="5"/>
  <c r="L100" i="5"/>
  <c r="K100" i="5"/>
  <c r="J100" i="5"/>
  <c r="I100" i="5"/>
  <c r="N99" i="5"/>
  <c r="M99" i="5"/>
  <c r="L99" i="5"/>
  <c r="K99" i="5"/>
  <c r="J99" i="5"/>
  <c r="I99" i="5"/>
  <c r="N98" i="5"/>
  <c r="M98" i="5"/>
  <c r="L98" i="5"/>
  <c r="K98" i="5"/>
  <c r="J98" i="5"/>
  <c r="I98" i="5"/>
  <c r="N97" i="5"/>
  <c r="M97" i="5"/>
  <c r="L97" i="5"/>
  <c r="K97" i="5"/>
  <c r="J97" i="5"/>
  <c r="I97" i="5"/>
  <c r="N96" i="5"/>
  <c r="M96" i="5"/>
  <c r="L96" i="5"/>
  <c r="K96" i="5"/>
  <c r="J96" i="5"/>
  <c r="I96" i="5"/>
  <c r="N95" i="5"/>
  <c r="M95" i="5"/>
  <c r="L95" i="5"/>
  <c r="K95" i="5"/>
  <c r="J95" i="5"/>
  <c r="I95" i="5"/>
  <c r="N94" i="5"/>
  <c r="M94" i="5"/>
  <c r="L94" i="5"/>
  <c r="K94" i="5"/>
  <c r="J94" i="5"/>
  <c r="I94" i="5"/>
  <c r="N93" i="5"/>
  <c r="M93" i="5"/>
  <c r="L93" i="5"/>
  <c r="K93" i="5"/>
  <c r="J93" i="5"/>
  <c r="I93" i="5"/>
  <c r="N92" i="5"/>
  <c r="M92" i="5"/>
  <c r="L92" i="5"/>
  <c r="K92" i="5"/>
  <c r="J92" i="5"/>
  <c r="I92" i="5"/>
  <c r="N91" i="5"/>
  <c r="M91" i="5"/>
  <c r="L91" i="5"/>
  <c r="K91" i="5"/>
  <c r="J91" i="5"/>
  <c r="I91" i="5"/>
  <c r="N90" i="5"/>
  <c r="M90" i="5"/>
  <c r="L90" i="5"/>
  <c r="K90" i="5"/>
  <c r="J90" i="5"/>
  <c r="I90" i="5"/>
  <c r="N89" i="5"/>
  <c r="M89" i="5"/>
  <c r="L89" i="5"/>
  <c r="K89" i="5"/>
  <c r="J89" i="5"/>
  <c r="I89" i="5"/>
  <c r="N88" i="5"/>
  <c r="M88" i="5"/>
  <c r="L88" i="5"/>
  <c r="K88" i="5"/>
  <c r="J88" i="5"/>
  <c r="I88" i="5"/>
  <c r="N87" i="5"/>
  <c r="M87" i="5"/>
  <c r="L87" i="5"/>
  <c r="K87" i="5"/>
  <c r="J87" i="5"/>
  <c r="I87" i="5"/>
  <c r="N86" i="5"/>
  <c r="M86" i="5"/>
  <c r="L86" i="5"/>
  <c r="K86" i="5"/>
  <c r="J86" i="5"/>
  <c r="I86" i="5"/>
  <c r="N85" i="5"/>
  <c r="M85" i="5"/>
  <c r="L85" i="5"/>
  <c r="K85" i="5"/>
  <c r="J85" i="5"/>
  <c r="I85" i="5"/>
  <c r="N84" i="5"/>
  <c r="M84" i="5"/>
  <c r="L84" i="5"/>
  <c r="K84" i="5"/>
  <c r="J84" i="5"/>
  <c r="I84" i="5"/>
  <c r="N83" i="5"/>
  <c r="M83" i="5"/>
  <c r="L83" i="5"/>
  <c r="K83" i="5"/>
  <c r="J83" i="5"/>
  <c r="I83" i="5"/>
  <c r="N82" i="5"/>
  <c r="M82" i="5"/>
  <c r="L82" i="5"/>
  <c r="K82" i="5"/>
  <c r="J82" i="5"/>
  <c r="I82" i="5"/>
  <c r="N81" i="5"/>
  <c r="M81" i="5"/>
  <c r="L81" i="5"/>
  <c r="K81" i="5"/>
  <c r="J81" i="5"/>
  <c r="I81" i="5"/>
  <c r="N80" i="5"/>
  <c r="M80" i="5"/>
  <c r="L80" i="5"/>
  <c r="K80" i="5"/>
  <c r="J80" i="5"/>
  <c r="I80" i="5"/>
  <c r="N79" i="5"/>
  <c r="M79" i="5"/>
  <c r="L79" i="5"/>
  <c r="K79" i="5"/>
  <c r="J79" i="5"/>
  <c r="I79" i="5"/>
  <c r="N78" i="5"/>
  <c r="M78" i="5"/>
  <c r="L78" i="5"/>
  <c r="K78" i="5"/>
  <c r="J78" i="5"/>
  <c r="I78" i="5"/>
  <c r="N77" i="5"/>
  <c r="M77" i="5"/>
  <c r="L77" i="5"/>
  <c r="K77" i="5"/>
  <c r="J77" i="5"/>
  <c r="I77" i="5"/>
  <c r="N76" i="5"/>
  <c r="M76" i="5"/>
  <c r="L76" i="5"/>
  <c r="K76" i="5"/>
  <c r="J76" i="5"/>
  <c r="I76" i="5"/>
  <c r="N75" i="5"/>
  <c r="M75" i="5"/>
  <c r="L75" i="5"/>
  <c r="K75" i="5"/>
  <c r="J75" i="5"/>
  <c r="I75" i="5"/>
  <c r="N74" i="5"/>
  <c r="M74" i="5"/>
  <c r="L74" i="5"/>
  <c r="K74" i="5"/>
  <c r="J74" i="5"/>
  <c r="I74" i="5"/>
  <c r="N73" i="5"/>
  <c r="M73" i="5"/>
  <c r="L73" i="5"/>
  <c r="K73" i="5"/>
  <c r="J73" i="5"/>
  <c r="I73" i="5"/>
  <c r="N72" i="5"/>
  <c r="M72" i="5"/>
  <c r="L72" i="5"/>
  <c r="K72" i="5"/>
  <c r="J72" i="5"/>
  <c r="I72" i="5"/>
  <c r="N71" i="5"/>
  <c r="M71" i="5"/>
  <c r="L71" i="5"/>
  <c r="K71" i="5"/>
  <c r="J71" i="5"/>
  <c r="I71" i="5"/>
  <c r="N70" i="5"/>
  <c r="M70" i="5"/>
  <c r="L70" i="5"/>
  <c r="K70" i="5"/>
  <c r="J70" i="5"/>
  <c r="I70" i="5"/>
  <c r="N69" i="5"/>
  <c r="M69" i="5"/>
  <c r="L69" i="5"/>
  <c r="K69" i="5"/>
  <c r="J69" i="5"/>
  <c r="I69" i="5"/>
  <c r="N68" i="5"/>
  <c r="M68" i="5"/>
  <c r="L68" i="5"/>
  <c r="K68" i="5"/>
  <c r="J68" i="5"/>
  <c r="I68" i="5"/>
  <c r="N67" i="5"/>
  <c r="M67" i="5"/>
  <c r="L67" i="5"/>
  <c r="K67" i="5"/>
  <c r="J67" i="5"/>
  <c r="I67" i="5"/>
  <c r="N66" i="5"/>
  <c r="M66" i="5"/>
  <c r="L66" i="5"/>
  <c r="K66" i="5"/>
  <c r="J66" i="5"/>
  <c r="I66" i="5"/>
  <c r="N65" i="5"/>
  <c r="M65" i="5"/>
  <c r="L65" i="5"/>
  <c r="K65" i="5"/>
  <c r="J65" i="5"/>
  <c r="I65" i="5"/>
  <c r="N64" i="5"/>
  <c r="M64" i="5"/>
  <c r="L64" i="5"/>
  <c r="K64" i="5"/>
  <c r="J64" i="5"/>
  <c r="I64" i="5"/>
  <c r="N63" i="5"/>
  <c r="M63" i="5"/>
  <c r="L63" i="5"/>
  <c r="K63" i="5"/>
  <c r="J63" i="5"/>
  <c r="I63" i="5"/>
  <c r="N62" i="5"/>
  <c r="M62" i="5"/>
  <c r="L62" i="5"/>
  <c r="K62" i="5"/>
  <c r="J62" i="5"/>
  <c r="I62" i="5"/>
  <c r="N61" i="5"/>
  <c r="M61" i="5"/>
  <c r="L61" i="5"/>
  <c r="K61" i="5"/>
  <c r="J61" i="5"/>
  <c r="I61" i="5"/>
  <c r="N60" i="5"/>
  <c r="M60" i="5"/>
  <c r="L60" i="5"/>
  <c r="K60" i="5"/>
  <c r="J60" i="5"/>
  <c r="I60" i="5"/>
  <c r="N59" i="5"/>
  <c r="M59" i="5"/>
  <c r="L59" i="5"/>
  <c r="K59" i="5"/>
  <c r="J59" i="5"/>
  <c r="I59" i="5"/>
  <c r="N58" i="5"/>
  <c r="M58" i="5"/>
  <c r="L58" i="5"/>
  <c r="K58" i="5"/>
  <c r="J58" i="5"/>
  <c r="I58" i="5"/>
  <c r="N57" i="5"/>
  <c r="M57" i="5"/>
  <c r="L57" i="5"/>
  <c r="K57" i="5"/>
  <c r="J57" i="5"/>
  <c r="I57" i="5"/>
  <c r="N56" i="5"/>
  <c r="M56" i="5"/>
  <c r="L56" i="5"/>
  <c r="K56" i="5"/>
  <c r="J56" i="5"/>
  <c r="I56" i="5"/>
  <c r="N55" i="5"/>
  <c r="M55" i="5"/>
  <c r="L55" i="5"/>
  <c r="K55" i="5"/>
  <c r="J55" i="5"/>
  <c r="I55" i="5"/>
  <c r="N54" i="5"/>
  <c r="M54" i="5"/>
  <c r="L54" i="5"/>
  <c r="K54" i="5"/>
  <c r="J54" i="5"/>
  <c r="I54" i="5"/>
  <c r="N53" i="5"/>
  <c r="M53" i="5"/>
  <c r="L53" i="5"/>
  <c r="K53" i="5"/>
  <c r="J53" i="5"/>
  <c r="I53" i="5"/>
  <c r="N52" i="5"/>
  <c r="M52" i="5"/>
  <c r="L52" i="5"/>
  <c r="K52" i="5"/>
  <c r="J52" i="5"/>
  <c r="I52" i="5"/>
  <c r="M51" i="5"/>
  <c r="K51" i="5"/>
  <c r="J51" i="5"/>
  <c r="I51" i="5"/>
  <c r="N50" i="5"/>
  <c r="M50" i="5"/>
  <c r="L50" i="5"/>
  <c r="K50" i="5"/>
  <c r="J50" i="5"/>
  <c r="I50" i="5"/>
  <c r="N49" i="5"/>
  <c r="M49" i="5"/>
  <c r="L49" i="5"/>
  <c r="K49" i="5"/>
  <c r="J49" i="5"/>
  <c r="I49" i="5"/>
  <c r="N48" i="5"/>
  <c r="M48" i="5"/>
  <c r="L48" i="5"/>
  <c r="K48" i="5"/>
  <c r="J48" i="5"/>
  <c r="I48" i="5"/>
  <c r="K47" i="5"/>
  <c r="J47" i="5"/>
  <c r="I47" i="5"/>
  <c r="K46" i="5"/>
  <c r="J46" i="5"/>
  <c r="I46" i="5"/>
  <c r="K45" i="5"/>
  <c r="J45" i="5"/>
  <c r="I45" i="5"/>
  <c r="K44" i="5"/>
  <c r="J44" i="5"/>
  <c r="I44" i="5"/>
  <c r="K43" i="5"/>
  <c r="J43" i="5"/>
  <c r="I43" i="5"/>
  <c r="K42" i="5"/>
  <c r="J42" i="5"/>
  <c r="I42" i="5"/>
  <c r="N41" i="5"/>
  <c r="M41" i="5"/>
  <c r="L41" i="5"/>
  <c r="K41" i="5"/>
  <c r="J41" i="5"/>
  <c r="I41" i="5"/>
  <c r="N40" i="5"/>
  <c r="M40" i="5"/>
  <c r="L40" i="5"/>
  <c r="K40" i="5"/>
  <c r="J40" i="5"/>
  <c r="I40" i="5"/>
  <c r="N39" i="5"/>
  <c r="M39" i="5"/>
  <c r="L39" i="5"/>
  <c r="K39" i="5"/>
  <c r="J39" i="5"/>
  <c r="I39" i="5"/>
  <c r="N38" i="5"/>
  <c r="M38" i="5"/>
  <c r="L38" i="5"/>
  <c r="K38" i="5"/>
  <c r="J38" i="5"/>
  <c r="I38" i="5"/>
  <c r="N37" i="5"/>
  <c r="M37" i="5"/>
  <c r="L37" i="5"/>
  <c r="K37" i="5"/>
  <c r="J37" i="5"/>
  <c r="I37" i="5"/>
  <c r="K36" i="5"/>
  <c r="J36" i="5"/>
  <c r="I36" i="5"/>
  <c r="K35" i="5"/>
  <c r="J35" i="5"/>
  <c r="I35" i="5"/>
  <c r="K34" i="5"/>
  <c r="J34" i="5"/>
  <c r="I34" i="5"/>
  <c r="K33" i="5"/>
  <c r="J33" i="5"/>
  <c r="I33" i="5"/>
  <c r="K32" i="5"/>
  <c r="J32" i="5"/>
  <c r="I32" i="5"/>
  <c r="N31" i="5"/>
  <c r="M31" i="5"/>
  <c r="L31" i="5"/>
  <c r="K31" i="5"/>
  <c r="J31" i="5"/>
  <c r="I31" i="5"/>
  <c r="N30" i="5"/>
  <c r="M30" i="5"/>
  <c r="L30" i="5"/>
  <c r="K30" i="5"/>
  <c r="J30" i="5"/>
  <c r="I30" i="5"/>
  <c r="N29" i="5"/>
  <c r="M29" i="5"/>
  <c r="L29" i="5"/>
  <c r="K29" i="5"/>
  <c r="J29" i="5"/>
  <c r="I29" i="5"/>
  <c r="N28" i="5"/>
  <c r="M28" i="5"/>
  <c r="L28" i="5"/>
  <c r="K28" i="5"/>
  <c r="J28" i="5"/>
  <c r="I28" i="5"/>
  <c r="N27" i="5"/>
  <c r="M27" i="5"/>
  <c r="L27" i="5"/>
  <c r="K27" i="5"/>
  <c r="J27" i="5"/>
  <c r="I27" i="5"/>
  <c r="N26" i="5"/>
  <c r="M26" i="5"/>
  <c r="L26" i="5"/>
  <c r="K26" i="5"/>
  <c r="J26" i="5"/>
  <c r="I26" i="5"/>
  <c r="K25" i="5"/>
  <c r="J25" i="5"/>
  <c r="I25" i="5"/>
  <c r="K24" i="5"/>
  <c r="J24" i="5"/>
  <c r="I24" i="5"/>
  <c r="K23" i="5"/>
  <c r="J23" i="5"/>
  <c r="I23" i="5"/>
  <c r="K22" i="5"/>
  <c r="J22" i="5"/>
  <c r="I22" i="5"/>
  <c r="N21" i="5"/>
  <c r="M21" i="5"/>
  <c r="L21" i="5"/>
  <c r="K21" i="5"/>
  <c r="J21" i="5"/>
  <c r="I21" i="5"/>
  <c r="N20" i="5"/>
  <c r="M20" i="5"/>
  <c r="L20" i="5"/>
  <c r="K20" i="5"/>
  <c r="J20" i="5"/>
  <c r="I20" i="5"/>
  <c r="N19" i="5"/>
  <c r="M19" i="5"/>
  <c r="L19" i="5"/>
  <c r="K19" i="5"/>
  <c r="J19" i="5"/>
  <c r="I19" i="5"/>
  <c r="N18" i="5"/>
  <c r="M18" i="5"/>
  <c r="L18" i="5"/>
  <c r="K18" i="5"/>
  <c r="J18" i="5"/>
  <c r="I18" i="5"/>
  <c r="N17" i="5"/>
  <c r="M17" i="5"/>
  <c r="L17" i="5"/>
  <c r="K17" i="5"/>
  <c r="J17" i="5"/>
  <c r="I17" i="5"/>
  <c r="N16" i="5"/>
  <c r="M16" i="5"/>
  <c r="L16" i="5"/>
  <c r="K16" i="5"/>
  <c r="J16" i="5"/>
  <c r="I16" i="5"/>
  <c r="N15" i="5"/>
  <c r="M15" i="5"/>
  <c r="L15" i="5"/>
  <c r="K15" i="5"/>
  <c r="J15" i="5"/>
  <c r="I15" i="5"/>
  <c r="N14" i="5"/>
  <c r="M14" i="5"/>
  <c r="L14" i="5"/>
  <c r="K14" i="5"/>
  <c r="J14" i="5"/>
  <c r="I14" i="5"/>
  <c r="N13" i="5"/>
  <c r="M13" i="5"/>
  <c r="L13" i="5"/>
  <c r="K13" i="5"/>
  <c r="J13" i="5"/>
  <c r="I13" i="5"/>
  <c r="N12" i="5"/>
  <c r="M12" i="5"/>
  <c r="L12" i="5"/>
  <c r="K12" i="5"/>
  <c r="J12" i="5"/>
  <c r="I12" i="5"/>
  <c r="N11" i="5"/>
  <c r="M11" i="5"/>
  <c r="L11" i="5"/>
  <c r="K11" i="5"/>
  <c r="J11" i="5"/>
  <c r="I11" i="5"/>
  <c r="N10" i="5"/>
  <c r="M10" i="5"/>
  <c r="L10" i="5"/>
  <c r="K10" i="5"/>
  <c r="J10" i="5"/>
  <c r="I10" i="5"/>
  <c r="N9" i="5"/>
  <c r="M9" i="5"/>
  <c r="L9" i="5"/>
  <c r="K9" i="5"/>
  <c r="J9" i="5"/>
  <c r="I9" i="5"/>
  <c r="N8" i="5"/>
  <c r="M8" i="5"/>
  <c r="L8" i="5"/>
  <c r="K8" i="5"/>
  <c r="J8" i="5"/>
  <c r="I8" i="5"/>
  <c r="N7" i="5"/>
  <c r="M7" i="5"/>
  <c r="L7" i="5"/>
  <c r="K7" i="5"/>
  <c r="J7" i="5"/>
  <c r="I7" i="5"/>
  <c r="N6" i="5"/>
  <c r="M6" i="5"/>
  <c r="L6" i="5"/>
  <c r="K6" i="5"/>
  <c r="J6" i="5"/>
  <c r="I6" i="5"/>
  <c r="N5" i="5"/>
  <c r="M5" i="5"/>
  <c r="L5" i="5"/>
  <c r="K5" i="5"/>
  <c r="J5" i="5"/>
  <c r="I5" i="5"/>
  <c r="N4" i="5"/>
  <c r="M4" i="5"/>
  <c r="L4" i="5"/>
  <c r="K4" i="5"/>
  <c r="J4" i="5"/>
  <c r="I4" i="5"/>
  <c r="N3" i="5"/>
  <c r="M3" i="5"/>
  <c r="L3" i="5"/>
  <c r="K3" i="5"/>
  <c r="J3" i="5"/>
  <c r="I3" i="5"/>
  <c r="N2" i="5"/>
  <c r="M2" i="5"/>
  <c r="L2" i="5"/>
  <c r="K2" i="5"/>
  <c r="J2" i="5"/>
  <c r="I2" i="5"/>
  <c r="B3" i="2"/>
  <c r="F13" i="11"/>
  <c r="F12" i="11"/>
  <c r="F11" i="11"/>
  <c r="F10" i="11"/>
  <c r="F9" i="11"/>
  <c r="F8" i="11"/>
  <c r="F7" i="11"/>
  <c r="F6" i="11"/>
  <c r="F5" i="11"/>
  <c r="F4" i="11"/>
  <c r="J3" i="11"/>
  <c r="M45" i="5" l="1"/>
  <c r="L47" i="5"/>
  <c r="L51" i="5"/>
  <c r="M47" i="5"/>
  <c r="G138" i="8"/>
  <c r="M44" i="5"/>
  <c r="L42" i="5"/>
  <c r="O42" i="5" s="1"/>
  <c r="G4" i="11" s="1"/>
  <c r="G124" i="8"/>
  <c r="G134" i="8"/>
  <c r="N51" i="5"/>
  <c r="N45" i="5"/>
  <c r="L45" i="5"/>
  <c r="L43" i="5"/>
  <c r="O43" i="5" s="1"/>
  <c r="G5" i="11" s="1"/>
  <c r="E6" i="12" s="1"/>
  <c r="L44" i="5"/>
  <c r="N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O7" i="5"/>
  <c r="H17" i="11" s="1"/>
  <c r="G132" i="8"/>
  <c r="G574" i="8"/>
  <c r="F880" i="8"/>
  <c r="G344" i="8"/>
  <c r="F364" i="8"/>
  <c r="F743" i="8"/>
  <c r="G664" i="8"/>
  <c r="F968" i="8"/>
  <c r="O13" i="5"/>
  <c r="F82" i="8"/>
  <c r="F282" i="8"/>
  <c r="F303" i="8"/>
  <c r="G601" i="8"/>
  <c r="F611" i="8"/>
  <c r="O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O30" i="5"/>
  <c r="G103" i="8"/>
  <c r="G640" i="8"/>
  <c r="F718" i="8"/>
  <c r="G973" i="8"/>
  <c r="F390" i="8"/>
  <c r="G921" i="8"/>
  <c r="F859" i="8"/>
  <c r="O26" i="5"/>
  <c r="O173" i="5"/>
  <c r="O245" i="5"/>
  <c r="O269" i="5"/>
  <c r="O273" i="5"/>
  <c r="O277" i="5"/>
  <c r="O281" i="5"/>
  <c r="O299" i="5"/>
  <c r="O305" i="5"/>
  <c r="O311" i="5"/>
  <c r="O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M36" i="5"/>
  <c r="F51" i="8"/>
  <c r="O29" i="5"/>
  <c r="O31" i="5"/>
  <c r="O22" i="5"/>
  <c r="O209" i="5"/>
  <c r="O347" i="5"/>
  <c r="F32" i="8"/>
  <c r="F158" i="8"/>
  <c r="F227" i="8"/>
  <c r="F319" i="8"/>
  <c r="G382" i="8"/>
  <c r="F439" i="8"/>
  <c r="G538" i="8"/>
  <c r="F719" i="8"/>
  <c r="G759" i="8"/>
  <c r="G897" i="8"/>
  <c r="N25" i="5"/>
  <c r="G87" i="8"/>
  <c r="F519" i="8"/>
  <c r="F550" i="8"/>
  <c r="F560" i="8"/>
  <c r="G636" i="8"/>
  <c r="G751" i="8"/>
  <c r="F782" i="8"/>
  <c r="G791" i="8"/>
  <c r="F834" i="8"/>
  <c r="O2" i="5"/>
  <c r="C17" i="11" s="1"/>
  <c r="O4" i="5"/>
  <c r="E17" i="11" s="1"/>
  <c r="O6" i="5"/>
  <c r="F879" i="8"/>
  <c r="G939" i="8"/>
  <c r="G961" i="8"/>
  <c r="G1028" i="8"/>
  <c r="O16" i="5"/>
  <c r="O18" i="5"/>
  <c r="F88" i="8"/>
  <c r="G219" i="8"/>
  <c r="G259" i="8"/>
  <c r="F280" i="8"/>
  <c r="F584" i="8"/>
  <c r="G659" i="8"/>
  <c r="G701" i="8"/>
  <c r="G929" i="8"/>
  <c r="O212" i="5"/>
  <c r="O216" i="5"/>
  <c r="O220" i="5"/>
  <c r="O222" i="5"/>
  <c r="O224" i="5"/>
  <c r="O234" i="5"/>
  <c r="O266" i="5"/>
  <c r="O278" i="5"/>
  <c r="O302" i="5"/>
  <c r="O308" i="5"/>
  <c r="O314" i="5"/>
  <c r="O316" i="5"/>
  <c r="O350" i="5"/>
  <c r="O354" i="5"/>
  <c r="O356" i="5"/>
  <c r="O358" i="5"/>
  <c r="G174" i="8"/>
  <c r="F183" i="8"/>
  <c r="F271" i="8"/>
  <c r="F754" i="8"/>
  <c r="G763" i="8"/>
  <c r="G838" i="8"/>
  <c r="O100" i="5"/>
  <c r="O162" i="5"/>
  <c r="O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M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O74" i="5"/>
  <c r="O76" i="5"/>
  <c r="O86" i="5"/>
  <c r="O88" i="5"/>
  <c r="O90" i="5"/>
  <c r="O94" i="5"/>
  <c r="O96" i="5"/>
  <c r="O128" i="5"/>
  <c r="O180" i="5"/>
  <c r="O198" i="5"/>
  <c r="O200" i="5"/>
  <c r="O202" i="5"/>
  <c r="O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O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L36" i="5"/>
  <c r="N32" i="5"/>
  <c r="G276" i="8"/>
  <c r="F276" i="8"/>
  <c r="F430" i="8"/>
  <c r="G622" i="8"/>
  <c r="F810" i="8"/>
  <c r="G810" i="8"/>
  <c r="F924" i="8"/>
  <c r="G924" i="8"/>
  <c r="F623" i="8"/>
  <c r="F688" i="8"/>
  <c r="G803" i="8"/>
  <c r="L25" i="5"/>
  <c r="O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O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O248" i="5"/>
  <c r="G731" i="8"/>
  <c r="O346" i="5"/>
  <c r="O75" i="5"/>
  <c r="O77" i="5"/>
  <c r="O79" i="5"/>
  <c r="O97" i="5"/>
  <c r="O113" i="5"/>
  <c r="O119" i="5"/>
  <c r="O121" i="5"/>
  <c r="O129" i="5"/>
  <c r="O139" i="5"/>
  <c r="O141" i="5"/>
  <c r="O145" i="5"/>
  <c r="O147" i="5"/>
  <c r="O153" i="5"/>
  <c r="O155" i="5"/>
  <c r="G102" i="8"/>
  <c r="G66" i="8"/>
  <c r="F1017" i="8"/>
  <c r="G1048" i="8"/>
  <c r="O262" i="5"/>
  <c r="G606" i="8"/>
  <c r="O69" i="5"/>
  <c r="O181" i="5"/>
  <c r="O203" i="5"/>
  <c r="F278" i="8"/>
  <c r="G310" i="8"/>
  <c r="F452" i="8"/>
  <c r="F592" i="8"/>
  <c r="G618" i="8"/>
  <c r="F684" i="8"/>
  <c r="G778" i="8"/>
  <c r="F866" i="8"/>
  <c r="G919" i="8"/>
  <c r="G92" i="8"/>
  <c r="M35" i="5"/>
  <c r="O289" i="5"/>
  <c r="O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C72" i="10" s="1"/>
  <c r="G619" i="8"/>
  <c r="G711" i="8"/>
  <c r="F807" i="8"/>
  <c r="F850" i="8"/>
  <c r="F938" i="8"/>
  <c r="G945" i="8"/>
  <c r="G955" i="8"/>
  <c r="F970" i="8"/>
  <c r="F941" i="8"/>
  <c r="F966" i="8"/>
  <c r="O241" i="5"/>
  <c r="F992" i="8"/>
  <c r="G1051" i="8"/>
  <c r="F1079" i="8"/>
  <c r="G597" i="8"/>
  <c r="O21" i="5"/>
  <c r="O46" i="5"/>
  <c r="G8" i="11" s="1"/>
  <c r="E9" i="12" s="1"/>
  <c r="O48" i="5"/>
  <c r="G10" i="11" s="1"/>
  <c r="E11" i="12" s="1"/>
  <c r="O52" i="5"/>
  <c r="O54" i="5"/>
  <c r="O58" i="5"/>
  <c r="O60" i="5"/>
  <c r="O64" i="5"/>
  <c r="O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O14" i="5"/>
  <c r="N35" i="5"/>
  <c r="O57" i="5"/>
  <c r="O61" i="5"/>
  <c r="O67" i="5"/>
  <c r="O148" i="5"/>
  <c r="O154" i="5"/>
  <c r="O172" i="5"/>
  <c r="O174" i="5"/>
  <c r="O178" i="5"/>
  <c r="O300" i="5"/>
  <c r="O306" i="5"/>
  <c r="O326" i="5"/>
  <c r="O330" i="5"/>
  <c r="O332" i="5"/>
  <c r="O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O81" i="5"/>
  <c r="O93" i="5"/>
  <c r="O182" i="5"/>
  <c r="O184" i="5"/>
  <c r="O196" i="5"/>
  <c r="O253" i="5"/>
  <c r="O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O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O55" i="5"/>
  <c r="O23" i="5"/>
  <c r="O255" i="5"/>
  <c r="F90" i="8"/>
  <c r="G194" i="8"/>
  <c r="F275" i="8"/>
  <c r="N34" i="5"/>
  <c r="O34" i="5" s="1"/>
  <c r="O38" i="5"/>
  <c r="O40" i="5"/>
  <c r="O117" i="5"/>
  <c r="O123" i="5"/>
  <c r="O131" i="5"/>
  <c r="O149" i="5"/>
  <c r="O157" i="5"/>
  <c r="O171" i="5"/>
  <c r="O179" i="5"/>
  <c r="O232" i="5"/>
  <c r="O242" i="5"/>
  <c r="O313" i="5"/>
  <c r="O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O122" i="5"/>
  <c r="F20" i="8"/>
  <c r="G20" i="8"/>
  <c r="O176" i="5"/>
  <c r="G179" i="8"/>
  <c r="F179" i="8"/>
  <c r="G324" i="8"/>
  <c r="F324" i="8"/>
  <c r="O91" i="5"/>
  <c r="O204" i="5"/>
  <c r="O17" i="5"/>
  <c r="O28" i="5"/>
  <c r="O62" i="5"/>
  <c r="O68" i="5"/>
  <c r="O238" i="5"/>
  <c r="O252" i="5"/>
  <c r="O260" i="5"/>
  <c r="O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O78" i="5"/>
  <c r="O98" i="5"/>
  <c r="O276" i="5"/>
  <c r="O292" i="5"/>
  <c r="O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O324" i="5"/>
  <c r="F819" i="8"/>
  <c r="G819" i="8"/>
  <c r="O49" i="5"/>
  <c r="G11" i="11" s="1"/>
  <c r="E12" i="12" s="1"/>
  <c r="O318" i="5"/>
  <c r="G46" i="8"/>
  <c r="F46" i="8"/>
  <c r="F460" i="8"/>
  <c r="G460" i="8"/>
  <c r="G144" i="8"/>
  <c r="F144" i="8"/>
  <c r="G204" i="8"/>
  <c r="F204" i="8"/>
  <c r="L35" i="5"/>
  <c r="O102" i="5"/>
  <c r="O106" i="5"/>
  <c r="O108" i="5"/>
  <c r="O112" i="5"/>
  <c r="O120" i="5"/>
  <c r="O189" i="5"/>
  <c r="O221" i="5"/>
  <c r="O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O132" i="5"/>
  <c r="O134" i="5"/>
  <c r="O138" i="5"/>
  <c r="O142" i="5"/>
  <c r="O152" i="5"/>
  <c r="O158" i="5"/>
  <c r="O160" i="5"/>
  <c r="O215" i="5"/>
  <c r="O217" i="5"/>
  <c r="O229" i="5"/>
  <c r="O231" i="5"/>
  <c r="O235" i="5"/>
  <c r="O237" i="5"/>
  <c r="O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O9" i="5"/>
  <c r="J17" i="11" s="1"/>
  <c r="O19" i="5"/>
  <c r="O82" i="5"/>
  <c r="O84" i="5"/>
  <c r="O257" i="5"/>
  <c r="O263" i="5"/>
  <c r="O265" i="5"/>
  <c r="O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O156" i="5"/>
  <c r="O213" i="5"/>
  <c r="O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O50" i="5"/>
  <c r="G12" i="11" s="1"/>
  <c r="E13" i="12" s="1"/>
  <c r="O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O110" i="5"/>
  <c r="O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N24" i="5"/>
  <c r="G70" i="8"/>
  <c r="O73" i="5"/>
  <c r="O304" i="5"/>
  <c r="G222" i="8"/>
  <c r="F222" i="8"/>
  <c r="G342" i="8"/>
  <c r="F342" i="8"/>
  <c r="O161" i="5"/>
  <c r="O208" i="5"/>
  <c r="O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O27" i="5"/>
  <c r="O116" i="5"/>
  <c r="O352" i="5"/>
  <c r="O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O5" i="5"/>
  <c r="F17" i="11" s="1"/>
  <c r="O177" i="5"/>
  <c r="O243" i="5"/>
  <c r="O280" i="5"/>
  <c r="O317" i="5"/>
  <c r="G22" i="8"/>
  <c r="F22" i="8"/>
  <c r="G42" i="8"/>
  <c r="F42" i="8"/>
  <c r="G367" i="8"/>
  <c r="F367" i="8"/>
  <c r="G798" i="8"/>
  <c r="F798" i="8"/>
  <c r="G68" i="8"/>
  <c r="L24" i="5"/>
  <c r="O11" i="5"/>
  <c r="L17" i="11" s="1"/>
  <c r="O15" i="5"/>
  <c r="O101" i="5"/>
  <c r="O103" i="5"/>
  <c r="O107" i="5"/>
  <c r="O111" i="5"/>
  <c r="O249" i="5"/>
  <c r="O251" i="5"/>
  <c r="O335" i="5"/>
  <c r="O337" i="5"/>
  <c r="O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O71" i="5"/>
  <c r="O126" i="5"/>
  <c r="O143" i="5"/>
  <c r="O166" i="5"/>
  <c r="O170" i="5"/>
  <c r="O187" i="5"/>
  <c r="O191" i="5"/>
  <c r="O193" i="5"/>
  <c r="O195" i="5"/>
  <c r="O210" i="5"/>
  <c r="O214" i="5"/>
  <c r="O261" i="5"/>
  <c r="O282" i="5"/>
  <c r="O286" i="5"/>
  <c r="O288" i="5"/>
  <c r="O312" i="5"/>
  <c r="O322" i="5"/>
  <c r="O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O124" i="5"/>
  <c r="O151" i="5"/>
  <c r="O164" i="5"/>
  <c r="O183" i="5"/>
  <c r="O199" i="5"/>
  <c r="O201" i="5"/>
  <c r="O227" i="5"/>
  <c r="O233" i="5"/>
  <c r="O250" i="5"/>
  <c r="O267" i="5"/>
  <c r="O297" i="5"/>
  <c r="O320" i="5"/>
  <c r="O349" i="5"/>
  <c r="O351" i="5"/>
  <c r="O355" i="5"/>
  <c r="O357" i="5"/>
  <c r="O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O10" i="5"/>
  <c r="K17" i="11" s="1"/>
  <c r="O12" i="5"/>
  <c r="O41" i="5"/>
  <c r="O56" i="5"/>
  <c r="O92" i="5"/>
  <c r="O109" i="5"/>
  <c r="O130" i="5"/>
  <c r="O140" i="5"/>
  <c r="O197" i="5"/>
  <c r="O207" i="5"/>
  <c r="O246" i="5"/>
  <c r="O258" i="5"/>
  <c r="O275" i="5"/>
  <c r="O279" i="5"/>
  <c r="O307" i="5"/>
  <c r="O309" i="5"/>
  <c r="O328" i="5"/>
  <c r="O353" i="5"/>
  <c r="O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O37" i="5"/>
  <c r="O83" i="5"/>
  <c r="O136" i="5"/>
  <c r="O159" i="5"/>
  <c r="O254" i="5"/>
  <c r="O256" i="5"/>
  <c r="O264" i="5"/>
  <c r="O315" i="5"/>
  <c r="O334" i="5"/>
  <c r="O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O87" i="5"/>
  <c r="O146" i="5"/>
  <c r="O228" i="5"/>
  <c r="O230" i="5"/>
  <c r="O298" i="5"/>
  <c r="O342" i="5"/>
  <c r="O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O3" i="5"/>
  <c r="D17" i="11" s="1"/>
  <c r="O53" i="5"/>
  <c r="O70" i="5"/>
  <c r="O72" i="5"/>
  <c r="O85" i="5"/>
  <c r="O89" i="5"/>
  <c r="O125" i="5"/>
  <c r="O127" i="5"/>
  <c r="O163" i="5"/>
  <c r="O165" i="5"/>
  <c r="O167" i="5"/>
  <c r="O186" i="5"/>
  <c r="O188" i="5"/>
  <c r="O192" i="5"/>
  <c r="O194" i="5"/>
  <c r="O226" i="5"/>
  <c r="O268" i="5"/>
  <c r="O270" i="5"/>
  <c r="O272" i="5"/>
  <c r="O287" i="5"/>
  <c r="O321" i="5"/>
  <c r="O323" i="5"/>
  <c r="O340" i="5"/>
  <c r="G104" i="8"/>
  <c r="G98" i="8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O20" i="5"/>
  <c r="O59" i="5"/>
  <c r="O95" i="5"/>
  <c r="O133" i="5"/>
  <c r="O150" i="5"/>
  <c r="O169" i="5"/>
  <c r="O190" i="5"/>
  <c r="O219" i="5"/>
  <c r="O236" i="5"/>
  <c r="O291" i="5"/>
  <c r="O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C39" i="10" s="1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J4" i="11"/>
  <c r="O63" i="5"/>
  <c r="O144" i="5"/>
  <c r="O205" i="5"/>
  <c r="O104" i="5"/>
  <c r="O8" i="5"/>
  <c r="O80" i="5"/>
  <c r="O99" i="5"/>
  <c r="O39" i="5"/>
  <c r="O118" i="5"/>
  <c r="O137" i="5"/>
  <c r="L32" i="5"/>
  <c r="O303" i="5"/>
  <c r="O247" i="5"/>
  <c r="O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O115" i="5"/>
  <c r="O223" i="5"/>
  <c r="O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O225" i="5"/>
  <c r="O244" i="5"/>
  <c r="F361" i="8"/>
  <c r="G361" i="8"/>
  <c r="F737" i="8"/>
  <c r="G737" i="8"/>
  <c r="G820" i="8"/>
  <c r="F820" i="8"/>
  <c r="F904" i="8"/>
  <c r="O211" i="5"/>
  <c r="O218" i="5"/>
  <c r="O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O185" i="5"/>
  <c r="O271" i="5"/>
  <c r="O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O329" i="5"/>
  <c r="G348" i="8"/>
  <c r="F348" i="8"/>
  <c r="F488" i="8"/>
  <c r="G556" i="8"/>
  <c r="F556" i="8"/>
  <c r="F645" i="8"/>
  <c r="G645" i="8"/>
  <c r="O259" i="5"/>
  <c r="O310" i="5"/>
  <c r="O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O175" i="5"/>
  <c r="O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27" i="10"/>
  <c r="C15" i="10"/>
  <c r="C96" i="10"/>
  <c r="C84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22" i="10" l="1"/>
  <c r="C89" i="10"/>
  <c r="C49" i="10"/>
  <c r="C2" i="10"/>
  <c r="C3" i="10"/>
  <c r="C78" i="10"/>
  <c r="C18" i="10"/>
  <c r="C8" i="10"/>
  <c r="O47" i="5"/>
  <c r="C55" i="10"/>
  <c r="C23" i="10"/>
  <c r="O51" i="5"/>
  <c r="L22" i="11" s="1"/>
  <c r="O45" i="5"/>
  <c r="G7" i="11" s="1"/>
  <c r="E8" i="12" s="1"/>
  <c r="O36" i="5"/>
  <c r="G21" i="11" s="1"/>
  <c r="O44" i="5"/>
  <c r="G6" i="11" s="1"/>
  <c r="E7" i="12" s="1"/>
  <c r="C10" i="10"/>
  <c r="C24" i="10"/>
  <c r="O32" i="5"/>
  <c r="C30" i="11" s="1"/>
  <c r="C25" i="10"/>
  <c r="C21" i="10"/>
  <c r="G18" i="11"/>
  <c r="O35" i="5"/>
  <c r="C13" i="10"/>
  <c r="H18" i="11"/>
  <c r="C19" i="11"/>
  <c r="C18" i="11"/>
  <c r="C6" i="10"/>
  <c r="O25" i="5"/>
  <c r="L18" i="11"/>
  <c r="J18" i="11"/>
  <c r="L20" i="11"/>
  <c r="L19" i="11"/>
  <c r="C20" i="10"/>
  <c r="H20" i="11"/>
  <c r="D29" i="6"/>
  <c r="D37" i="6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O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G26" i="11" l="1"/>
  <c r="H26" i="1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J5" i="11" l="1"/>
  <c r="D13" i="11"/>
  <c r="D14" i="12" s="1"/>
  <c r="A11" i="12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<sst xmlns="http://schemas.openxmlformats.org/spreadsheetml/2006/main" count="8289" uniqueCount="164">
  <si>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</si>
  <si>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</si>
  <si>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</si>
  <si>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</si>
  <si>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</si>
  <si>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</si>
  <si>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</si>
  <si>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</si>
  <si>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</si>
  <si>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</si>
  <si>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</si>
  <si>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</si>
  <si>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</si>
  <si>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</si>
  <si>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</si>
  <si>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</si>
  <si>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</si>
  <si>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</si>
  <si>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</si>
  <si>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</si>
  <si>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</si>
  <si>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</si>
  <si>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</si>
  <si>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</si>
  <si>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</si>
  <si>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</si>
  <si>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</si>
  <si>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</si>
  <si>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</si>
  <si>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</si>
  <si>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</si>
  <si>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</si>
  <si>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</si>
  <si>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</si>
  <si>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</si>
  <si>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</si>
  <si>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</si>
  <si>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</si>
  <si>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</si>
  <si>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</si>
  <si>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</si>
  <si>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</si>
  <si>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</si>
  <si>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</si>
  <si>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</si>
  <si>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</si>
  <si>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</si>
  <si>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</si>
  <si>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</si>
  <si>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</si>
  <si>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</si>
  <si>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</si>
  <si>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</si>
  <si>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</si>
  <si>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</si>
  <si>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</si>
  <si>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</si>
  <si>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</si>
  <si>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</si>
  <si>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</si>
  <si>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</si>
  <si>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</si>
  <si>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</si>
  <si>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</si>
  <si>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</si>
  <si>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</si>
  <si>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</si>
  <si>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</si>
  <si>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</si>
  <si>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</si>
  <si>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</si>
  <si>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</si>
  <si>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</si>
  <si>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</si>
  <si>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</si>
  <si>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</si>
  <si>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</si>
  <si>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</si>
  <si>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</si>
  <si>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</si>
  <si>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</si>
  <si>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</si>
  <si>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</si>
  <si>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</si>
  <si>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</si>
  <si>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</si>
  <si>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</si>
  <si>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</si>
  <si>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</si>
  <si>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</si>
  <si>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</si>
  <si>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</si>
  <si>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</si>
  <si>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</si>
  <si>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</si>
  <si>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</si>
  <si>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</si>
  <si>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</si>
  <si>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</si>
  <si>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</si>
  <si>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</si>
  <si>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</si>
  <si>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</si>
  <si>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</si>
  <si>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</si>
  <si>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</si>
  <si>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</si>
  <si>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</si>
  <si>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</si>
  <si>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</si>
  <si>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</si>
  <si>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</si>
  <si>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</si>
  <si>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</si>
  <si>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</si>
  <si>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</si>
  <si>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</si>
  <si>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</si>
  <si>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</si>
  <si>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</si>
  <si>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</si>
  <si>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</si>
  <si>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</si>
  <si>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</si>
  <si>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</si>
  <si>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</si>
  <si>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</si>
  <si>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</si>
  <si>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</si>
  <si>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</si>
  <si>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</si>
  <si>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</si>
  <si>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</si>
  <si>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</si>
  <si>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</si>
  <si>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</si>
  <si>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</si>
  <si>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</si>
  <si>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</si>
  <si>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</si>
  <si>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</si>
  <si>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</si>
  <si>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</si>
  <si>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</si>
  <si>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</si>
  <si>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</si>
  <si>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</si>
  <si>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</si>
  <si>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</si>
  <si>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</si>
  <si>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</si>
  <si>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</si>
  <si>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RANK</t>
  </si>
  <si>
    <t>PLAYER</t>
  </si>
  <si>
    <t>SEASON PTS</t>
  </si>
  <si>
    <t>WINS</t>
  </si>
  <si>
    <t>THIS RACE</t>
  </si>
  <si>
    <t>Michigan</t>
  </si>
  <si>
    <t>Patrick</t>
  </si>
  <si>
    <t xml:space="preserve">RACE SHED FANTASY </t>
  </si>
  <si>
    <t>RACE SHED FANTASY  — CHAMPIONSHIP DASHBOARD</t>
  </si>
  <si>
    <t>Pick 4</t>
  </si>
  <si>
    <t>Pick 5</t>
  </si>
  <si>
    <t>Taylor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</si>
</sst>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1560</c:v>
                </c:pt>
                <c:pt idx="1">
                  <c:v>1517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945</c:v>
                </c:pt>
                <c:pt idx="18">
                  <c:v>1019</c:v>
                </c:pt>
                <c:pt idx="19">
                  <c:v>1139</c:v>
                </c:pt>
                <c:pt idx="20">
                  <c:v>1253</c:v>
                </c:pt>
                <c:pt idx="21">
                  <c:v>1300</c:v>
                </c:pt>
                <c:pt idx="22">
                  <c:v>1399</c:v>
                </c:pt>
                <c:pt idx="23">
                  <c:v>1465</c:v>
                </c:pt>
                <c:pt idx="24">
                  <c:v>1546</c:v>
                </c:pt>
                <c:pt idx="25">
                  <c:v>1639</c:v>
                </c:pt>
                <c:pt idx="26">
                  <c:v>1695</c:v>
                </c:pt>
                <c:pt idx="27">
                  <c:v>1734</c:v>
                </c:pt>
                <c:pt idx="28">
                  <c:v>1819</c:v>
                </c:pt>
                <c:pt idx="29">
                  <c:v>1912</c:v>
                </c:pt>
                <c:pt idx="30">
                  <c:v>1912</c:v>
                </c:pt>
                <c:pt idx="31">
                  <c:v>1912</c:v>
                </c:pt>
                <c:pt idx="32">
                  <c:v>1912</c:v>
                </c:pt>
                <c:pt idx="33">
                  <c:v>1912</c:v>
                </c:pt>
                <c:pt idx="34">
                  <c:v>1912</c:v>
                </c:pt>
                <c:pt idx="35">
                  <c:v>1912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1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974</c:v>
                </c:pt>
                <c:pt idx="18">
                  <c:v>1078</c:v>
                </c:pt>
                <c:pt idx="19">
                  <c:v>1168</c:v>
                </c:pt>
                <c:pt idx="20">
                  <c:v>1258</c:v>
                </c:pt>
                <c:pt idx="21">
                  <c:v>1283</c:v>
                </c:pt>
                <c:pt idx="22">
                  <c:v>1382</c:v>
                </c:pt>
                <c:pt idx="23">
                  <c:v>1454</c:v>
                </c:pt>
                <c:pt idx="24">
                  <c:v>1528</c:v>
                </c:pt>
                <c:pt idx="25">
                  <c:v>1594</c:v>
                </c:pt>
                <c:pt idx="26">
                  <c:v>1594</c:v>
                </c:pt>
                <c:pt idx="27">
                  <c:v>1594</c:v>
                </c:pt>
                <c:pt idx="28">
                  <c:v>1594</c:v>
                </c:pt>
                <c:pt idx="29">
                  <c:v>1594</c:v>
                </c:pt>
                <c:pt idx="30">
                  <c:v>1594</c:v>
                </c:pt>
                <c:pt idx="31">
                  <c:v>1594</c:v>
                </c:pt>
                <c:pt idx="32">
                  <c:v>1594</c:v>
                </c:pt>
                <c:pt idx="33">
                  <c:v>1594</c:v>
                </c:pt>
                <c:pt idx="34">
                  <c:v>1594</c:v>
                </c:pt>
                <c:pt idx="35">
                  <c:v>1594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43.333333333333336</c:v>
                </c:pt>
                <c:pt idx="1">
                  <c:v>42.138888888888886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800</c:v>
                </c:pt>
                <c:pt idx="18">
                  <c:v>919</c:v>
                </c:pt>
                <c:pt idx="19">
                  <c:v>992</c:v>
                </c:pt>
                <c:pt idx="20">
                  <c:v>1102</c:v>
                </c:pt>
                <c:pt idx="21">
                  <c:v>1164</c:v>
                </c:pt>
                <c:pt idx="22">
                  <c:v>1281</c:v>
                </c:pt>
                <c:pt idx="23">
                  <c:v>1336</c:v>
                </c:pt>
                <c:pt idx="24">
                  <c:v>1430</c:v>
                </c:pt>
                <c:pt idx="25">
                  <c:v>1493</c:v>
                </c:pt>
                <c:pt idx="26">
                  <c:v>1583</c:v>
                </c:pt>
                <c:pt idx="27">
                  <c:v>1676</c:v>
                </c:pt>
                <c:pt idx="28">
                  <c:v>1765</c:v>
                </c:pt>
                <c:pt idx="29">
                  <c:v>1883</c:v>
                </c:pt>
                <c:pt idx="30">
                  <c:v>1883</c:v>
                </c:pt>
                <c:pt idx="31">
                  <c:v>1883</c:v>
                </c:pt>
                <c:pt idx="32">
                  <c:v>1883</c:v>
                </c:pt>
                <c:pt idx="33">
                  <c:v>1883</c:v>
                </c:pt>
                <c:pt idx="34">
                  <c:v>1883</c:v>
                </c:pt>
                <c:pt idx="35">
                  <c:v>1883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973</c:v>
                </c:pt>
                <c:pt idx="18">
                  <c:v>1088</c:v>
                </c:pt>
                <c:pt idx="19">
                  <c:v>1157</c:v>
                </c:pt>
                <c:pt idx="20">
                  <c:v>1269</c:v>
                </c:pt>
                <c:pt idx="21">
                  <c:v>1321</c:v>
                </c:pt>
                <c:pt idx="22">
                  <c:v>1443</c:v>
                </c:pt>
                <c:pt idx="23">
                  <c:v>1510</c:v>
                </c:pt>
                <c:pt idx="24">
                  <c:v>1592</c:v>
                </c:pt>
                <c:pt idx="25">
                  <c:v>1671</c:v>
                </c:pt>
                <c:pt idx="26">
                  <c:v>1671</c:v>
                </c:pt>
                <c:pt idx="27">
                  <c:v>1761</c:v>
                </c:pt>
                <c:pt idx="28">
                  <c:v>1873</c:v>
                </c:pt>
                <c:pt idx="29">
                  <c:v>1981</c:v>
                </c:pt>
                <c:pt idx="30">
                  <c:v>1981</c:v>
                </c:pt>
                <c:pt idx="31">
                  <c:v>1981</c:v>
                </c:pt>
                <c:pt idx="32">
                  <c:v>1981</c:v>
                </c:pt>
                <c:pt idx="33">
                  <c:v>1981</c:v>
                </c:pt>
                <c:pt idx="34">
                  <c:v>1981</c:v>
                </c:pt>
                <c:pt idx="35">
                  <c:v>1981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161980</xdr:colOff>
      <xdr:row>24</xdr:row>
      <xdr:rowOff>142390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>
      <selection sqref="A1:H1"/>
    </sheetView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61"/>
  <sheetViews>
    <sheetView tabSelected="1" zoomScaleNormal="100" workbookViewId="0">
      <pane ySplit="1" topLeftCell="A234" activePane="bottomLeft" state="frozen"/>
      <selection pane="bottomLeft" activeCell="F247" sqref="F247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8" width="9" customWidth="1"/>
    <col min="9" max="11" width="10" customWidth="1"/>
    <col min="12" max="14" width="8" customWidth="1"/>
    <col min="15" max="15" width="12" customWidth="1"/>
  </cols>
  <sheetData>
    <row r="1" spans="1:15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161</v>
      </c>
      <c r="H1" s="6" t="s">
        <v>162</v>
      </c>
      <c r="I1" s="6" t="s">
        <v>121</v>
      </c>
      <c r="J1" s="6" t="s">
        <v>122</v>
      </c>
      <c r="K1" s="6" t="s">
        <v>123</v>
      </c>
      <c r="L1" s="6" t="s">
        <v>124</v>
      </c>
      <c r="M1" s="6" t="s">
        <v>125</v>
      </c>
      <c r="N1" s="6" t="s">
        <v>126</v>
      </c>
      <c r="O1" s="6" t="s">
        <v>127</v>
      </c>
    </row>
    <row r="2" spans="1:15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3"/>
      <c r="H2" s="3"/>
      <c r="I2" s="11" t="str">
        <f>IF(D2="","",SUMIFS(RaceResults!$C:$C,RaceResults!$A:$A,$A2,RaceResults!$D:$D,D2))</f>
        <v/>
      </c>
      <c r="J2" s="11" t="str">
        <f>IF(E2="","",SUMIFS(RaceResults!$C:$C,RaceResults!$A:$A,$A2,RaceResults!$D:$D,E2))</f>
        <v/>
      </c>
      <c r="K2" s="11" t="str">
        <f>IF(F2="","",SUMIFS(RaceResults!$C:$C,RaceResults!$A:$A,$A2,RaceResults!$D:$D,F2))</f>
        <v/>
      </c>
      <c r="L2" s="11" t="str">
        <f>IF(D2="","",SUMIFS(RaceResults!$E:$E,RaceResults!$A:$A,$A2,RaceResults!$D:$D,D2))</f>
        <v/>
      </c>
      <c r="M2" s="11" t="str">
        <f>IF(E2="","",SUMIFS(RaceResults!$E:$E,RaceResults!$A:$A,$A2,RaceResults!$D:$D,E2))</f>
        <v/>
      </c>
      <c r="N2" s="11" t="str">
        <f>IF(F2="","",SUMIFS(RaceResults!$E:$E,RaceResults!$A:$A,$A2,RaceResults!$D:$D,F2))</f>
        <v/>
      </c>
      <c r="O2" s="11">
        <f t="shared" ref="O2:O65" si="0">SUM(L2:N2)</f>
        <v>0</v>
      </c>
    </row>
    <row r="3" spans="1:15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3"/>
      <c r="H3" s="3"/>
      <c r="I3" s="11" t="str">
        <f>IF(D3="","",SUMIFS(RaceResults!$C:$C,RaceResults!$A:$A,$A3,RaceResults!$D:$D,D3))</f>
        <v/>
      </c>
      <c r="J3" s="11" t="str">
        <f>IF(E3="","",SUMIFS(RaceResults!$C:$C,RaceResults!$A:$A,$A3,RaceResults!$D:$D,E3))</f>
        <v/>
      </c>
      <c r="K3" s="11" t="str">
        <f>IF(F3="","",SUMIFS(RaceResults!$C:$C,RaceResults!$A:$A,$A3,RaceResults!$D:$D,F3))</f>
        <v/>
      </c>
      <c r="L3" s="11" t="str">
        <f>IF(D3="","",SUMIFS(RaceResults!$E:$E,RaceResults!$A:$A,$A3,RaceResults!$D:$D,D3))</f>
        <v/>
      </c>
      <c r="M3" s="11" t="str">
        <f>IF(E3="","",SUMIFS(RaceResults!$E:$E,RaceResults!$A:$A,$A3,RaceResults!$D:$D,E3))</f>
        <v/>
      </c>
      <c r="N3" s="11" t="str">
        <f>IF(F3="","",SUMIFS(RaceResults!$E:$E,RaceResults!$A:$A,$A3,RaceResults!$D:$D,F3))</f>
        <v/>
      </c>
      <c r="O3" s="11">
        <f t="shared" si="0"/>
        <v>0</v>
      </c>
    </row>
    <row r="4" spans="1:15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3"/>
      <c r="H4" s="3"/>
      <c r="I4" s="11" t="str">
        <f>IF(D4="","",SUMIFS(RaceResults!$C:$C,RaceResults!$A:$A,$A4,RaceResults!$D:$D,D4))</f>
        <v/>
      </c>
      <c r="J4" s="11" t="str">
        <f>IF(E4="","",SUMIFS(RaceResults!$C:$C,RaceResults!$A:$A,$A4,RaceResults!$D:$D,E4))</f>
        <v/>
      </c>
      <c r="K4" s="11" t="str">
        <f>IF(F4="","",SUMIFS(RaceResults!$C:$C,RaceResults!$A:$A,$A4,RaceResults!$D:$D,F4))</f>
        <v/>
      </c>
      <c r="L4" s="11" t="str">
        <f>IF(D4="","",SUMIFS(RaceResults!$E:$E,RaceResults!$A:$A,$A4,RaceResults!$D:$D,D4))</f>
        <v/>
      </c>
      <c r="M4" s="11" t="str">
        <f>IF(E4="","",SUMIFS(RaceResults!$E:$E,RaceResults!$A:$A,$A4,RaceResults!$D:$D,E4))</f>
        <v/>
      </c>
      <c r="N4" s="11" t="str">
        <f>IF(F4="","",SUMIFS(RaceResults!$E:$E,RaceResults!$A:$A,$A4,RaceResults!$D:$D,F4))</f>
        <v/>
      </c>
      <c r="O4" s="11">
        <f t="shared" si="0"/>
        <v>0</v>
      </c>
    </row>
    <row r="5" spans="1:15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3"/>
      <c r="H5" s="3"/>
      <c r="I5" s="11" t="str">
        <f>IF(D5="","",SUMIFS(RaceResults!$C:$C,RaceResults!$A:$A,$A5,RaceResults!$D:$D,D5))</f>
        <v/>
      </c>
      <c r="J5" s="11" t="str">
        <f>IF(E5="","",SUMIFS(RaceResults!$C:$C,RaceResults!$A:$A,$A5,RaceResults!$D:$D,E5))</f>
        <v/>
      </c>
      <c r="K5" s="11" t="str">
        <f>IF(F5="","",SUMIFS(RaceResults!$C:$C,RaceResults!$A:$A,$A5,RaceResults!$D:$D,F5))</f>
        <v/>
      </c>
      <c r="L5" s="11" t="str">
        <f>IF(D5="","",SUMIFS(RaceResults!$E:$E,RaceResults!$A:$A,$A5,RaceResults!$D:$D,D5))</f>
        <v/>
      </c>
      <c r="M5" s="11" t="str">
        <f>IF(E5="","",SUMIFS(RaceResults!$E:$E,RaceResults!$A:$A,$A5,RaceResults!$D:$D,E5))</f>
        <v/>
      </c>
      <c r="N5" s="11" t="str">
        <f>IF(F5="","",SUMIFS(RaceResults!$E:$E,RaceResults!$A:$A,$A5,RaceResults!$D:$D,F5))</f>
        <v/>
      </c>
      <c r="O5" s="11">
        <f t="shared" si="0"/>
        <v>0</v>
      </c>
    </row>
    <row r="6" spans="1:15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3"/>
      <c r="H6" s="3"/>
      <c r="I6" s="11" t="str">
        <f>IF(D6="","",SUMIFS(RaceResults!$C:$C,RaceResults!$A:$A,$A6,RaceResults!$D:$D,D6))</f>
        <v/>
      </c>
      <c r="J6" s="11" t="str">
        <f>IF(E6="","",SUMIFS(RaceResults!$C:$C,RaceResults!$A:$A,$A6,RaceResults!$D:$D,E6))</f>
        <v/>
      </c>
      <c r="K6" s="11" t="str">
        <f>IF(F6="","",SUMIFS(RaceResults!$C:$C,RaceResults!$A:$A,$A6,RaceResults!$D:$D,F6))</f>
        <v/>
      </c>
      <c r="L6" s="11" t="str">
        <f>IF(D6="","",SUMIFS(RaceResults!$E:$E,RaceResults!$A:$A,$A6,RaceResults!$D:$D,D6))</f>
        <v/>
      </c>
      <c r="M6" s="11" t="str">
        <f>IF(E6="","",SUMIFS(RaceResults!$E:$E,RaceResults!$A:$A,$A6,RaceResults!$D:$D,E6))</f>
        <v/>
      </c>
      <c r="N6" s="11" t="str">
        <f>IF(F6="","",SUMIFS(RaceResults!$E:$E,RaceResults!$A:$A,$A6,RaceResults!$D:$D,F6))</f>
        <v/>
      </c>
      <c r="O6" s="11">
        <f t="shared" si="0"/>
        <v>0</v>
      </c>
    </row>
    <row r="7" spans="1:15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3"/>
      <c r="H7" s="3"/>
      <c r="I7" s="11" t="str">
        <f>IF(D7="","",SUMIFS(RaceResults!$C:$C,RaceResults!$A:$A,$A7,RaceResults!$D:$D,D7))</f>
        <v/>
      </c>
      <c r="J7" s="11" t="str">
        <f>IF(E7="","",SUMIFS(RaceResults!$C:$C,RaceResults!$A:$A,$A7,RaceResults!$D:$D,E7))</f>
        <v/>
      </c>
      <c r="K7" s="11" t="str">
        <f>IF(F7="","",SUMIFS(RaceResults!$C:$C,RaceResults!$A:$A,$A7,RaceResults!$D:$D,F7))</f>
        <v/>
      </c>
      <c r="L7" s="11" t="str">
        <f>IF(D7="","",SUMIFS(RaceResults!$E:$E,RaceResults!$A:$A,$A7,RaceResults!$D:$D,D7))</f>
        <v/>
      </c>
      <c r="M7" s="11" t="str">
        <f>IF(E7="","",SUMIFS(RaceResults!$E:$E,RaceResults!$A:$A,$A7,RaceResults!$D:$D,E7))</f>
        <v/>
      </c>
      <c r="N7" s="11" t="str">
        <f>IF(F7="","",SUMIFS(RaceResults!$E:$E,RaceResults!$A:$A,$A7,RaceResults!$D:$D,F7))</f>
        <v/>
      </c>
      <c r="O7" s="11">
        <f t="shared" si="0"/>
        <v>0</v>
      </c>
    </row>
    <row r="8" spans="1:15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3"/>
      <c r="H8" s="3"/>
      <c r="I8" s="11" t="str">
        <f>IF(D8="","",SUMIFS(RaceResults!$C:$C,RaceResults!$A:$A,$A8,RaceResults!$D:$D,D8))</f>
        <v/>
      </c>
      <c r="J8" s="11" t="str">
        <f>IF(E8="","",SUMIFS(RaceResults!$C:$C,RaceResults!$A:$A,$A8,RaceResults!$D:$D,E8))</f>
        <v/>
      </c>
      <c r="K8" s="11" t="str">
        <f>IF(F8="","",SUMIFS(RaceResults!$C:$C,RaceResults!$A:$A,$A8,RaceResults!$D:$D,F8))</f>
        <v/>
      </c>
      <c r="L8" s="11" t="str">
        <f>IF(D8="","",SUMIFS(RaceResults!$E:$E,RaceResults!$A:$A,$A8,RaceResults!$D:$D,D8))</f>
        <v/>
      </c>
      <c r="M8" s="11" t="str">
        <f>IF(E8="","",SUMIFS(RaceResults!$E:$E,RaceResults!$A:$A,$A8,RaceResults!$D:$D,E8))</f>
        <v/>
      </c>
      <c r="N8" s="11" t="str">
        <f>IF(F8="","",SUMIFS(RaceResults!$E:$E,RaceResults!$A:$A,$A8,RaceResults!$D:$D,F8))</f>
        <v/>
      </c>
      <c r="O8" s="11">
        <f t="shared" si="0"/>
        <v>0</v>
      </c>
    </row>
    <row r="9" spans="1:15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3"/>
      <c r="H9" s="3"/>
      <c r="I9" s="11" t="str">
        <f>IF(D9="","",SUMIFS(RaceResults!$C:$C,RaceResults!$A:$A,$A9,RaceResults!$D:$D,D9))</f>
        <v/>
      </c>
      <c r="J9" s="11" t="str">
        <f>IF(E9="","",SUMIFS(RaceResults!$C:$C,RaceResults!$A:$A,$A9,RaceResults!$D:$D,E9))</f>
        <v/>
      </c>
      <c r="K9" s="11" t="str">
        <f>IF(F9="","",SUMIFS(RaceResults!$C:$C,RaceResults!$A:$A,$A9,RaceResults!$D:$D,F9))</f>
        <v/>
      </c>
      <c r="L9" s="11" t="str">
        <f>IF(D9="","",SUMIFS(RaceResults!$E:$E,RaceResults!$A:$A,$A9,RaceResults!$D:$D,D9))</f>
        <v/>
      </c>
      <c r="M9" s="11" t="str">
        <f>IF(E9="","",SUMIFS(RaceResults!$E:$E,RaceResults!$A:$A,$A9,RaceResults!$D:$D,E9))</f>
        <v/>
      </c>
      <c r="N9" s="11" t="str">
        <f>IF(F9="","",SUMIFS(RaceResults!$E:$E,RaceResults!$A:$A,$A9,RaceResults!$D:$D,F9))</f>
        <v/>
      </c>
      <c r="O9" s="11">
        <f t="shared" si="0"/>
        <v>0</v>
      </c>
    </row>
    <row r="10" spans="1:15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3"/>
      <c r="H10" s="3"/>
      <c r="I10" s="11" t="str">
        <f>IF(D10="","",SUMIFS(RaceResults!$C:$C,RaceResults!$A:$A,$A10,RaceResults!$D:$D,D10))</f>
        <v/>
      </c>
      <c r="J10" s="11" t="str">
        <f>IF(E10="","",SUMIFS(RaceResults!$C:$C,RaceResults!$A:$A,$A10,RaceResults!$D:$D,E10))</f>
        <v/>
      </c>
      <c r="K10" s="11" t="str">
        <f>IF(F10="","",SUMIFS(RaceResults!$C:$C,RaceResults!$A:$A,$A10,RaceResults!$D:$D,F10))</f>
        <v/>
      </c>
      <c r="L10" s="11" t="str">
        <f>IF(D10="","",SUMIFS(RaceResults!$E:$E,RaceResults!$A:$A,$A10,RaceResults!$D:$D,D10))</f>
        <v/>
      </c>
      <c r="M10" s="11" t="str">
        <f>IF(E10="","",SUMIFS(RaceResults!$E:$E,RaceResults!$A:$A,$A10,RaceResults!$D:$D,E10))</f>
        <v/>
      </c>
      <c r="N10" s="11" t="str">
        <f>IF(F10="","",SUMIFS(RaceResults!$E:$E,RaceResults!$A:$A,$A10,RaceResults!$D:$D,F10))</f>
        <v/>
      </c>
      <c r="O10" s="11">
        <f t="shared" si="0"/>
        <v>0</v>
      </c>
    </row>
    <row r="11" spans="1:15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3"/>
      <c r="H11" s="3"/>
      <c r="I11" s="11" t="str">
        <f>IF(D11="","",SUMIFS(RaceResults!$C:$C,RaceResults!$A:$A,$A11,RaceResults!$D:$D,D11))</f>
        <v/>
      </c>
      <c r="J11" s="11" t="str">
        <f>IF(E11="","",SUMIFS(RaceResults!$C:$C,RaceResults!$A:$A,$A11,RaceResults!$D:$D,E11))</f>
        <v/>
      </c>
      <c r="K11" s="11" t="str">
        <f>IF(F11="","",SUMIFS(RaceResults!$C:$C,RaceResults!$A:$A,$A11,RaceResults!$D:$D,F11))</f>
        <v/>
      </c>
      <c r="L11" s="11" t="str">
        <f>IF(D11="","",SUMIFS(RaceResults!$E:$E,RaceResults!$A:$A,$A11,RaceResults!$D:$D,D11))</f>
        <v/>
      </c>
      <c r="M11" s="11" t="str">
        <f>IF(E11="","",SUMIFS(RaceResults!$E:$E,RaceResults!$A:$A,$A11,RaceResults!$D:$D,E11))</f>
        <v/>
      </c>
      <c r="N11" s="11" t="str">
        <f>IF(F11="","",SUMIFS(RaceResults!$E:$E,RaceResults!$A:$A,$A11,RaceResults!$D:$D,F11))</f>
        <v/>
      </c>
      <c r="O11" s="11">
        <f t="shared" si="0"/>
        <v>0</v>
      </c>
    </row>
    <row r="12" spans="1:15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3"/>
      <c r="H12" s="3"/>
      <c r="I12" s="11" t="str">
        <f>IF(D12="","",SUMIFS(RaceResults!$C:$C,RaceResults!$A:$A,$A12,RaceResults!$D:$D,D12))</f>
        <v/>
      </c>
      <c r="J12" s="11" t="str">
        <f>IF(E12="","",SUMIFS(RaceResults!$C:$C,RaceResults!$A:$A,$A12,RaceResults!$D:$D,E12))</f>
        <v/>
      </c>
      <c r="K12" s="11" t="str">
        <f>IF(F12="","",SUMIFS(RaceResults!$C:$C,RaceResults!$A:$A,$A12,RaceResults!$D:$D,F12))</f>
        <v/>
      </c>
      <c r="L12" s="11" t="str">
        <f>IF(D12="","",SUMIFS(RaceResults!$E:$E,RaceResults!$A:$A,$A12,RaceResults!$D:$D,D12))</f>
        <v/>
      </c>
      <c r="M12" s="11" t="str">
        <f>IF(E12="","",SUMIFS(RaceResults!$E:$E,RaceResults!$A:$A,$A12,RaceResults!$D:$D,E12))</f>
        <v/>
      </c>
      <c r="N12" s="11" t="str">
        <f>IF(F12="","",SUMIFS(RaceResults!$E:$E,RaceResults!$A:$A,$A12,RaceResults!$D:$D,F12))</f>
        <v/>
      </c>
      <c r="O12" s="11">
        <f t="shared" si="0"/>
        <v>0</v>
      </c>
    </row>
    <row r="13" spans="1:15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3"/>
      <c r="H13" s="3"/>
      <c r="I13" s="11" t="str">
        <f>IF(D13="","",SUMIFS(RaceResults!$C:$C,RaceResults!$A:$A,$A13,RaceResults!$D:$D,D13))</f>
        <v/>
      </c>
      <c r="J13" s="11" t="str">
        <f>IF(E13="","",SUMIFS(RaceResults!$C:$C,RaceResults!$A:$A,$A13,RaceResults!$D:$D,E13))</f>
        <v/>
      </c>
      <c r="K13" s="11" t="str">
        <f>IF(F13="","",SUMIFS(RaceResults!$C:$C,RaceResults!$A:$A,$A13,RaceResults!$D:$D,F13))</f>
        <v/>
      </c>
      <c r="L13" s="11" t="str">
        <f>IF(D13="","",SUMIFS(RaceResults!$E:$E,RaceResults!$A:$A,$A13,RaceResults!$D:$D,D13))</f>
        <v/>
      </c>
      <c r="M13" s="11" t="str">
        <f>IF(E13="","",SUMIFS(RaceResults!$E:$E,RaceResults!$A:$A,$A13,RaceResults!$D:$D,E13))</f>
        <v/>
      </c>
      <c r="N13" s="11" t="str">
        <f>IF(F13="","",SUMIFS(RaceResults!$E:$E,RaceResults!$A:$A,$A13,RaceResults!$D:$D,F13))</f>
        <v/>
      </c>
      <c r="O13" s="11">
        <f t="shared" si="0"/>
        <v>0</v>
      </c>
    </row>
    <row r="14" spans="1:15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3"/>
      <c r="H14" s="3"/>
      <c r="I14" s="11" t="str">
        <f>IF(D14="","",SUMIFS(RaceResults!$C:$C,RaceResults!$A:$A,$A14,RaceResults!$D:$D,D14))</f>
        <v/>
      </c>
      <c r="J14" s="11" t="str">
        <f>IF(E14="","",SUMIFS(RaceResults!$C:$C,RaceResults!$A:$A,$A14,RaceResults!$D:$D,E14))</f>
        <v/>
      </c>
      <c r="K14" s="11" t="str">
        <f>IF(F14="","",SUMIFS(RaceResults!$C:$C,RaceResults!$A:$A,$A14,RaceResults!$D:$D,F14))</f>
        <v/>
      </c>
      <c r="L14" s="11" t="str">
        <f>IF(D14="","",SUMIFS(RaceResults!$E:$E,RaceResults!$A:$A,$A14,RaceResults!$D:$D,D14))</f>
        <v/>
      </c>
      <c r="M14" s="11" t="str">
        <f>IF(E14="","",SUMIFS(RaceResults!$E:$E,RaceResults!$A:$A,$A14,RaceResults!$D:$D,E14))</f>
        <v/>
      </c>
      <c r="N14" s="11" t="str">
        <f>IF(F14="","",SUMIFS(RaceResults!$E:$E,RaceResults!$A:$A,$A14,RaceResults!$D:$D,F14))</f>
        <v/>
      </c>
      <c r="O14" s="11">
        <f t="shared" si="0"/>
        <v>0</v>
      </c>
    </row>
    <row r="15" spans="1:15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3"/>
      <c r="H15" s="3"/>
      <c r="I15" s="11" t="str">
        <f>IF(D15="","",SUMIFS(RaceResults!$C:$C,RaceResults!$A:$A,$A15,RaceResults!$D:$D,D15))</f>
        <v/>
      </c>
      <c r="J15" s="11" t="str">
        <f>IF(E15="","",SUMIFS(RaceResults!$C:$C,RaceResults!$A:$A,$A15,RaceResults!$D:$D,E15))</f>
        <v/>
      </c>
      <c r="K15" s="11" t="str">
        <f>IF(F15="","",SUMIFS(RaceResults!$C:$C,RaceResults!$A:$A,$A15,RaceResults!$D:$D,F15))</f>
        <v/>
      </c>
      <c r="L15" s="11" t="str">
        <f>IF(D15="","",SUMIFS(RaceResults!$E:$E,RaceResults!$A:$A,$A15,RaceResults!$D:$D,D15))</f>
        <v/>
      </c>
      <c r="M15" s="11" t="str">
        <f>IF(E15="","",SUMIFS(RaceResults!$E:$E,RaceResults!$A:$A,$A15,RaceResults!$D:$D,E15))</f>
        <v/>
      </c>
      <c r="N15" s="11" t="str">
        <f>IF(F15="","",SUMIFS(RaceResults!$E:$E,RaceResults!$A:$A,$A15,RaceResults!$D:$D,F15))</f>
        <v/>
      </c>
      <c r="O15" s="11">
        <f t="shared" si="0"/>
        <v>0</v>
      </c>
    </row>
    <row r="16" spans="1:15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3"/>
      <c r="H16" s="3"/>
      <c r="I16" s="11" t="str">
        <f>IF(D16="","",SUMIFS(RaceResults!$C:$C,RaceResults!$A:$A,$A16,RaceResults!$D:$D,D16))</f>
        <v/>
      </c>
      <c r="J16" s="11" t="str">
        <f>IF(E16="","",SUMIFS(RaceResults!$C:$C,RaceResults!$A:$A,$A16,RaceResults!$D:$D,E16))</f>
        <v/>
      </c>
      <c r="K16" s="11" t="str">
        <f>IF(F16="","",SUMIFS(RaceResults!$C:$C,RaceResults!$A:$A,$A16,RaceResults!$D:$D,F16))</f>
        <v/>
      </c>
      <c r="L16" s="11" t="str">
        <f>IF(D16="","",SUMIFS(RaceResults!$E:$E,RaceResults!$A:$A,$A16,RaceResults!$D:$D,D16))</f>
        <v/>
      </c>
      <c r="M16" s="11" t="str">
        <f>IF(E16="","",SUMIFS(RaceResults!$E:$E,RaceResults!$A:$A,$A16,RaceResults!$D:$D,E16))</f>
        <v/>
      </c>
      <c r="N16" s="11" t="str">
        <f>IF(F16="","",SUMIFS(RaceResults!$E:$E,RaceResults!$A:$A,$A16,RaceResults!$D:$D,F16))</f>
        <v/>
      </c>
      <c r="O16" s="11">
        <f t="shared" si="0"/>
        <v>0</v>
      </c>
    </row>
    <row r="17" spans="1:15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3"/>
      <c r="H17" s="3"/>
      <c r="I17" s="11" t="str">
        <f>IF(D17="","",SUMIFS(RaceResults!$C:$C,RaceResults!$A:$A,$A17,RaceResults!$D:$D,D17))</f>
        <v/>
      </c>
      <c r="J17" s="11" t="str">
        <f>IF(E17="","",SUMIFS(RaceResults!$C:$C,RaceResults!$A:$A,$A17,RaceResults!$D:$D,E17))</f>
        <v/>
      </c>
      <c r="K17" s="11" t="str">
        <f>IF(F17="","",SUMIFS(RaceResults!$C:$C,RaceResults!$A:$A,$A17,RaceResults!$D:$D,F17))</f>
        <v/>
      </c>
      <c r="L17" s="11" t="str">
        <f>IF(D17="","",SUMIFS(RaceResults!$E:$E,RaceResults!$A:$A,$A17,RaceResults!$D:$D,D17))</f>
        <v/>
      </c>
      <c r="M17" s="11" t="str">
        <f>IF(E17="","",SUMIFS(RaceResults!$E:$E,RaceResults!$A:$A,$A17,RaceResults!$D:$D,E17))</f>
        <v/>
      </c>
      <c r="N17" s="11" t="str">
        <f>IF(F17="","",SUMIFS(RaceResults!$E:$E,RaceResults!$A:$A,$A17,RaceResults!$D:$D,F17))</f>
        <v/>
      </c>
      <c r="O17" s="11">
        <f t="shared" si="0"/>
        <v>0</v>
      </c>
    </row>
    <row r="18" spans="1:15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3"/>
      <c r="H18" s="3"/>
      <c r="I18" s="11" t="str">
        <f>IF(D18="","",SUMIFS(RaceResults!$C:$C,RaceResults!$A:$A,$A18,RaceResults!$D:$D,D18))</f>
        <v/>
      </c>
      <c r="J18" s="11" t="str">
        <f>IF(E18="","",SUMIFS(RaceResults!$C:$C,RaceResults!$A:$A,$A18,RaceResults!$D:$D,E18))</f>
        <v/>
      </c>
      <c r="K18" s="11" t="str">
        <f>IF(F18="","",SUMIFS(RaceResults!$C:$C,RaceResults!$A:$A,$A18,RaceResults!$D:$D,F18))</f>
        <v/>
      </c>
      <c r="L18" s="11" t="str">
        <f>IF(D18="","",SUMIFS(RaceResults!$E:$E,RaceResults!$A:$A,$A18,RaceResults!$D:$D,D18))</f>
        <v/>
      </c>
      <c r="M18" s="11" t="str">
        <f>IF(E18="","",SUMIFS(RaceResults!$E:$E,RaceResults!$A:$A,$A18,RaceResults!$D:$D,E18))</f>
        <v/>
      </c>
      <c r="N18" s="11" t="str">
        <f>IF(F18="","",SUMIFS(RaceResults!$E:$E,RaceResults!$A:$A,$A18,RaceResults!$D:$D,F18))</f>
        <v/>
      </c>
      <c r="O18" s="11">
        <f t="shared" si="0"/>
        <v>0</v>
      </c>
    </row>
    <row r="19" spans="1:15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3"/>
      <c r="H19" s="3"/>
      <c r="I19" s="11" t="str">
        <f>IF(D19="","",SUMIFS(RaceResults!$C:$C,RaceResults!$A:$A,$A19,RaceResults!$D:$D,D19))</f>
        <v/>
      </c>
      <c r="J19" s="11" t="str">
        <f>IF(E19="","",SUMIFS(RaceResults!$C:$C,RaceResults!$A:$A,$A19,RaceResults!$D:$D,E19))</f>
        <v/>
      </c>
      <c r="K19" s="11" t="str">
        <f>IF(F19="","",SUMIFS(RaceResults!$C:$C,RaceResults!$A:$A,$A19,RaceResults!$D:$D,F19))</f>
        <v/>
      </c>
      <c r="L19" s="11" t="str">
        <f>IF(D19="","",SUMIFS(RaceResults!$E:$E,RaceResults!$A:$A,$A19,RaceResults!$D:$D,D19))</f>
        <v/>
      </c>
      <c r="M19" s="11" t="str">
        <f>IF(E19="","",SUMIFS(RaceResults!$E:$E,RaceResults!$A:$A,$A19,RaceResults!$D:$D,E19))</f>
        <v/>
      </c>
      <c r="N19" s="11" t="str">
        <f>IF(F19="","",SUMIFS(RaceResults!$E:$E,RaceResults!$A:$A,$A19,RaceResults!$D:$D,F19))</f>
        <v/>
      </c>
      <c r="O19" s="11">
        <f t="shared" si="0"/>
        <v>0</v>
      </c>
    </row>
    <row r="20" spans="1:15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3"/>
      <c r="H20" s="3"/>
      <c r="I20" s="11" t="str">
        <f>IF(D20="","",SUMIFS(RaceResults!$C:$C,RaceResults!$A:$A,$A20,RaceResults!$D:$D,D20))</f>
        <v/>
      </c>
      <c r="J20" s="11" t="str">
        <f>IF(E20="","",SUMIFS(RaceResults!$C:$C,RaceResults!$A:$A,$A20,RaceResults!$D:$D,E20))</f>
        <v/>
      </c>
      <c r="K20" s="11" t="str">
        <f>IF(F20="","",SUMIFS(RaceResults!$C:$C,RaceResults!$A:$A,$A20,RaceResults!$D:$D,F20))</f>
        <v/>
      </c>
      <c r="L20" s="11" t="str">
        <f>IF(D20="","",SUMIFS(RaceResults!$E:$E,RaceResults!$A:$A,$A20,RaceResults!$D:$D,D20))</f>
        <v/>
      </c>
      <c r="M20" s="11" t="str">
        <f>IF(E20="","",SUMIFS(RaceResults!$E:$E,RaceResults!$A:$A,$A20,RaceResults!$D:$D,E20))</f>
        <v/>
      </c>
      <c r="N20" s="11" t="str">
        <f>IF(F20="","",SUMIFS(RaceResults!$E:$E,RaceResults!$A:$A,$A20,RaceResults!$D:$D,F20))</f>
        <v/>
      </c>
      <c r="O20" s="11">
        <f t="shared" si="0"/>
        <v>0</v>
      </c>
    </row>
    <row r="21" spans="1:15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3"/>
      <c r="H21" s="3"/>
      <c r="I21" s="11" t="str">
        <f>IF(D21="","",SUMIFS(RaceResults!$C:$C,RaceResults!$A:$A,$A21,RaceResults!$D:$D,D21))</f>
        <v/>
      </c>
      <c r="J21" s="11" t="str">
        <f>IF(E21="","",SUMIFS(RaceResults!$C:$C,RaceResults!$A:$A,$A21,RaceResults!$D:$D,E21))</f>
        <v/>
      </c>
      <c r="K21" s="11" t="str">
        <f>IF(F21="","",SUMIFS(RaceResults!$C:$C,RaceResults!$A:$A,$A21,RaceResults!$D:$D,F21))</f>
        <v/>
      </c>
      <c r="L21" s="11" t="str">
        <f>IF(D21="","",SUMIFS(RaceResults!$E:$E,RaceResults!$A:$A,$A21,RaceResults!$D:$D,D21))</f>
        <v/>
      </c>
      <c r="M21" s="11" t="str">
        <f>IF(E21="","",SUMIFS(RaceResults!$E:$E,RaceResults!$A:$A,$A21,RaceResults!$D:$D,E21))</f>
        <v/>
      </c>
      <c r="N21" s="11" t="str">
        <f>IF(F21="","",SUMIFS(RaceResults!$E:$E,RaceResults!$A:$A,$A21,RaceResults!$D:$D,F21))</f>
        <v/>
      </c>
      <c r="O21" s="11">
        <f t="shared" si="0"/>
        <v>0</v>
      </c>
    </row>
    <row r="22" spans="1:15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3"/>
      <c r="H22" s="3"/>
      <c r="I22" s="11">
        <f>IF(D22="","",SUMIFS(RaceResults!$C:$C,RaceResults!$A:$A,$A22,RaceResults!$D:$D,D22))</f>
        <v>2</v>
      </c>
      <c r="J22" s="11">
        <f>IF(E22="","",SUMIFS(RaceResults!$C:$C,RaceResults!$A:$A,$A22,RaceResults!$D:$D,E22))</f>
        <v>3</v>
      </c>
      <c r="K22" s="11">
        <f>IF(F22="","",SUMIFS(RaceResults!$C:$C,RaceResults!$A:$A,$A22,RaceResults!$D:$D,F22))</f>
        <v>7</v>
      </c>
      <c r="L22" s="11">
        <f>IF(D22="","",SUMIFS(RaceResults!$E:$E,RaceResults!$A:$A,$A22,RaceResults!$D:$D,D22))</f>
        <v>35</v>
      </c>
      <c r="M22" s="11">
        <f>IF(E22="","",SUMIFS(RaceResults!$E:$E,RaceResults!$A:$A,$A22,RaceResults!$D:$D,E22))</f>
        <v>34</v>
      </c>
      <c r="N22" s="11">
        <f>IF(F22="","",SUMIFS(RaceResults!$E:$E,RaceResults!$A:$A,$A22,RaceResults!$D:$D,F22))</f>
        <v>30</v>
      </c>
      <c r="O22" s="11">
        <f t="shared" si="0"/>
        <v>99</v>
      </c>
    </row>
    <row r="23" spans="1:15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3"/>
      <c r="H23" s="3"/>
      <c r="I23" s="11">
        <f>IF(D23="","",SUMIFS(RaceResults!$C:$C,RaceResults!$A:$A,$A23,RaceResults!$D:$D,D23))</f>
        <v>1</v>
      </c>
      <c r="J23" s="11">
        <f>IF(E23="","",SUMIFS(RaceResults!$C:$C,RaceResults!$A:$A,$A23,RaceResults!$D:$D,E23))</f>
        <v>8</v>
      </c>
      <c r="K23" s="11">
        <f>IF(F23="","",SUMIFS(RaceResults!$C:$C,RaceResults!$A:$A,$A23,RaceResults!$D:$D,F23))</f>
        <v>10</v>
      </c>
      <c r="L23" s="11">
        <f>IF(D23="","",SUMIFS(RaceResults!$E:$E,RaceResults!$A:$A,$A23,RaceResults!$D:$D,D23))</f>
        <v>55</v>
      </c>
      <c r="M23" s="11">
        <f>IF(E23="","",SUMIFS(RaceResults!$E:$E,RaceResults!$A:$A,$A23,RaceResults!$D:$D,E23))</f>
        <v>29</v>
      </c>
      <c r="N23" s="11">
        <f>IF(F23="","",SUMIFS(RaceResults!$E:$E,RaceResults!$A:$A,$A23,RaceResults!$D:$D,F23))</f>
        <v>27</v>
      </c>
      <c r="O23" s="11">
        <f t="shared" si="0"/>
        <v>111</v>
      </c>
    </row>
    <row r="24" spans="1:15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3"/>
      <c r="H24" s="3"/>
      <c r="I24" s="11">
        <f>IF(D24="","",SUMIFS(RaceResults!$C:$C,RaceResults!$A:$A,$A24,RaceResults!$D:$D,D24))</f>
        <v>37</v>
      </c>
      <c r="J24" s="11">
        <f>IF(E24="","",SUMIFS(RaceResults!$C:$C,RaceResults!$A:$A,$A24,RaceResults!$D:$D,E24))</f>
        <v>3</v>
      </c>
      <c r="K24" s="11">
        <f>IF(F24="","",SUMIFS(RaceResults!$C:$C,RaceResults!$A:$A,$A24,RaceResults!$D:$D,F24))</f>
        <v>13</v>
      </c>
      <c r="L24" s="11">
        <f>IF(D24="","",SUMIFS(RaceResults!$E:$E,RaceResults!$A:$A,$A24,RaceResults!$D:$D,D24))</f>
        <v>1</v>
      </c>
      <c r="M24" s="11">
        <f>IF(E24="","",SUMIFS(RaceResults!$E:$E,RaceResults!$A:$A,$A24,RaceResults!$D:$D,E24))</f>
        <v>34</v>
      </c>
      <c r="N24" s="11">
        <f>IF(F24="","",SUMIFS(RaceResults!$E:$E,RaceResults!$A:$A,$A24,RaceResults!$D:$D,F24))</f>
        <v>24</v>
      </c>
      <c r="O24" s="11">
        <f t="shared" si="0"/>
        <v>59</v>
      </c>
    </row>
    <row r="25" spans="1:15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3"/>
      <c r="H25" s="3"/>
      <c r="I25" s="11">
        <f>IF(D25="","",SUMIFS(RaceResults!$C:$C,RaceResults!$A:$A,$A25,RaceResults!$D:$D,D25))</f>
        <v>2</v>
      </c>
      <c r="J25" s="11">
        <f>IF(E25="","",SUMIFS(RaceResults!$C:$C,RaceResults!$A:$A,$A25,RaceResults!$D:$D,E25))</f>
        <v>37</v>
      </c>
      <c r="K25" s="11">
        <f>IF(F25="","",SUMIFS(RaceResults!$C:$C,RaceResults!$A:$A,$A25,RaceResults!$D:$D,F25))</f>
        <v>10</v>
      </c>
      <c r="L25" s="11">
        <f>IF(D25="","",SUMIFS(RaceResults!$E:$E,RaceResults!$A:$A,$A25,RaceResults!$D:$D,D25))</f>
        <v>35</v>
      </c>
      <c r="M25" s="11">
        <f>IF(E25="","",SUMIFS(RaceResults!$E:$E,RaceResults!$A:$A,$A25,RaceResults!$D:$D,E25))</f>
        <v>1</v>
      </c>
      <c r="N25" s="11">
        <f>IF(F25="","",SUMIFS(RaceResults!$E:$E,RaceResults!$A:$A,$A25,RaceResults!$D:$D,F25))</f>
        <v>27</v>
      </c>
      <c r="O25" s="11">
        <f t="shared" si="0"/>
        <v>63</v>
      </c>
    </row>
    <row r="26" spans="1:15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3"/>
      <c r="H26" s="3"/>
      <c r="I26" s="11" t="str">
        <f>IF(D26="","",SUMIFS(RaceResults!$C:$C,RaceResults!$A:$A,$A26,RaceResults!$D:$D,D26))</f>
        <v/>
      </c>
      <c r="J26" s="11" t="str">
        <f>IF(E26="","",SUMIFS(RaceResults!$C:$C,RaceResults!$A:$A,$A26,RaceResults!$D:$D,E26))</f>
        <v/>
      </c>
      <c r="K26" s="11" t="str">
        <f>IF(F26="","",SUMIFS(RaceResults!$C:$C,RaceResults!$A:$A,$A26,RaceResults!$D:$D,F26))</f>
        <v/>
      </c>
      <c r="L26" s="11" t="str">
        <f>IF(D26="","",SUMIFS(RaceResults!$E:$E,RaceResults!$A:$A,$A26,RaceResults!$D:$D,D26))</f>
        <v/>
      </c>
      <c r="M26" s="11" t="str">
        <f>IF(E26="","",SUMIFS(RaceResults!$E:$E,RaceResults!$A:$A,$A26,RaceResults!$D:$D,E26))</f>
        <v/>
      </c>
      <c r="N26" s="11" t="str">
        <f>IF(F26="","",SUMIFS(RaceResults!$E:$E,RaceResults!$A:$A,$A26,RaceResults!$D:$D,F26))</f>
        <v/>
      </c>
      <c r="O26" s="11">
        <f t="shared" si="0"/>
        <v>0</v>
      </c>
    </row>
    <row r="27" spans="1:15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3"/>
      <c r="H27" s="3"/>
      <c r="I27" s="11" t="str">
        <f>IF(D27="","",SUMIFS(RaceResults!$C:$C,RaceResults!$A:$A,$A27,RaceResults!$D:$D,D27))</f>
        <v/>
      </c>
      <c r="J27" s="11" t="str">
        <f>IF(E27="","",SUMIFS(RaceResults!$C:$C,RaceResults!$A:$A,$A27,RaceResults!$D:$D,E27))</f>
        <v/>
      </c>
      <c r="K27" s="11" t="str">
        <f>IF(F27="","",SUMIFS(RaceResults!$C:$C,RaceResults!$A:$A,$A27,RaceResults!$D:$D,F27))</f>
        <v/>
      </c>
      <c r="L27" s="11" t="str">
        <f>IF(D27="","",SUMIFS(RaceResults!$E:$E,RaceResults!$A:$A,$A27,RaceResults!$D:$D,D27))</f>
        <v/>
      </c>
      <c r="M27" s="11" t="str">
        <f>IF(E27="","",SUMIFS(RaceResults!$E:$E,RaceResults!$A:$A,$A27,RaceResults!$D:$D,E27))</f>
        <v/>
      </c>
      <c r="N27" s="11" t="str">
        <f>IF(F27="","",SUMIFS(RaceResults!$E:$E,RaceResults!$A:$A,$A27,RaceResults!$D:$D,F27))</f>
        <v/>
      </c>
      <c r="O27" s="11">
        <f t="shared" si="0"/>
        <v>0</v>
      </c>
    </row>
    <row r="28" spans="1:15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3"/>
      <c r="H28" s="3"/>
      <c r="I28" s="11" t="str">
        <f>IF(D28="","",SUMIFS(RaceResults!$C:$C,RaceResults!$A:$A,$A28,RaceResults!$D:$D,D28))</f>
        <v/>
      </c>
      <c r="J28" s="11" t="str">
        <f>IF(E28="","",SUMIFS(RaceResults!$C:$C,RaceResults!$A:$A,$A28,RaceResults!$D:$D,E28))</f>
        <v/>
      </c>
      <c r="K28" s="11" t="str">
        <f>IF(F28="","",SUMIFS(RaceResults!$C:$C,RaceResults!$A:$A,$A28,RaceResults!$D:$D,F28))</f>
        <v/>
      </c>
      <c r="L28" s="11" t="str">
        <f>IF(D28="","",SUMIFS(RaceResults!$E:$E,RaceResults!$A:$A,$A28,RaceResults!$D:$D,D28))</f>
        <v/>
      </c>
      <c r="M28" s="11" t="str">
        <f>IF(E28="","",SUMIFS(RaceResults!$E:$E,RaceResults!$A:$A,$A28,RaceResults!$D:$D,E28))</f>
        <v/>
      </c>
      <c r="N28" s="11" t="str">
        <f>IF(F28="","",SUMIFS(RaceResults!$E:$E,RaceResults!$A:$A,$A28,RaceResults!$D:$D,F28))</f>
        <v/>
      </c>
      <c r="O28" s="11">
        <f t="shared" si="0"/>
        <v>0</v>
      </c>
    </row>
    <row r="29" spans="1:15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3"/>
      <c r="H29" s="3"/>
      <c r="I29" s="11" t="str">
        <f>IF(D29="","",SUMIFS(RaceResults!$C:$C,RaceResults!$A:$A,$A29,RaceResults!$D:$D,D29))</f>
        <v/>
      </c>
      <c r="J29" s="11" t="str">
        <f>IF(E29="","",SUMIFS(RaceResults!$C:$C,RaceResults!$A:$A,$A29,RaceResults!$D:$D,E29))</f>
        <v/>
      </c>
      <c r="K29" s="11" t="str">
        <f>IF(F29="","",SUMIFS(RaceResults!$C:$C,RaceResults!$A:$A,$A29,RaceResults!$D:$D,F29))</f>
        <v/>
      </c>
      <c r="L29" s="11" t="str">
        <f>IF(D29="","",SUMIFS(RaceResults!$E:$E,RaceResults!$A:$A,$A29,RaceResults!$D:$D,D29))</f>
        <v/>
      </c>
      <c r="M29" s="11" t="str">
        <f>IF(E29="","",SUMIFS(RaceResults!$E:$E,RaceResults!$A:$A,$A29,RaceResults!$D:$D,E29))</f>
        <v/>
      </c>
      <c r="N29" s="11" t="str">
        <f>IF(F29="","",SUMIFS(RaceResults!$E:$E,RaceResults!$A:$A,$A29,RaceResults!$D:$D,F29))</f>
        <v/>
      </c>
      <c r="O29" s="11">
        <f t="shared" si="0"/>
        <v>0</v>
      </c>
    </row>
    <row r="30" spans="1:15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3"/>
      <c r="H30" s="3"/>
      <c r="I30" s="11" t="str">
        <f>IF(D30="","",SUMIFS(RaceResults!$C:$C,RaceResults!$A:$A,$A30,RaceResults!$D:$D,D30))</f>
        <v/>
      </c>
      <c r="J30" s="11" t="str">
        <f>IF(E30="","",SUMIFS(RaceResults!$C:$C,RaceResults!$A:$A,$A30,RaceResults!$D:$D,E30))</f>
        <v/>
      </c>
      <c r="K30" s="11" t="str">
        <f>IF(F30="","",SUMIFS(RaceResults!$C:$C,RaceResults!$A:$A,$A30,RaceResults!$D:$D,F30))</f>
        <v/>
      </c>
      <c r="L30" s="11" t="str">
        <f>IF(D30="","",SUMIFS(RaceResults!$E:$E,RaceResults!$A:$A,$A30,RaceResults!$D:$D,D30))</f>
        <v/>
      </c>
      <c r="M30" s="11" t="str">
        <f>IF(E30="","",SUMIFS(RaceResults!$E:$E,RaceResults!$A:$A,$A30,RaceResults!$D:$D,E30))</f>
        <v/>
      </c>
      <c r="N30" s="11" t="str">
        <f>IF(F30="","",SUMIFS(RaceResults!$E:$E,RaceResults!$A:$A,$A30,RaceResults!$D:$D,F30))</f>
        <v/>
      </c>
      <c r="O30" s="11">
        <f t="shared" si="0"/>
        <v>0</v>
      </c>
    </row>
    <row r="31" spans="1:15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3"/>
      <c r="H31" s="3"/>
      <c r="I31" s="11" t="str">
        <f>IF(D31="","",SUMIFS(RaceResults!$C:$C,RaceResults!$A:$A,$A31,RaceResults!$D:$D,D31))</f>
        <v/>
      </c>
      <c r="J31" s="11" t="str">
        <f>IF(E31="","",SUMIFS(RaceResults!$C:$C,RaceResults!$A:$A,$A31,RaceResults!$D:$D,E31))</f>
        <v/>
      </c>
      <c r="K31" s="11" t="str">
        <f>IF(F31="","",SUMIFS(RaceResults!$C:$C,RaceResults!$A:$A,$A31,RaceResults!$D:$D,F31))</f>
        <v/>
      </c>
      <c r="L31" s="11" t="str">
        <f>IF(D31="","",SUMIFS(RaceResults!$E:$E,RaceResults!$A:$A,$A31,RaceResults!$D:$D,D31))</f>
        <v/>
      </c>
      <c r="M31" s="11" t="str">
        <f>IF(E31="","",SUMIFS(RaceResults!$E:$E,RaceResults!$A:$A,$A31,RaceResults!$D:$D,E31))</f>
        <v/>
      </c>
      <c r="N31" s="11" t="str">
        <f>IF(F31="","",SUMIFS(RaceResults!$E:$E,RaceResults!$A:$A,$A31,RaceResults!$D:$D,F31))</f>
        <v/>
      </c>
      <c r="O31" s="11">
        <f t="shared" si="0"/>
        <v>0</v>
      </c>
    </row>
    <row r="32" spans="1:15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3"/>
      <c r="H32" s="3"/>
      <c r="I32" s="11">
        <f>IF(D32="","",SUMIFS(RaceResults!$C:$C,RaceResults!$A:$A,$A32,RaceResults!$D:$D,D32))</f>
        <v>3</v>
      </c>
      <c r="J32" s="11">
        <f>IF(E32="","",SUMIFS(RaceResults!$C:$C,RaceResults!$A:$A,$A32,RaceResults!$D:$D,E32))</f>
        <v>5</v>
      </c>
      <c r="K32" s="11">
        <f>IF(F32="","",SUMIFS(RaceResults!$C:$C,RaceResults!$A:$A,$A32,RaceResults!$D:$D,F32))</f>
        <v>8</v>
      </c>
      <c r="L32" s="11">
        <f>IF(D32="","",SUMIFS(RaceResults!$E:$E,RaceResults!$A:$A,$A32,RaceResults!$D:$D,D32))</f>
        <v>34</v>
      </c>
      <c r="M32" s="11">
        <f>IF(E32="","",SUMIFS(RaceResults!$E:$E,RaceResults!$A:$A,$A32,RaceResults!$D:$D,E32))</f>
        <v>32</v>
      </c>
      <c r="N32" s="11">
        <f>IF(F32="","",SUMIFS(RaceResults!$E:$E,RaceResults!$A:$A,$A32,RaceResults!$D:$D,F32))</f>
        <v>29</v>
      </c>
      <c r="O32" s="11">
        <f t="shared" si="0"/>
        <v>95</v>
      </c>
    </row>
    <row r="33" spans="1:15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3"/>
      <c r="H33" s="3"/>
      <c r="I33" s="11">
        <f>IF(D33="","",SUMIFS(RaceResults!$C:$C,RaceResults!$A:$A,$A33,RaceResults!$D:$D,D33))</f>
        <v>30</v>
      </c>
      <c r="J33" s="11">
        <f>IF(E33="","",SUMIFS(RaceResults!$C:$C,RaceResults!$A:$A,$A33,RaceResults!$D:$D,E33))</f>
        <v>1</v>
      </c>
      <c r="K33" s="11">
        <f>IF(F33="","",SUMIFS(RaceResults!$C:$C,RaceResults!$A:$A,$A33,RaceResults!$D:$D,F33))</f>
        <v>28</v>
      </c>
      <c r="L33" s="11">
        <f>IF(D33="","",SUMIFS(RaceResults!$E:$E,RaceResults!$A:$A,$A33,RaceResults!$D:$D,D33))</f>
        <v>7</v>
      </c>
      <c r="M33" s="11">
        <f>IF(E33="","",SUMIFS(RaceResults!$E:$E,RaceResults!$A:$A,$A33,RaceResults!$D:$D,E33))</f>
        <v>55</v>
      </c>
      <c r="N33" s="11">
        <f>IF(F33="","",SUMIFS(RaceResults!$E:$E,RaceResults!$A:$A,$A33,RaceResults!$D:$D,F33))</f>
        <v>9</v>
      </c>
      <c r="O33" s="11">
        <f t="shared" si="0"/>
        <v>71</v>
      </c>
    </row>
    <row r="34" spans="1:15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3"/>
      <c r="H34" s="3"/>
      <c r="I34" s="11">
        <f>IF(D34="","",SUMIFS(RaceResults!$C:$C,RaceResults!$A:$A,$A34,RaceResults!$D:$D,D34))</f>
        <v>32</v>
      </c>
      <c r="J34" s="11">
        <f>IF(E34="","",SUMIFS(RaceResults!$C:$C,RaceResults!$A:$A,$A34,RaceResults!$D:$D,E34))</f>
        <v>31</v>
      </c>
      <c r="K34" s="11">
        <f>IF(F34="","",SUMIFS(RaceResults!$C:$C,RaceResults!$A:$A,$A34,RaceResults!$D:$D,F34))</f>
        <v>7</v>
      </c>
      <c r="L34" s="11">
        <f>IF(D34="","",SUMIFS(RaceResults!$E:$E,RaceResults!$A:$A,$A34,RaceResults!$D:$D,D34))</f>
        <v>5</v>
      </c>
      <c r="M34" s="11">
        <f>IF(E34="","",SUMIFS(RaceResults!$E:$E,RaceResults!$A:$A,$A34,RaceResults!$D:$D,E34))</f>
        <v>6</v>
      </c>
      <c r="N34" s="11">
        <f>IF(F34="","",SUMIFS(RaceResults!$E:$E,RaceResults!$A:$A,$A34,RaceResults!$D:$D,F34))</f>
        <v>30</v>
      </c>
      <c r="O34" s="11">
        <f t="shared" si="0"/>
        <v>41</v>
      </c>
    </row>
    <row r="35" spans="1:15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3"/>
      <c r="H35" s="3"/>
      <c r="I35" s="11">
        <f>IF(D35="","",SUMIFS(RaceResults!$C:$C,RaceResults!$A:$A,$A35,RaceResults!$D:$D,D35))</f>
        <v>3</v>
      </c>
      <c r="J35" s="11">
        <f>IF(E35="","",SUMIFS(RaceResults!$C:$C,RaceResults!$A:$A,$A35,RaceResults!$D:$D,E35))</f>
        <v>1</v>
      </c>
      <c r="K35" s="11">
        <f>IF(F35="","",SUMIFS(RaceResults!$C:$C,RaceResults!$A:$A,$A35,RaceResults!$D:$D,F35))</f>
        <v>34</v>
      </c>
      <c r="L35" s="11">
        <f>IF(D35="","",SUMIFS(RaceResults!$E:$E,RaceResults!$A:$A,$A35,RaceResults!$D:$D,D35))</f>
        <v>34</v>
      </c>
      <c r="M35" s="11">
        <f>IF(E35="","",SUMIFS(RaceResults!$E:$E,RaceResults!$A:$A,$A35,RaceResults!$D:$D,E35))</f>
        <v>55</v>
      </c>
      <c r="N35" s="11">
        <f>IF(F35="","",SUMIFS(RaceResults!$E:$E,RaceResults!$A:$A,$A35,RaceResults!$D:$D,F35))</f>
        <v>3</v>
      </c>
      <c r="O35" s="11">
        <f t="shared" si="0"/>
        <v>92</v>
      </c>
    </row>
    <row r="36" spans="1:15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3"/>
      <c r="H36" s="3"/>
      <c r="I36" s="11">
        <f>IF(D36="","",SUMIFS(RaceResults!$C:$C,RaceResults!$A:$A,$A36,RaceResults!$D:$D,D36))</f>
        <v>8</v>
      </c>
      <c r="J36" s="11">
        <f>IF(E36="","",SUMIFS(RaceResults!$C:$C,RaceResults!$A:$A,$A36,RaceResults!$D:$D,E36))</f>
        <v>1</v>
      </c>
      <c r="K36" s="11">
        <f>IF(F36="","",SUMIFS(RaceResults!$C:$C,RaceResults!$A:$A,$A36,RaceResults!$D:$D,F36))</f>
        <v>37</v>
      </c>
      <c r="L36" s="11">
        <f>IF(D36="","",SUMIFS(RaceResults!$E:$E,RaceResults!$A:$A,$A36,RaceResults!$D:$D,D36))</f>
        <v>29</v>
      </c>
      <c r="M36" s="11">
        <f>IF(E36="","",SUMIFS(RaceResults!$E:$E,RaceResults!$A:$A,$A36,RaceResults!$D:$D,E36))</f>
        <v>55</v>
      </c>
      <c r="N36" s="11">
        <f>IF(F36="","",SUMIFS(RaceResults!$E:$E,RaceResults!$A:$A,$A36,RaceResults!$D:$D,F36))</f>
        <v>1</v>
      </c>
      <c r="O36" s="11">
        <f t="shared" si="0"/>
        <v>85</v>
      </c>
    </row>
    <row r="37" spans="1:15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3"/>
      <c r="H37" s="3"/>
      <c r="I37" s="11" t="str">
        <f>IF(D37="","",SUMIFS(RaceResults!$C:$C,RaceResults!$A:$A,$A37,RaceResults!$D:$D,D37))</f>
        <v/>
      </c>
      <c r="J37" s="11" t="str">
        <f>IF(E37="","",SUMIFS(RaceResults!$C:$C,RaceResults!$A:$A,$A37,RaceResults!$D:$D,E37))</f>
        <v/>
      </c>
      <c r="K37" s="11" t="str">
        <f>IF(F37="","",SUMIFS(RaceResults!$C:$C,RaceResults!$A:$A,$A37,RaceResults!$D:$D,F37))</f>
        <v/>
      </c>
      <c r="L37" s="11" t="str">
        <f>IF(D37="","",SUMIFS(RaceResults!$E:$E,RaceResults!$A:$A,$A37,RaceResults!$D:$D,D37))</f>
        <v/>
      </c>
      <c r="M37" s="11" t="str">
        <f>IF(E37="","",SUMIFS(RaceResults!$E:$E,RaceResults!$A:$A,$A37,RaceResults!$D:$D,E37))</f>
        <v/>
      </c>
      <c r="N37" s="11" t="str">
        <f>IF(F37="","",SUMIFS(RaceResults!$E:$E,RaceResults!$A:$A,$A37,RaceResults!$D:$D,F37))</f>
        <v/>
      </c>
      <c r="O37" s="11">
        <f t="shared" si="0"/>
        <v>0</v>
      </c>
    </row>
    <row r="38" spans="1:15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3"/>
      <c r="H38" s="3"/>
      <c r="I38" s="11" t="str">
        <f>IF(D38="","",SUMIFS(RaceResults!$C:$C,RaceResults!$A:$A,$A38,RaceResults!$D:$D,D38))</f>
        <v/>
      </c>
      <c r="J38" s="11" t="str">
        <f>IF(E38="","",SUMIFS(RaceResults!$C:$C,RaceResults!$A:$A,$A38,RaceResults!$D:$D,E38))</f>
        <v/>
      </c>
      <c r="K38" s="11" t="str">
        <f>IF(F38="","",SUMIFS(RaceResults!$C:$C,RaceResults!$A:$A,$A38,RaceResults!$D:$D,F38))</f>
        <v/>
      </c>
      <c r="L38" s="11" t="str">
        <f>IF(D38="","",SUMIFS(RaceResults!$E:$E,RaceResults!$A:$A,$A38,RaceResults!$D:$D,D38))</f>
        <v/>
      </c>
      <c r="M38" s="11" t="str">
        <f>IF(E38="","",SUMIFS(RaceResults!$E:$E,RaceResults!$A:$A,$A38,RaceResults!$D:$D,E38))</f>
        <v/>
      </c>
      <c r="N38" s="11" t="str">
        <f>IF(F38="","",SUMIFS(RaceResults!$E:$E,RaceResults!$A:$A,$A38,RaceResults!$D:$D,F38))</f>
        <v/>
      </c>
      <c r="O38" s="11">
        <f t="shared" si="0"/>
        <v>0</v>
      </c>
    </row>
    <row r="39" spans="1:15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3"/>
      <c r="H39" s="3"/>
      <c r="I39" s="11" t="str">
        <f>IF(D39="","",SUMIFS(RaceResults!$C:$C,RaceResults!$A:$A,$A39,RaceResults!$D:$D,D39))</f>
        <v/>
      </c>
      <c r="J39" s="11" t="str">
        <f>IF(E39="","",SUMIFS(RaceResults!$C:$C,RaceResults!$A:$A,$A39,RaceResults!$D:$D,E39))</f>
        <v/>
      </c>
      <c r="K39" s="11" t="str">
        <f>IF(F39="","",SUMIFS(RaceResults!$C:$C,RaceResults!$A:$A,$A39,RaceResults!$D:$D,F39))</f>
        <v/>
      </c>
      <c r="L39" s="11" t="str">
        <f>IF(D39="","",SUMIFS(RaceResults!$E:$E,RaceResults!$A:$A,$A39,RaceResults!$D:$D,D39))</f>
        <v/>
      </c>
      <c r="M39" s="11" t="str">
        <f>IF(E39="","",SUMIFS(RaceResults!$E:$E,RaceResults!$A:$A,$A39,RaceResults!$D:$D,E39))</f>
        <v/>
      </c>
      <c r="N39" s="11" t="str">
        <f>IF(F39="","",SUMIFS(RaceResults!$E:$E,RaceResults!$A:$A,$A39,RaceResults!$D:$D,F39))</f>
        <v/>
      </c>
      <c r="O39" s="11">
        <f t="shared" si="0"/>
        <v>0</v>
      </c>
    </row>
    <row r="40" spans="1:15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3"/>
      <c r="H40" s="3"/>
      <c r="I40" s="11" t="str">
        <f>IF(D40="","",SUMIFS(RaceResults!$C:$C,RaceResults!$A:$A,$A40,RaceResults!$D:$D,D40))</f>
        <v/>
      </c>
      <c r="J40" s="11" t="str">
        <f>IF(E40="","",SUMIFS(RaceResults!$C:$C,RaceResults!$A:$A,$A40,RaceResults!$D:$D,E40))</f>
        <v/>
      </c>
      <c r="K40" s="11" t="str">
        <f>IF(F40="","",SUMIFS(RaceResults!$C:$C,RaceResults!$A:$A,$A40,RaceResults!$D:$D,F40))</f>
        <v/>
      </c>
      <c r="L40" s="11" t="str">
        <f>IF(D40="","",SUMIFS(RaceResults!$E:$E,RaceResults!$A:$A,$A40,RaceResults!$D:$D,D40))</f>
        <v/>
      </c>
      <c r="M40" s="11" t="str">
        <f>IF(E40="","",SUMIFS(RaceResults!$E:$E,RaceResults!$A:$A,$A40,RaceResults!$D:$D,E40))</f>
        <v/>
      </c>
      <c r="N40" s="11" t="str">
        <f>IF(F40="","",SUMIFS(RaceResults!$E:$E,RaceResults!$A:$A,$A40,RaceResults!$D:$D,F40))</f>
        <v/>
      </c>
      <c r="O40" s="11">
        <f t="shared" si="0"/>
        <v>0</v>
      </c>
    </row>
    <row r="41" spans="1:15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3"/>
      <c r="H41" s="3"/>
      <c r="I41" s="11" t="str">
        <f>IF(D41="","",SUMIFS(RaceResults!$C:$C,RaceResults!$A:$A,$A41,RaceResults!$D:$D,D41))</f>
        <v/>
      </c>
      <c r="J41" s="11" t="str">
        <f>IF(E41="","",SUMIFS(RaceResults!$C:$C,RaceResults!$A:$A,$A41,RaceResults!$D:$D,E41))</f>
        <v/>
      </c>
      <c r="K41" s="11" t="str">
        <f>IF(F41="","",SUMIFS(RaceResults!$C:$C,RaceResults!$A:$A,$A41,RaceResults!$D:$D,F41))</f>
        <v/>
      </c>
      <c r="L41" s="11" t="str">
        <f>IF(D41="","",SUMIFS(RaceResults!$E:$E,RaceResults!$A:$A,$A41,RaceResults!$D:$D,D41))</f>
        <v/>
      </c>
      <c r="M41" s="11" t="str">
        <f>IF(E41="","",SUMIFS(RaceResults!$E:$E,RaceResults!$A:$A,$A41,RaceResults!$D:$D,E41))</f>
        <v/>
      </c>
      <c r="N41" s="11" t="str">
        <f>IF(F41="","",SUMIFS(RaceResults!$E:$E,RaceResults!$A:$A,$A41,RaceResults!$D:$D,F41))</f>
        <v/>
      </c>
      <c r="O41" s="11">
        <f t="shared" si="0"/>
        <v>0</v>
      </c>
    </row>
    <row r="42" spans="1:15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3"/>
      <c r="H42" s="3"/>
      <c r="I42" s="11">
        <f>IF(D42="","",SUMIFS(RaceResults!$C:$C,RaceResults!$A:$A,$A42,RaceResults!$D:$D,D42))</f>
        <v>7</v>
      </c>
      <c r="J42" s="11">
        <f>IF(E42="","",SUMIFS(RaceResults!$C:$C,RaceResults!$A:$A,$A42,RaceResults!$D:$D,E42))</f>
        <v>13</v>
      </c>
      <c r="K42" s="11">
        <f>IF(F42="","",SUMIFS(RaceResults!$C:$C,RaceResults!$A:$A,$A42,RaceResults!$D:$D,F42))</f>
        <v>9</v>
      </c>
      <c r="L42" s="11">
        <f>IF(D42="","",SUMIFS(RaceResults!$E:$E,RaceResults!$A:$A,$A42,RaceResults!$D:$D,D42))</f>
        <v>30</v>
      </c>
      <c r="M42" s="11">
        <f>IF(E42="","",SUMIFS(RaceResults!$E:$E,RaceResults!$A:$A,$A42,RaceResults!$D:$D,E42))</f>
        <v>24</v>
      </c>
      <c r="N42" s="11">
        <f>IF(F42="","",SUMIFS(RaceResults!$E:$E,RaceResults!$A:$A,$A42,RaceResults!$D:$D,F42))</f>
        <v>28</v>
      </c>
      <c r="O42" s="11">
        <f t="shared" si="0"/>
        <v>82</v>
      </c>
    </row>
    <row r="43" spans="1:15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3"/>
      <c r="H43" s="3"/>
      <c r="I43" s="11">
        <f>IF(D43="","",SUMIFS(RaceResults!$C:$C,RaceResults!$A:$A,$A43,RaceResults!$D:$D,D43))</f>
        <v>1</v>
      </c>
      <c r="J43" s="11">
        <f>IF(E43="","",SUMIFS(RaceResults!$C:$C,RaceResults!$A:$A,$A43,RaceResults!$D:$D,E43))</f>
        <v>16</v>
      </c>
      <c r="K43" s="11">
        <f>IF(F43="","",SUMIFS(RaceResults!$C:$C,RaceResults!$A:$A,$A43,RaceResults!$D:$D,F43))</f>
        <v>2</v>
      </c>
      <c r="L43" s="11">
        <f>IF(D43="","",SUMIFS(RaceResults!$E:$E,RaceResults!$A:$A,$A43,RaceResults!$D:$D,D43))</f>
        <v>55</v>
      </c>
      <c r="M43" s="11">
        <f>IF(E43="","",SUMIFS(RaceResults!$E:$E,RaceResults!$A:$A,$A43,RaceResults!$D:$D,E43))</f>
        <v>21</v>
      </c>
      <c r="N43" s="11">
        <f>IF(F43="","",SUMIFS(RaceResults!$E:$E,RaceResults!$A:$A,$A43,RaceResults!$D:$D,F43))</f>
        <v>35</v>
      </c>
      <c r="O43" s="11">
        <f t="shared" si="0"/>
        <v>111</v>
      </c>
    </row>
    <row r="44" spans="1:15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3"/>
      <c r="H44" s="3"/>
      <c r="I44" s="11">
        <f>IF(D44="","",SUMIFS(RaceResults!$C:$C,RaceResults!$A:$A,$A44,RaceResults!$D:$D,D44))</f>
        <v>4</v>
      </c>
      <c r="J44" s="11">
        <f>IF(E44="","",SUMIFS(RaceResults!$C:$C,RaceResults!$A:$A,$A44,RaceResults!$D:$D,E44))</f>
        <v>9</v>
      </c>
      <c r="K44" s="11">
        <f>IF(F44="","",SUMIFS(RaceResults!$C:$C,RaceResults!$A:$A,$A44,RaceResults!$D:$D,F44))</f>
        <v>3</v>
      </c>
      <c r="L44" s="11">
        <f>IF(D44="","",SUMIFS(RaceResults!$E:$E,RaceResults!$A:$A,$A44,RaceResults!$D:$D,D44))</f>
        <v>33</v>
      </c>
      <c r="M44" s="11">
        <f>IF(E44="","",SUMIFS(RaceResults!$E:$E,RaceResults!$A:$A,$A44,RaceResults!$D:$D,E44))</f>
        <v>28</v>
      </c>
      <c r="N44" s="11">
        <f>IF(F44="","",SUMIFS(RaceResults!$E:$E,RaceResults!$A:$A,$A44,RaceResults!$D:$D,F44))</f>
        <v>34</v>
      </c>
      <c r="O44" s="11">
        <f t="shared" si="0"/>
        <v>95</v>
      </c>
    </row>
    <row r="45" spans="1:15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3"/>
      <c r="H45" s="3"/>
      <c r="I45" s="11">
        <f>IF(D45="","",SUMIFS(RaceResults!$C:$C,RaceResults!$A:$A,$A45,RaceResults!$D:$D,D45))</f>
        <v>1</v>
      </c>
      <c r="J45" s="11">
        <f>IF(E45="","",SUMIFS(RaceResults!$C:$C,RaceResults!$A:$A,$A45,RaceResults!$D:$D,E45))</f>
        <v>16</v>
      </c>
      <c r="K45" s="11">
        <f>IF(F45="","",SUMIFS(RaceResults!$C:$C,RaceResults!$A:$A,$A45,RaceResults!$D:$D,F45))</f>
        <v>7</v>
      </c>
      <c r="L45" s="11">
        <f>IF(D45="","",SUMIFS(RaceResults!$E:$E,RaceResults!$A:$A,$A45,RaceResults!$D:$D,D45))</f>
        <v>55</v>
      </c>
      <c r="M45" s="11">
        <f>IF(E45="","",SUMIFS(RaceResults!$E:$E,RaceResults!$A:$A,$A45,RaceResults!$D:$D,E45))</f>
        <v>21</v>
      </c>
      <c r="N45" s="11">
        <f>IF(F45="","",SUMIFS(RaceResults!$E:$E,RaceResults!$A:$A,$A45,RaceResults!$D:$D,F45))</f>
        <v>30</v>
      </c>
      <c r="O45" s="11">
        <f t="shared" si="0"/>
        <v>106</v>
      </c>
    </row>
    <row r="46" spans="1:15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3"/>
      <c r="H46" s="3"/>
      <c r="I46" s="11">
        <f>IF(D46="","",SUMIFS(RaceResults!$C:$C,RaceResults!$A:$A,$A46,RaceResults!$D:$D,D46))</f>
        <v>7</v>
      </c>
      <c r="J46" s="11">
        <f>IF(E46="","",SUMIFS(RaceResults!$C:$C,RaceResults!$A:$A,$A46,RaceResults!$D:$D,E46))</f>
        <v>1</v>
      </c>
      <c r="K46" s="11">
        <f>IF(F46="","",SUMIFS(RaceResults!$C:$C,RaceResults!$A:$A,$A46,RaceResults!$D:$D,F46))</f>
        <v>4</v>
      </c>
      <c r="L46" s="11">
        <f>IF(D46="","",SUMIFS(RaceResults!$E:$E,RaceResults!$A:$A,$A46,RaceResults!$D:$D,D46))</f>
        <v>30</v>
      </c>
      <c r="M46" s="11">
        <f>IF(E46="","",SUMIFS(RaceResults!$E:$E,RaceResults!$A:$A,$A46,RaceResults!$D:$D,E46))</f>
        <v>55</v>
      </c>
      <c r="N46" s="11">
        <f>IF(F46="","",SUMIFS(RaceResults!$E:$E,RaceResults!$A:$A,$A46,RaceResults!$D:$D,F46))</f>
        <v>33</v>
      </c>
      <c r="O46" s="11">
        <f t="shared" si="0"/>
        <v>118</v>
      </c>
    </row>
    <row r="47" spans="1:15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3"/>
      <c r="H47" s="3"/>
      <c r="I47" s="11">
        <f>IF(D47="","",SUMIFS(RaceResults!$C:$C,RaceResults!$A:$A,$A47,RaceResults!$D:$D,D47))</f>
        <v>4</v>
      </c>
      <c r="J47" s="11">
        <f>IF(E47="","",SUMIFS(RaceResults!$C:$C,RaceResults!$A:$A,$A47,RaceResults!$D:$D,E47))</f>
        <v>13</v>
      </c>
      <c r="K47" s="11">
        <f>IF(F47="","",SUMIFS(RaceResults!$C:$C,RaceResults!$A:$A,$A47,RaceResults!$D:$D,F47))</f>
        <v>1</v>
      </c>
      <c r="L47" s="11">
        <f>IF(D47="","",SUMIFS(RaceResults!$E:$E,RaceResults!$A:$A,$A47,RaceResults!$D:$D,D47))</f>
        <v>33</v>
      </c>
      <c r="M47" s="11">
        <f>IF(E47="","",SUMIFS(RaceResults!$E:$E,RaceResults!$A:$A,$A47,RaceResults!$D:$D,E47))</f>
        <v>24</v>
      </c>
      <c r="N47" s="11">
        <f>IF(F47="","",SUMIFS(RaceResults!$E:$E,RaceResults!$A:$A,$A47,RaceResults!$D:$D,F47))</f>
        <v>55</v>
      </c>
      <c r="O47" s="11">
        <f t="shared" si="0"/>
        <v>112</v>
      </c>
    </row>
    <row r="48" spans="1:15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3"/>
      <c r="H48" s="3"/>
      <c r="I48" s="11" t="str">
        <f>IF(D48="","",SUMIFS(RaceResults!$C:$C,RaceResults!$A:$A,$A48,RaceResults!$D:$D,D48))</f>
        <v/>
      </c>
      <c r="J48" s="11" t="str">
        <f>IF(E48="","",SUMIFS(RaceResults!$C:$C,RaceResults!$A:$A,$A48,RaceResults!$D:$D,E48))</f>
        <v/>
      </c>
      <c r="K48" s="11" t="str">
        <f>IF(F48="","",SUMIFS(RaceResults!$C:$C,RaceResults!$A:$A,$A48,RaceResults!$D:$D,F48))</f>
        <v/>
      </c>
      <c r="L48" s="11" t="str">
        <f>IF(D48="","",SUMIFS(RaceResults!$E:$E,RaceResults!$A:$A,$A48,RaceResults!$D:$D,D48))</f>
        <v/>
      </c>
      <c r="M48" s="11" t="str">
        <f>IF(E48="","",SUMIFS(RaceResults!$E:$E,RaceResults!$A:$A,$A48,RaceResults!$D:$D,E48))</f>
        <v/>
      </c>
      <c r="N48" s="11" t="str">
        <f>IF(F48="","",SUMIFS(RaceResults!$E:$E,RaceResults!$A:$A,$A48,RaceResults!$D:$D,F48))</f>
        <v/>
      </c>
      <c r="O48" s="11">
        <f t="shared" si="0"/>
        <v>0</v>
      </c>
    </row>
    <row r="49" spans="1:15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3"/>
      <c r="H49" s="3"/>
      <c r="I49" s="11" t="str">
        <f>IF(D49="","",SUMIFS(RaceResults!$C:$C,RaceResults!$A:$A,$A49,RaceResults!$D:$D,D49))</f>
        <v/>
      </c>
      <c r="J49" s="11" t="str">
        <f>IF(E49="","",SUMIFS(RaceResults!$C:$C,RaceResults!$A:$A,$A49,RaceResults!$D:$D,E49))</f>
        <v/>
      </c>
      <c r="K49" s="11" t="str">
        <f>IF(F49="","",SUMIFS(RaceResults!$C:$C,RaceResults!$A:$A,$A49,RaceResults!$D:$D,F49))</f>
        <v/>
      </c>
      <c r="L49" s="11" t="str">
        <f>IF(D49="","",SUMIFS(RaceResults!$E:$E,RaceResults!$A:$A,$A49,RaceResults!$D:$D,D49))</f>
        <v/>
      </c>
      <c r="M49" s="11" t="str">
        <f>IF(E49="","",SUMIFS(RaceResults!$E:$E,RaceResults!$A:$A,$A49,RaceResults!$D:$D,E49))</f>
        <v/>
      </c>
      <c r="N49" s="11" t="str">
        <f>IF(F49="","",SUMIFS(RaceResults!$E:$E,RaceResults!$A:$A,$A49,RaceResults!$D:$D,F49))</f>
        <v/>
      </c>
      <c r="O49" s="11">
        <f t="shared" si="0"/>
        <v>0</v>
      </c>
    </row>
    <row r="50" spans="1:15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3"/>
      <c r="H50" s="3"/>
      <c r="I50" s="11" t="str">
        <f>IF(D50="","",SUMIFS(RaceResults!$C:$C,RaceResults!$A:$A,$A50,RaceResults!$D:$D,D50))</f>
        <v/>
      </c>
      <c r="J50" s="11" t="str">
        <f>IF(E50="","",SUMIFS(RaceResults!$C:$C,RaceResults!$A:$A,$A50,RaceResults!$D:$D,E50))</f>
        <v/>
      </c>
      <c r="K50" s="11" t="str">
        <f>IF(F50="","",SUMIFS(RaceResults!$C:$C,RaceResults!$A:$A,$A50,RaceResults!$D:$D,F50))</f>
        <v/>
      </c>
      <c r="L50" s="11" t="str">
        <f>IF(D50="","",SUMIFS(RaceResults!$E:$E,RaceResults!$A:$A,$A50,RaceResults!$D:$D,D50))</f>
        <v/>
      </c>
      <c r="M50" s="11" t="str">
        <f>IF(E50="","",SUMIFS(RaceResults!$E:$E,RaceResults!$A:$A,$A50,RaceResults!$D:$D,E50))</f>
        <v/>
      </c>
      <c r="N50" s="11" t="str">
        <f>IF(F50="","",SUMIFS(RaceResults!$E:$E,RaceResults!$A:$A,$A50,RaceResults!$D:$D,F50))</f>
        <v/>
      </c>
      <c r="O50" s="11">
        <f t="shared" si="0"/>
        <v>0</v>
      </c>
    </row>
    <row r="51" spans="1:15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3"/>
      <c r="H51" s="3"/>
      <c r="I51" s="11">
        <f>IF(D51="","",SUMIFS(RaceResults!$C:$C,RaceResults!$A:$A,$A51,RaceResults!$D:$D,D51))</f>
        <v>13</v>
      </c>
      <c r="J51" s="11">
        <f>IF(E51="","",SUMIFS(RaceResults!$C:$C,RaceResults!$A:$A,$A51,RaceResults!$D:$D,E51))</f>
        <v>9</v>
      </c>
      <c r="K51" s="11">
        <f>IF(F51="","",SUMIFS(RaceResults!$C:$C,RaceResults!$A:$A,$A51,RaceResults!$D:$D,F51))</f>
        <v>7</v>
      </c>
      <c r="L51" s="11">
        <f>IF(D51="","",SUMIFS(RaceResults!$E:$E,RaceResults!$A:$A,$A51,RaceResults!$D:$D,D51))</f>
        <v>24</v>
      </c>
      <c r="M51" s="11">
        <f>IF(E51="","",SUMIFS(RaceResults!$E:$E,RaceResults!$A:$A,$A51,RaceResults!$D:$D,E51))</f>
        <v>28</v>
      </c>
      <c r="N51" s="11">
        <f>IF(F51="","",SUMIFS(RaceResults!$E:$E,RaceResults!$A:$A,$A51,RaceResults!$D:$D,F51))</f>
        <v>30</v>
      </c>
      <c r="O51" s="11">
        <f t="shared" si="0"/>
        <v>82</v>
      </c>
    </row>
    <row r="52" spans="1:15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3"/>
      <c r="H52" s="3"/>
      <c r="I52" s="11">
        <f>IF(D52="","",SUMIFS(RaceResults!$C:$C,RaceResults!$A:$A,$A52,RaceResults!$D:$D,D52))</f>
        <v>32</v>
      </c>
      <c r="J52" s="11">
        <f>IF(E52="","",SUMIFS(RaceResults!$C:$C,RaceResults!$A:$A,$A52,RaceResults!$D:$D,E52))</f>
        <v>1</v>
      </c>
      <c r="K52" s="11">
        <f>IF(F52="","",SUMIFS(RaceResults!$C:$C,RaceResults!$A:$A,$A52,RaceResults!$D:$D,F52))</f>
        <v>3</v>
      </c>
      <c r="L52" s="11">
        <f>IF(D52="","",SUMIFS(RaceResults!$E:$E,RaceResults!$A:$A,$A52,RaceResults!$D:$D,D52))</f>
        <v>5</v>
      </c>
      <c r="M52" s="11">
        <f>IF(E52="","",SUMIFS(RaceResults!$E:$E,RaceResults!$A:$A,$A52,RaceResults!$D:$D,E52))</f>
        <v>55</v>
      </c>
      <c r="N52" s="11">
        <f>IF(F52="","",SUMIFS(RaceResults!$E:$E,RaceResults!$A:$A,$A52,RaceResults!$D:$D,F52))</f>
        <v>34</v>
      </c>
      <c r="O52" s="11">
        <f t="shared" si="0"/>
        <v>94</v>
      </c>
    </row>
    <row r="53" spans="1:15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3"/>
      <c r="H53" s="3"/>
      <c r="I53" s="11">
        <f>IF(D53="","",SUMIFS(RaceResults!$C:$C,RaceResults!$A:$A,$A53,RaceResults!$D:$D,D53))</f>
        <v>33</v>
      </c>
      <c r="J53" s="11">
        <f>IF(E53="","",SUMIFS(RaceResults!$C:$C,RaceResults!$A:$A,$A53,RaceResults!$D:$D,E53))</f>
        <v>11</v>
      </c>
      <c r="K53" s="11">
        <f>IF(F53="","",SUMIFS(RaceResults!$C:$C,RaceResults!$A:$A,$A53,RaceResults!$D:$D,F53))</f>
        <v>32</v>
      </c>
      <c r="L53" s="11">
        <f>IF(D53="","",SUMIFS(RaceResults!$E:$E,RaceResults!$A:$A,$A53,RaceResults!$D:$D,D53))</f>
        <v>4</v>
      </c>
      <c r="M53" s="11">
        <f>IF(E53="","",SUMIFS(RaceResults!$E:$E,RaceResults!$A:$A,$A53,RaceResults!$D:$D,E53))</f>
        <v>26</v>
      </c>
      <c r="N53" s="11">
        <f>IF(F53="","",SUMIFS(RaceResults!$E:$E,RaceResults!$A:$A,$A53,RaceResults!$D:$D,F53))</f>
        <v>5</v>
      </c>
      <c r="O53" s="11">
        <f t="shared" si="0"/>
        <v>35</v>
      </c>
    </row>
    <row r="54" spans="1:15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3"/>
      <c r="H54" s="3"/>
      <c r="I54" s="11">
        <f>IF(D54="","",SUMIFS(RaceResults!$C:$C,RaceResults!$A:$A,$A54,RaceResults!$D:$D,D54))</f>
        <v>15</v>
      </c>
      <c r="J54" s="11">
        <f>IF(E54="","",SUMIFS(RaceResults!$C:$C,RaceResults!$A:$A,$A54,RaceResults!$D:$D,E54))</f>
        <v>11</v>
      </c>
      <c r="K54" s="11">
        <f>IF(F54="","",SUMIFS(RaceResults!$C:$C,RaceResults!$A:$A,$A54,RaceResults!$D:$D,F54))</f>
        <v>3</v>
      </c>
      <c r="L54" s="11">
        <f>IF(D54="","",SUMIFS(RaceResults!$E:$E,RaceResults!$A:$A,$A54,RaceResults!$D:$D,D54))</f>
        <v>22</v>
      </c>
      <c r="M54" s="11">
        <f>IF(E54="","",SUMIFS(RaceResults!$E:$E,RaceResults!$A:$A,$A54,RaceResults!$D:$D,E54))</f>
        <v>26</v>
      </c>
      <c r="N54" s="11">
        <f>IF(F54="","",SUMIFS(RaceResults!$E:$E,RaceResults!$A:$A,$A54,RaceResults!$D:$D,F54))</f>
        <v>34</v>
      </c>
      <c r="O54" s="11">
        <f t="shared" si="0"/>
        <v>82</v>
      </c>
    </row>
    <row r="55" spans="1:15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3"/>
      <c r="H55" s="3"/>
      <c r="I55" s="11">
        <f>IF(D55="","",SUMIFS(RaceResults!$C:$C,RaceResults!$A:$A,$A55,RaceResults!$D:$D,D55))</f>
        <v>11</v>
      </c>
      <c r="J55" s="11">
        <f>IF(E55="","",SUMIFS(RaceResults!$C:$C,RaceResults!$A:$A,$A55,RaceResults!$D:$D,E55))</f>
        <v>3</v>
      </c>
      <c r="K55" s="11">
        <f>IF(F55="","",SUMIFS(RaceResults!$C:$C,RaceResults!$A:$A,$A55,RaceResults!$D:$D,F55))</f>
        <v>1</v>
      </c>
      <c r="L55" s="11">
        <f>IF(D55="","",SUMIFS(RaceResults!$E:$E,RaceResults!$A:$A,$A55,RaceResults!$D:$D,D55))</f>
        <v>26</v>
      </c>
      <c r="M55" s="11">
        <f>IF(E55="","",SUMIFS(RaceResults!$E:$E,RaceResults!$A:$A,$A55,RaceResults!$D:$D,E55))</f>
        <v>34</v>
      </c>
      <c r="N55" s="11">
        <f>IF(F55="","",SUMIFS(RaceResults!$E:$E,RaceResults!$A:$A,$A55,RaceResults!$D:$D,F55))</f>
        <v>55</v>
      </c>
      <c r="O55" s="11">
        <f t="shared" si="0"/>
        <v>115</v>
      </c>
    </row>
    <row r="56" spans="1:15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3"/>
      <c r="H56" s="3"/>
      <c r="I56" s="11">
        <f>IF(D56="","",SUMIFS(RaceResults!$C:$C,RaceResults!$A:$A,$A56,RaceResults!$D:$D,D56))</f>
        <v>32</v>
      </c>
      <c r="J56" s="11">
        <f>IF(E56="","",SUMIFS(RaceResults!$C:$C,RaceResults!$A:$A,$A56,RaceResults!$D:$D,E56))</f>
        <v>11</v>
      </c>
      <c r="K56" s="11">
        <f>IF(F56="","",SUMIFS(RaceResults!$C:$C,RaceResults!$A:$A,$A56,RaceResults!$D:$D,F56))</f>
        <v>8</v>
      </c>
      <c r="L56" s="11">
        <f>IF(D56="","",SUMIFS(RaceResults!$E:$E,RaceResults!$A:$A,$A56,RaceResults!$D:$D,D56))</f>
        <v>5</v>
      </c>
      <c r="M56" s="11">
        <f>IF(E56="","",SUMIFS(RaceResults!$E:$E,RaceResults!$A:$A,$A56,RaceResults!$D:$D,E56))</f>
        <v>26</v>
      </c>
      <c r="N56" s="11">
        <f>IF(F56="","",SUMIFS(RaceResults!$E:$E,RaceResults!$A:$A,$A56,RaceResults!$D:$D,F56))</f>
        <v>29</v>
      </c>
      <c r="O56" s="11">
        <f t="shared" si="0"/>
        <v>60</v>
      </c>
    </row>
    <row r="57" spans="1:15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3"/>
      <c r="H57" s="3"/>
      <c r="I57" s="11">
        <f>IF(D57="","",SUMIFS(RaceResults!$C:$C,RaceResults!$A:$A,$A57,RaceResults!$D:$D,D57))</f>
        <v>1</v>
      </c>
      <c r="J57" s="11">
        <f>IF(E57="","",SUMIFS(RaceResults!$C:$C,RaceResults!$A:$A,$A57,RaceResults!$D:$D,E57))</f>
        <v>11</v>
      </c>
      <c r="K57" s="11">
        <f>IF(F57="","",SUMIFS(RaceResults!$C:$C,RaceResults!$A:$A,$A57,RaceResults!$D:$D,F57))</f>
        <v>9</v>
      </c>
      <c r="L57" s="11">
        <f>IF(D57="","",SUMIFS(RaceResults!$E:$E,RaceResults!$A:$A,$A57,RaceResults!$D:$D,D57))</f>
        <v>55</v>
      </c>
      <c r="M57" s="11">
        <f>IF(E57="","",SUMIFS(RaceResults!$E:$E,RaceResults!$A:$A,$A57,RaceResults!$D:$D,E57))</f>
        <v>26</v>
      </c>
      <c r="N57" s="11">
        <f>IF(F57="","",SUMIFS(RaceResults!$E:$E,RaceResults!$A:$A,$A57,RaceResults!$D:$D,F57))</f>
        <v>28</v>
      </c>
      <c r="O57" s="11">
        <f t="shared" si="0"/>
        <v>109</v>
      </c>
    </row>
    <row r="58" spans="1:15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3"/>
      <c r="H58" s="3"/>
      <c r="I58" s="11" t="str">
        <f>IF(D58="","",SUMIFS(RaceResults!$C:$C,RaceResults!$A:$A,$A58,RaceResults!$D:$D,D58))</f>
        <v/>
      </c>
      <c r="J58" s="11" t="str">
        <f>IF(E58="","",SUMIFS(RaceResults!$C:$C,RaceResults!$A:$A,$A58,RaceResults!$D:$D,E58))</f>
        <v/>
      </c>
      <c r="K58" s="11" t="str">
        <f>IF(F58="","",SUMIFS(RaceResults!$C:$C,RaceResults!$A:$A,$A58,RaceResults!$D:$D,F58))</f>
        <v/>
      </c>
      <c r="L58" s="11" t="str">
        <f>IF(D58="","",SUMIFS(RaceResults!$E:$E,RaceResults!$A:$A,$A58,RaceResults!$D:$D,D58))</f>
        <v/>
      </c>
      <c r="M58" s="11" t="str">
        <f>IF(E58="","",SUMIFS(RaceResults!$E:$E,RaceResults!$A:$A,$A58,RaceResults!$D:$D,E58))</f>
        <v/>
      </c>
      <c r="N58" s="11" t="str">
        <f>IF(F58="","",SUMIFS(RaceResults!$E:$E,RaceResults!$A:$A,$A58,RaceResults!$D:$D,F58))</f>
        <v/>
      </c>
      <c r="O58" s="11">
        <f t="shared" si="0"/>
        <v>0</v>
      </c>
    </row>
    <row r="59" spans="1:15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3"/>
      <c r="H59" s="3"/>
      <c r="I59" s="11" t="str">
        <f>IF(D59="","",SUMIFS(RaceResults!$C:$C,RaceResults!$A:$A,$A59,RaceResults!$D:$D,D59))</f>
        <v/>
      </c>
      <c r="J59" s="11" t="str">
        <f>IF(E59="","",SUMIFS(RaceResults!$C:$C,RaceResults!$A:$A,$A59,RaceResults!$D:$D,E59))</f>
        <v/>
      </c>
      <c r="K59" s="11" t="str">
        <f>IF(F59="","",SUMIFS(RaceResults!$C:$C,RaceResults!$A:$A,$A59,RaceResults!$D:$D,F59))</f>
        <v/>
      </c>
      <c r="L59" s="11" t="str">
        <f>IF(D59="","",SUMIFS(RaceResults!$E:$E,RaceResults!$A:$A,$A59,RaceResults!$D:$D,D59))</f>
        <v/>
      </c>
      <c r="M59" s="11" t="str">
        <f>IF(E59="","",SUMIFS(RaceResults!$E:$E,RaceResults!$A:$A,$A59,RaceResults!$D:$D,E59))</f>
        <v/>
      </c>
      <c r="N59" s="11" t="str">
        <f>IF(F59="","",SUMIFS(RaceResults!$E:$E,RaceResults!$A:$A,$A59,RaceResults!$D:$D,F59))</f>
        <v/>
      </c>
      <c r="O59" s="11">
        <f t="shared" si="0"/>
        <v>0</v>
      </c>
    </row>
    <row r="60" spans="1:15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3"/>
      <c r="H60" s="3"/>
      <c r="I60" s="11">
        <f>IF(D60="","",SUMIFS(RaceResults!$C:$C,RaceResults!$A:$A,$A60,RaceResults!$D:$D,D60))</f>
        <v>1</v>
      </c>
      <c r="J60" s="11">
        <f>IF(E60="","",SUMIFS(RaceResults!$C:$C,RaceResults!$A:$A,$A60,RaceResults!$D:$D,E60))</f>
        <v>11</v>
      </c>
      <c r="K60" s="11">
        <f>IF(F60="","",SUMIFS(RaceResults!$C:$C,RaceResults!$A:$A,$A60,RaceResults!$D:$D,F60))</f>
        <v>32</v>
      </c>
      <c r="L60" s="11">
        <f>IF(D60="","",SUMIFS(RaceResults!$E:$E,RaceResults!$A:$A,$A60,RaceResults!$D:$D,D60))</f>
        <v>55</v>
      </c>
      <c r="M60" s="11">
        <f>IF(E60="","",SUMIFS(RaceResults!$E:$E,RaceResults!$A:$A,$A60,RaceResults!$D:$D,E60))</f>
        <v>26</v>
      </c>
      <c r="N60" s="11">
        <f>IF(F60="","",SUMIFS(RaceResults!$E:$E,RaceResults!$A:$A,$A60,RaceResults!$D:$D,F60))</f>
        <v>5</v>
      </c>
      <c r="O60" s="11">
        <f t="shared" si="0"/>
        <v>86</v>
      </c>
    </row>
    <row r="61" spans="1:15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3"/>
      <c r="H61" s="3"/>
      <c r="I61" s="11">
        <f>IF(D61="","",SUMIFS(RaceResults!$C:$C,RaceResults!$A:$A,$A61,RaceResults!$D:$D,D61))</f>
        <v>11</v>
      </c>
      <c r="J61" s="11">
        <f>IF(E61="","",SUMIFS(RaceResults!$C:$C,RaceResults!$A:$A,$A61,RaceResults!$D:$D,E61))</f>
        <v>6</v>
      </c>
      <c r="K61" s="11">
        <f>IF(F61="","",SUMIFS(RaceResults!$C:$C,RaceResults!$A:$A,$A61,RaceResults!$D:$D,F61))</f>
        <v>1</v>
      </c>
      <c r="L61" s="11">
        <f>IF(D61="","",SUMIFS(RaceResults!$E:$E,RaceResults!$A:$A,$A61,RaceResults!$D:$D,D61))</f>
        <v>26</v>
      </c>
      <c r="M61" s="11">
        <f>IF(E61="","",SUMIFS(RaceResults!$E:$E,RaceResults!$A:$A,$A61,RaceResults!$D:$D,E61))</f>
        <v>31</v>
      </c>
      <c r="N61" s="11">
        <f>IF(F61="","",SUMIFS(RaceResults!$E:$E,RaceResults!$A:$A,$A61,RaceResults!$D:$D,F61))</f>
        <v>55</v>
      </c>
      <c r="O61" s="11">
        <f t="shared" si="0"/>
        <v>112</v>
      </c>
    </row>
    <row r="62" spans="1:15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3"/>
      <c r="H62" s="3"/>
      <c r="I62" s="11">
        <f>IF(D62="","",SUMIFS(RaceResults!$C:$C,RaceResults!$A:$A,$A62,RaceResults!$D:$D,D62))</f>
        <v>9</v>
      </c>
      <c r="J62" s="11">
        <f>IF(E62="","",SUMIFS(RaceResults!$C:$C,RaceResults!$A:$A,$A62,RaceResults!$D:$D,E62))</f>
        <v>2</v>
      </c>
      <c r="K62" s="11">
        <f>IF(F62="","",SUMIFS(RaceResults!$C:$C,RaceResults!$A:$A,$A62,RaceResults!$D:$D,F62))</f>
        <v>17</v>
      </c>
      <c r="L62" s="11">
        <f>IF(D62="","",SUMIFS(RaceResults!$E:$E,RaceResults!$A:$A,$A62,RaceResults!$D:$D,D62))</f>
        <v>28</v>
      </c>
      <c r="M62" s="11">
        <f>IF(E62="","",SUMIFS(RaceResults!$E:$E,RaceResults!$A:$A,$A62,RaceResults!$D:$D,E62))</f>
        <v>35</v>
      </c>
      <c r="N62" s="11">
        <f>IF(F62="","",SUMIFS(RaceResults!$E:$E,RaceResults!$A:$A,$A62,RaceResults!$D:$D,F62))</f>
        <v>20</v>
      </c>
      <c r="O62" s="11">
        <f t="shared" si="0"/>
        <v>83</v>
      </c>
    </row>
    <row r="63" spans="1:15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3"/>
      <c r="H63" s="3"/>
      <c r="I63" s="11">
        <f>IF(D63="","",SUMIFS(RaceResults!$C:$C,RaceResults!$A:$A,$A63,RaceResults!$D:$D,D63))</f>
        <v>2</v>
      </c>
      <c r="J63" s="11">
        <f>IF(E63="","",SUMIFS(RaceResults!$C:$C,RaceResults!$A:$A,$A63,RaceResults!$D:$D,E63))</f>
        <v>5</v>
      </c>
      <c r="K63" s="11">
        <f>IF(F63="","",SUMIFS(RaceResults!$C:$C,RaceResults!$A:$A,$A63,RaceResults!$D:$D,F63))</f>
        <v>11</v>
      </c>
      <c r="L63" s="11">
        <f>IF(D63="","",SUMIFS(RaceResults!$E:$E,RaceResults!$A:$A,$A63,RaceResults!$D:$D,D63))</f>
        <v>35</v>
      </c>
      <c r="M63" s="11">
        <f>IF(E63="","",SUMIFS(RaceResults!$E:$E,RaceResults!$A:$A,$A63,RaceResults!$D:$D,E63))</f>
        <v>32</v>
      </c>
      <c r="N63" s="11">
        <f>IF(F63="","",SUMIFS(RaceResults!$E:$E,RaceResults!$A:$A,$A63,RaceResults!$D:$D,F63))</f>
        <v>26</v>
      </c>
      <c r="O63" s="11">
        <f t="shared" si="0"/>
        <v>93</v>
      </c>
    </row>
    <row r="64" spans="1:15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3"/>
      <c r="H64" s="3"/>
      <c r="I64" s="11">
        <f>IF(D64="","",SUMIFS(RaceResults!$C:$C,RaceResults!$A:$A,$A64,RaceResults!$D:$D,D64))</f>
        <v>2</v>
      </c>
      <c r="J64" s="11">
        <f>IF(E64="","",SUMIFS(RaceResults!$C:$C,RaceResults!$A:$A,$A64,RaceResults!$D:$D,E64))</f>
        <v>5</v>
      </c>
      <c r="K64" s="11">
        <f>IF(F64="","",SUMIFS(RaceResults!$C:$C,RaceResults!$A:$A,$A64,RaceResults!$D:$D,F64))</f>
        <v>1</v>
      </c>
      <c r="L64" s="11">
        <f>IF(D64="","",SUMIFS(RaceResults!$E:$E,RaceResults!$A:$A,$A64,RaceResults!$D:$D,D64))</f>
        <v>35</v>
      </c>
      <c r="M64" s="11">
        <f>IF(E64="","",SUMIFS(RaceResults!$E:$E,RaceResults!$A:$A,$A64,RaceResults!$D:$D,E64))</f>
        <v>32</v>
      </c>
      <c r="N64" s="11">
        <f>IF(F64="","",SUMIFS(RaceResults!$E:$E,RaceResults!$A:$A,$A64,RaceResults!$D:$D,F64))</f>
        <v>55</v>
      </c>
      <c r="O64" s="11">
        <f t="shared" si="0"/>
        <v>122</v>
      </c>
    </row>
    <row r="65" spans="1:15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3"/>
      <c r="H65" s="3"/>
      <c r="I65" s="11">
        <f>IF(D65="","",SUMIFS(RaceResults!$C:$C,RaceResults!$A:$A,$A65,RaceResults!$D:$D,D65))</f>
        <v>2</v>
      </c>
      <c r="J65" s="11">
        <f>IF(E65="","",SUMIFS(RaceResults!$C:$C,RaceResults!$A:$A,$A65,RaceResults!$D:$D,E65))</f>
        <v>6</v>
      </c>
      <c r="K65" s="11">
        <f>IF(F65="","",SUMIFS(RaceResults!$C:$C,RaceResults!$A:$A,$A65,RaceResults!$D:$D,F65))</f>
        <v>11</v>
      </c>
      <c r="L65" s="11">
        <f>IF(D65="","",SUMIFS(RaceResults!$E:$E,RaceResults!$A:$A,$A65,RaceResults!$D:$D,D65))</f>
        <v>35</v>
      </c>
      <c r="M65" s="11">
        <f>IF(E65="","",SUMIFS(RaceResults!$E:$E,RaceResults!$A:$A,$A65,RaceResults!$D:$D,E65))</f>
        <v>31</v>
      </c>
      <c r="N65" s="11">
        <f>IF(F65="","",SUMIFS(RaceResults!$E:$E,RaceResults!$A:$A,$A65,RaceResults!$D:$D,F65))</f>
        <v>26</v>
      </c>
      <c r="O65" s="11">
        <f t="shared" si="0"/>
        <v>92</v>
      </c>
    </row>
    <row r="66" spans="1:15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3"/>
      <c r="H66" s="3"/>
      <c r="I66" s="11">
        <f>IF(D66="","",SUMIFS(RaceResults!$C:$C,RaceResults!$A:$A,$A66,RaceResults!$D:$D,D66))</f>
        <v>2</v>
      </c>
      <c r="J66" s="11">
        <f>IF(E66="","",SUMIFS(RaceResults!$C:$C,RaceResults!$A:$A,$A66,RaceResults!$D:$D,E66))</f>
        <v>15</v>
      </c>
      <c r="K66" s="11">
        <f>IF(F66="","",SUMIFS(RaceResults!$C:$C,RaceResults!$A:$A,$A66,RaceResults!$D:$D,F66))</f>
        <v>1</v>
      </c>
      <c r="L66" s="11">
        <f>IF(D66="","",SUMIFS(RaceResults!$E:$E,RaceResults!$A:$A,$A66,RaceResults!$D:$D,D66))</f>
        <v>35</v>
      </c>
      <c r="M66" s="11">
        <f>IF(E66="","",SUMIFS(RaceResults!$E:$E,RaceResults!$A:$A,$A66,RaceResults!$D:$D,E66))</f>
        <v>22</v>
      </c>
      <c r="N66" s="11">
        <f>IF(F66="","",SUMIFS(RaceResults!$E:$E,RaceResults!$A:$A,$A66,RaceResults!$D:$D,F66))</f>
        <v>55</v>
      </c>
      <c r="O66" s="11">
        <f t="shared" ref="O66:O129" si="1">SUM(L66:N66)</f>
        <v>112</v>
      </c>
    </row>
    <row r="67" spans="1:15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3"/>
      <c r="H67" s="3"/>
      <c r="I67" s="11">
        <f>IF(D67="","",SUMIFS(RaceResults!$C:$C,RaceResults!$A:$A,$A67,RaceResults!$D:$D,D67))</f>
        <v>2</v>
      </c>
      <c r="J67" s="11">
        <f>IF(E67="","",SUMIFS(RaceResults!$C:$C,RaceResults!$A:$A,$A67,RaceResults!$D:$D,E67))</f>
        <v>6</v>
      </c>
      <c r="K67" s="11">
        <f>IF(F67="","",SUMIFS(RaceResults!$C:$C,RaceResults!$A:$A,$A67,RaceResults!$D:$D,F67))</f>
        <v>7</v>
      </c>
      <c r="L67" s="11">
        <f>IF(D67="","",SUMIFS(RaceResults!$E:$E,RaceResults!$A:$A,$A67,RaceResults!$D:$D,D67))</f>
        <v>35</v>
      </c>
      <c r="M67" s="11">
        <f>IF(E67="","",SUMIFS(RaceResults!$E:$E,RaceResults!$A:$A,$A67,RaceResults!$D:$D,E67))</f>
        <v>31</v>
      </c>
      <c r="N67" s="11">
        <f>IF(F67="","",SUMIFS(RaceResults!$E:$E,RaceResults!$A:$A,$A67,RaceResults!$D:$D,F67))</f>
        <v>30</v>
      </c>
      <c r="O67" s="11">
        <f t="shared" si="1"/>
        <v>96</v>
      </c>
    </row>
    <row r="68" spans="1:15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3"/>
      <c r="H68" s="3"/>
      <c r="I68" s="11">
        <f>IF(D68="","",SUMIFS(RaceResults!$C:$C,RaceResults!$A:$A,$A68,RaceResults!$D:$D,D68))</f>
        <v>5</v>
      </c>
      <c r="J68" s="11">
        <f>IF(E68="","",SUMIFS(RaceResults!$C:$C,RaceResults!$A:$A,$A68,RaceResults!$D:$D,E68))</f>
        <v>1</v>
      </c>
      <c r="K68" s="11">
        <f>IF(F68="","",SUMIFS(RaceResults!$C:$C,RaceResults!$A:$A,$A68,RaceResults!$D:$D,F68))</f>
        <v>9</v>
      </c>
      <c r="L68" s="11">
        <f>IF(D68="","",SUMIFS(RaceResults!$E:$E,RaceResults!$A:$A,$A68,RaceResults!$D:$D,D68))</f>
        <v>32</v>
      </c>
      <c r="M68" s="11">
        <f>IF(E68="","",SUMIFS(RaceResults!$E:$E,RaceResults!$A:$A,$A68,RaceResults!$D:$D,E68))</f>
        <v>55</v>
      </c>
      <c r="N68" s="11">
        <f>IF(F68="","",SUMIFS(RaceResults!$E:$E,RaceResults!$A:$A,$A68,RaceResults!$D:$D,F68))</f>
        <v>28</v>
      </c>
      <c r="O68" s="11">
        <f t="shared" si="1"/>
        <v>115</v>
      </c>
    </row>
    <row r="69" spans="1:15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3"/>
      <c r="H69" s="3"/>
      <c r="I69" s="11" t="str">
        <f>IF(D69="","",SUMIFS(RaceResults!$C:$C,RaceResults!$A:$A,$A69,RaceResults!$D:$D,D69))</f>
        <v/>
      </c>
      <c r="J69" s="11" t="str">
        <f>IF(E69="","",SUMIFS(RaceResults!$C:$C,RaceResults!$A:$A,$A69,RaceResults!$D:$D,E69))</f>
        <v/>
      </c>
      <c r="K69" s="11" t="str">
        <f>IF(F69="","",SUMIFS(RaceResults!$C:$C,RaceResults!$A:$A,$A69,RaceResults!$D:$D,F69))</f>
        <v/>
      </c>
      <c r="L69" s="11" t="str">
        <f>IF(D69="","",SUMIFS(RaceResults!$E:$E,RaceResults!$A:$A,$A69,RaceResults!$D:$D,D69))</f>
        <v/>
      </c>
      <c r="M69" s="11" t="str">
        <f>IF(E69="","",SUMIFS(RaceResults!$E:$E,RaceResults!$A:$A,$A69,RaceResults!$D:$D,E69))</f>
        <v/>
      </c>
      <c r="N69" s="11" t="str">
        <f>IF(F69="","",SUMIFS(RaceResults!$E:$E,RaceResults!$A:$A,$A69,RaceResults!$D:$D,F69))</f>
        <v/>
      </c>
      <c r="O69" s="11">
        <f t="shared" si="1"/>
        <v>0</v>
      </c>
    </row>
    <row r="70" spans="1:15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3"/>
      <c r="H70" s="3"/>
      <c r="I70" s="11">
        <f>IF(D70="","",SUMIFS(RaceResults!$C:$C,RaceResults!$A:$A,$A70,RaceResults!$D:$D,D70))</f>
        <v>5</v>
      </c>
      <c r="J70" s="11">
        <f>IF(E70="","",SUMIFS(RaceResults!$C:$C,RaceResults!$A:$A,$A70,RaceResults!$D:$D,E70))</f>
        <v>6</v>
      </c>
      <c r="K70" s="11">
        <f>IF(F70="","",SUMIFS(RaceResults!$C:$C,RaceResults!$A:$A,$A70,RaceResults!$D:$D,F70))</f>
        <v>2</v>
      </c>
      <c r="L70" s="11">
        <f>IF(D70="","",SUMIFS(RaceResults!$E:$E,RaceResults!$A:$A,$A70,RaceResults!$D:$D,D70))</f>
        <v>32</v>
      </c>
      <c r="M70" s="11">
        <f>IF(E70="","",SUMIFS(RaceResults!$E:$E,RaceResults!$A:$A,$A70,RaceResults!$D:$D,E70))</f>
        <v>31</v>
      </c>
      <c r="N70" s="11">
        <f>IF(F70="","",SUMIFS(RaceResults!$E:$E,RaceResults!$A:$A,$A70,RaceResults!$D:$D,F70))</f>
        <v>35</v>
      </c>
      <c r="O70" s="11">
        <f t="shared" si="1"/>
        <v>98</v>
      </c>
    </row>
    <row r="71" spans="1:15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3"/>
      <c r="H71" s="3"/>
      <c r="I71" s="11">
        <f>IF(D71="","",SUMIFS(RaceResults!$C:$C,RaceResults!$A:$A,$A71,RaceResults!$D:$D,D71))</f>
        <v>2</v>
      </c>
      <c r="J71" s="11">
        <f>IF(E71="","",SUMIFS(RaceResults!$C:$C,RaceResults!$A:$A,$A71,RaceResults!$D:$D,E71))</f>
        <v>36</v>
      </c>
      <c r="K71" s="11">
        <f>IF(F71="","",SUMIFS(RaceResults!$C:$C,RaceResults!$A:$A,$A71,RaceResults!$D:$D,F71))</f>
        <v>5</v>
      </c>
      <c r="L71" s="11">
        <f>IF(D71="","",SUMIFS(RaceResults!$E:$E,RaceResults!$A:$A,$A71,RaceResults!$D:$D,D71))</f>
        <v>35</v>
      </c>
      <c r="M71" s="11">
        <f>IF(E71="","",SUMIFS(RaceResults!$E:$E,RaceResults!$A:$A,$A71,RaceResults!$D:$D,E71))</f>
        <v>1</v>
      </c>
      <c r="N71" s="11">
        <f>IF(F71="","",SUMIFS(RaceResults!$E:$E,RaceResults!$A:$A,$A71,RaceResults!$D:$D,F71))</f>
        <v>32</v>
      </c>
      <c r="O71" s="11">
        <f t="shared" si="1"/>
        <v>68</v>
      </c>
    </row>
    <row r="72" spans="1:15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3"/>
      <c r="H72" s="3"/>
      <c r="I72" s="11">
        <f>IF(D72="","",SUMIFS(RaceResults!$C:$C,RaceResults!$A:$A,$A72,RaceResults!$D:$D,D72))</f>
        <v>3</v>
      </c>
      <c r="J72" s="11">
        <f>IF(E72="","",SUMIFS(RaceResults!$C:$C,RaceResults!$A:$A,$A72,RaceResults!$D:$D,E72))</f>
        <v>2</v>
      </c>
      <c r="K72" s="11">
        <f>IF(F72="","",SUMIFS(RaceResults!$C:$C,RaceResults!$A:$A,$A72,RaceResults!$D:$D,F72))</f>
        <v>4</v>
      </c>
      <c r="L72" s="11">
        <f>IF(D72="","",SUMIFS(RaceResults!$E:$E,RaceResults!$A:$A,$A72,RaceResults!$D:$D,D72))</f>
        <v>34</v>
      </c>
      <c r="M72" s="11">
        <f>IF(E72="","",SUMIFS(RaceResults!$E:$E,RaceResults!$A:$A,$A72,RaceResults!$D:$D,E72))</f>
        <v>35</v>
      </c>
      <c r="N72" s="11">
        <f>IF(F72="","",SUMIFS(RaceResults!$E:$E,RaceResults!$A:$A,$A72,RaceResults!$D:$D,F72))</f>
        <v>33</v>
      </c>
      <c r="O72" s="11">
        <f t="shared" si="1"/>
        <v>102</v>
      </c>
    </row>
    <row r="73" spans="1:15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3"/>
      <c r="H73" s="3"/>
      <c r="I73" s="11">
        <f>IF(D73="","",SUMIFS(RaceResults!$C:$C,RaceResults!$A:$A,$A73,RaceResults!$D:$D,D73))</f>
        <v>3</v>
      </c>
      <c r="J73" s="11">
        <f>IF(E73="","",SUMIFS(RaceResults!$C:$C,RaceResults!$A:$A,$A73,RaceResults!$D:$D,E73))</f>
        <v>4</v>
      </c>
      <c r="K73" s="11">
        <f>IF(F73="","",SUMIFS(RaceResults!$C:$C,RaceResults!$A:$A,$A73,RaceResults!$D:$D,F73))</f>
        <v>9</v>
      </c>
      <c r="L73" s="11">
        <f>IF(D73="","",SUMIFS(RaceResults!$E:$E,RaceResults!$A:$A,$A73,RaceResults!$D:$D,D73))</f>
        <v>34</v>
      </c>
      <c r="M73" s="11">
        <f>IF(E73="","",SUMIFS(RaceResults!$E:$E,RaceResults!$A:$A,$A73,RaceResults!$D:$D,E73))</f>
        <v>33</v>
      </c>
      <c r="N73" s="11">
        <f>IF(F73="","",SUMIFS(RaceResults!$E:$E,RaceResults!$A:$A,$A73,RaceResults!$D:$D,F73))</f>
        <v>28</v>
      </c>
      <c r="O73" s="11">
        <f t="shared" si="1"/>
        <v>95</v>
      </c>
    </row>
    <row r="74" spans="1:15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3"/>
      <c r="H74" s="3"/>
      <c r="I74" s="11">
        <f>IF(D74="","",SUMIFS(RaceResults!$C:$C,RaceResults!$A:$A,$A74,RaceResults!$D:$D,D74))</f>
        <v>2</v>
      </c>
      <c r="J74" s="11">
        <f>IF(E74="","",SUMIFS(RaceResults!$C:$C,RaceResults!$A:$A,$A74,RaceResults!$D:$D,E74))</f>
        <v>1</v>
      </c>
      <c r="K74" s="11">
        <f>IF(F74="","",SUMIFS(RaceResults!$C:$C,RaceResults!$A:$A,$A74,RaceResults!$D:$D,F74))</f>
        <v>13</v>
      </c>
      <c r="L74" s="11">
        <f>IF(D74="","",SUMIFS(RaceResults!$E:$E,RaceResults!$A:$A,$A74,RaceResults!$D:$D,D74))</f>
        <v>35</v>
      </c>
      <c r="M74" s="11">
        <f>IF(E74="","",SUMIFS(RaceResults!$E:$E,RaceResults!$A:$A,$A74,RaceResults!$D:$D,E74))</f>
        <v>55</v>
      </c>
      <c r="N74" s="11">
        <f>IF(F74="","",SUMIFS(RaceResults!$E:$E,RaceResults!$A:$A,$A74,RaceResults!$D:$D,F74))</f>
        <v>24</v>
      </c>
      <c r="O74" s="11">
        <f t="shared" si="1"/>
        <v>114</v>
      </c>
    </row>
    <row r="75" spans="1:15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3"/>
      <c r="H75" s="3"/>
      <c r="I75" s="11">
        <f>IF(D75="","",SUMIFS(RaceResults!$C:$C,RaceResults!$A:$A,$A75,RaceResults!$D:$D,D75))</f>
        <v>2</v>
      </c>
      <c r="J75" s="11">
        <f>IF(E75="","",SUMIFS(RaceResults!$C:$C,RaceResults!$A:$A,$A75,RaceResults!$D:$D,E75))</f>
        <v>1</v>
      </c>
      <c r="K75" s="11">
        <f>IF(F75="","",SUMIFS(RaceResults!$C:$C,RaceResults!$A:$A,$A75,RaceResults!$D:$D,F75))</f>
        <v>9</v>
      </c>
      <c r="L75" s="11">
        <f>IF(D75="","",SUMIFS(RaceResults!$E:$E,RaceResults!$A:$A,$A75,RaceResults!$D:$D,D75))</f>
        <v>35</v>
      </c>
      <c r="M75" s="11">
        <f>IF(E75="","",SUMIFS(RaceResults!$E:$E,RaceResults!$A:$A,$A75,RaceResults!$D:$D,E75))</f>
        <v>55</v>
      </c>
      <c r="N75" s="11">
        <f>IF(F75="","",SUMIFS(RaceResults!$E:$E,RaceResults!$A:$A,$A75,RaceResults!$D:$D,F75))</f>
        <v>28</v>
      </c>
      <c r="O75" s="11">
        <f t="shared" si="1"/>
        <v>118</v>
      </c>
    </row>
    <row r="76" spans="1:15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3"/>
      <c r="H76" s="3"/>
      <c r="I76" s="11">
        <f>IF(D76="","",SUMIFS(RaceResults!$C:$C,RaceResults!$A:$A,$A76,RaceResults!$D:$D,D76))</f>
        <v>3</v>
      </c>
      <c r="J76" s="11">
        <f>IF(E76="","",SUMIFS(RaceResults!$C:$C,RaceResults!$A:$A,$A76,RaceResults!$D:$D,E76))</f>
        <v>7</v>
      </c>
      <c r="K76" s="11">
        <f>IF(F76="","",SUMIFS(RaceResults!$C:$C,RaceResults!$A:$A,$A76,RaceResults!$D:$D,F76))</f>
        <v>27</v>
      </c>
      <c r="L76" s="11">
        <f>IF(D76="","",SUMIFS(RaceResults!$E:$E,RaceResults!$A:$A,$A76,RaceResults!$D:$D,D76))</f>
        <v>34</v>
      </c>
      <c r="M76" s="11">
        <f>IF(E76="","",SUMIFS(RaceResults!$E:$E,RaceResults!$A:$A,$A76,RaceResults!$D:$D,E76))</f>
        <v>30</v>
      </c>
      <c r="N76" s="11">
        <f>IF(F76="","",SUMIFS(RaceResults!$E:$E,RaceResults!$A:$A,$A76,RaceResults!$D:$D,F76))</f>
        <v>10</v>
      </c>
      <c r="O76" s="11">
        <f t="shared" si="1"/>
        <v>74</v>
      </c>
    </row>
    <row r="77" spans="1:15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3"/>
      <c r="H77" s="3"/>
      <c r="I77" s="11">
        <f>IF(D77="","",SUMIFS(RaceResults!$C:$C,RaceResults!$A:$A,$A77,RaceResults!$D:$D,D77))</f>
        <v>2</v>
      </c>
      <c r="J77" s="11">
        <f>IF(E77="","",SUMIFS(RaceResults!$C:$C,RaceResults!$A:$A,$A77,RaceResults!$D:$D,E77))</f>
        <v>4</v>
      </c>
      <c r="K77" s="11">
        <f>IF(F77="","",SUMIFS(RaceResults!$C:$C,RaceResults!$A:$A,$A77,RaceResults!$D:$D,F77))</f>
        <v>27</v>
      </c>
      <c r="L77" s="11">
        <f>IF(D77="","",SUMIFS(RaceResults!$E:$E,RaceResults!$A:$A,$A77,RaceResults!$D:$D,D77))</f>
        <v>35</v>
      </c>
      <c r="M77" s="11">
        <f>IF(E77="","",SUMIFS(RaceResults!$E:$E,RaceResults!$A:$A,$A77,RaceResults!$D:$D,E77))</f>
        <v>33</v>
      </c>
      <c r="N77" s="11">
        <f>IF(F77="","",SUMIFS(RaceResults!$E:$E,RaceResults!$A:$A,$A77,RaceResults!$D:$D,F77))</f>
        <v>10</v>
      </c>
      <c r="O77" s="11">
        <f t="shared" si="1"/>
        <v>78</v>
      </c>
    </row>
    <row r="78" spans="1:15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3"/>
      <c r="H78" s="3"/>
      <c r="I78" s="11" t="str">
        <f>IF(D78="","",SUMIFS(RaceResults!$C:$C,RaceResults!$A:$A,$A78,RaceResults!$D:$D,D78))</f>
        <v/>
      </c>
      <c r="J78" s="11" t="str">
        <f>IF(E78="","",SUMIFS(RaceResults!$C:$C,RaceResults!$A:$A,$A78,RaceResults!$D:$D,E78))</f>
        <v/>
      </c>
      <c r="K78" s="11" t="str">
        <f>IF(F78="","",SUMIFS(RaceResults!$C:$C,RaceResults!$A:$A,$A78,RaceResults!$D:$D,F78))</f>
        <v/>
      </c>
      <c r="L78" s="11" t="str">
        <f>IF(D78="","",SUMIFS(RaceResults!$E:$E,RaceResults!$A:$A,$A78,RaceResults!$D:$D,D78))</f>
        <v/>
      </c>
      <c r="M78" s="11" t="str">
        <f>IF(E78="","",SUMIFS(RaceResults!$E:$E,RaceResults!$A:$A,$A78,RaceResults!$D:$D,E78))</f>
        <v/>
      </c>
      <c r="N78" s="11" t="str">
        <f>IF(F78="","",SUMIFS(RaceResults!$E:$E,RaceResults!$A:$A,$A78,RaceResults!$D:$D,F78))</f>
        <v/>
      </c>
      <c r="O78" s="11">
        <f t="shared" si="1"/>
        <v>0</v>
      </c>
    </row>
    <row r="79" spans="1:15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3"/>
      <c r="H79" s="3"/>
      <c r="I79" s="11" t="str">
        <f>IF(D79="","",SUMIFS(RaceResults!$C:$C,RaceResults!$A:$A,$A79,RaceResults!$D:$D,D79))</f>
        <v/>
      </c>
      <c r="J79" s="11" t="str">
        <f>IF(E79="","",SUMIFS(RaceResults!$C:$C,RaceResults!$A:$A,$A79,RaceResults!$D:$D,E79))</f>
        <v/>
      </c>
      <c r="K79" s="11" t="str">
        <f>IF(F79="","",SUMIFS(RaceResults!$C:$C,RaceResults!$A:$A,$A79,RaceResults!$D:$D,F79))</f>
        <v/>
      </c>
      <c r="L79" s="11" t="str">
        <f>IF(D79="","",SUMIFS(RaceResults!$E:$E,RaceResults!$A:$A,$A79,RaceResults!$D:$D,D79))</f>
        <v/>
      </c>
      <c r="M79" s="11" t="str">
        <f>IF(E79="","",SUMIFS(RaceResults!$E:$E,RaceResults!$A:$A,$A79,RaceResults!$D:$D,E79))</f>
        <v/>
      </c>
      <c r="N79" s="11" t="str">
        <f>IF(F79="","",SUMIFS(RaceResults!$E:$E,RaceResults!$A:$A,$A79,RaceResults!$D:$D,F79))</f>
        <v/>
      </c>
      <c r="O79" s="11">
        <f t="shared" si="1"/>
        <v>0</v>
      </c>
    </row>
    <row r="80" spans="1:15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3"/>
      <c r="H80" s="3"/>
      <c r="I80" s="11">
        <f>IF(D80="","",SUMIFS(RaceResults!$C:$C,RaceResults!$A:$A,$A80,RaceResults!$D:$D,D80))</f>
        <v>3</v>
      </c>
      <c r="J80" s="11">
        <f>IF(E80="","",SUMIFS(RaceResults!$C:$C,RaceResults!$A:$A,$A80,RaceResults!$D:$D,E80))</f>
        <v>2</v>
      </c>
      <c r="K80" s="11">
        <f>IF(F80="","",SUMIFS(RaceResults!$C:$C,RaceResults!$A:$A,$A80,RaceResults!$D:$D,F80))</f>
        <v>9</v>
      </c>
      <c r="L80" s="11">
        <f>IF(D80="","",SUMIFS(RaceResults!$E:$E,RaceResults!$A:$A,$A80,RaceResults!$D:$D,D80))</f>
        <v>34</v>
      </c>
      <c r="M80" s="11">
        <f>IF(E80="","",SUMIFS(RaceResults!$E:$E,RaceResults!$A:$A,$A80,RaceResults!$D:$D,E80))</f>
        <v>35</v>
      </c>
      <c r="N80" s="11">
        <f>IF(F80="","",SUMIFS(RaceResults!$E:$E,RaceResults!$A:$A,$A80,RaceResults!$D:$D,F80))</f>
        <v>28</v>
      </c>
      <c r="O80" s="11">
        <f t="shared" si="1"/>
        <v>97</v>
      </c>
    </row>
    <row r="81" spans="1:15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3"/>
      <c r="H81" s="3"/>
      <c r="I81" s="11">
        <f>IF(D81="","",SUMIFS(RaceResults!$C:$C,RaceResults!$A:$A,$A81,RaceResults!$D:$D,D81))</f>
        <v>2</v>
      </c>
      <c r="J81" s="11">
        <f>IF(E81="","",SUMIFS(RaceResults!$C:$C,RaceResults!$A:$A,$A81,RaceResults!$D:$D,E81))</f>
        <v>1</v>
      </c>
      <c r="K81" s="11">
        <f>IF(F81="","",SUMIFS(RaceResults!$C:$C,RaceResults!$A:$A,$A81,RaceResults!$D:$D,F81))</f>
        <v>4</v>
      </c>
      <c r="L81" s="11">
        <f>IF(D81="","",SUMIFS(RaceResults!$E:$E,RaceResults!$A:$A,$A81,RaceResults!$D:$D,D81))</f>
        <v>35</v>
      </c>
      <c r="M81" s="11">
        <f>IF(E81="","",SUMIFS(RaceResults!$E:$E,RaceResults!$A:$A,$A81,RaceResults!$D:$D,E81))</f>
        <v>55</v>
      </c>
      <c r="N81" s="11">
        <f>IF(F81="","",SUMIFS(RaceResults!$E:$E,RaceResults!$A:$A,$A81,RaceResults!$D:$D,F81))</f>
        <v>33</v>
      </c>
      <c r="O81" s="11">
        <f t="shared" si="1"/>
        <v>123</v>
      </c>
    </row>
    <row r="82" spans="1:15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3"/>
      <c r="H82" s="3"/>
      <c r="I82" s="11">
        <f>IF(D82="","",SUMIFS(RaceResults!$C:$C,RaceResults!$A:$A,$A82,RaceResults!$D:$D,D82))</f>
        <v>2</v>
      </c>
      <c r="J82" s="11">
        <f>IF(E82="","",SUMIFS(RaceResults!$C:$C,RaceResults!$A:$A,$A82,RaceResults!$D:$D,E82))</f>
        <v>4</v>
      </c>
      <c r="K82" s="11">
        <f>IF(F82="","",SUMIFS(RaceResults!$C:$C,RaceResults!$A:$A,$A82,RaceResults!$D:$D,F82))</f>
        <v>1</v>
      </c>
      <c r="L82" s="11">
        <f>IF(D82="","",SUMIFS(RaceResults!$E:$E,RaceResults!$A:$A,$A82,RaceResults!$D:$D,D82))</f>
        <v>35</v>
      </c>
      <c r="M82" s="11">
        <f>IF(E82="","",SUMIFS(RaceResults!$E:$E,RaceResults!$A:$A,$A82,RaceResults!$D:$D,E82))</f>
        <v>33</v>
      </c>
      <c r="N82" s="11">
        <f>IF(F82="","",SUMIFS(RaceResults!$E:$E,RaceResults!$A:$A,$A82,RaceResults!$D:$D,F82))</f>
        <v>55</v>
      </c>
      <c r="O82" s="11">
        <f t="shared" si="1"/>
        <v>123</v>
      </c>
    </row>
    <row r="83" spans="1:15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3"/>
      <c r="H83" s="3"/>
      <c r="I83" s="11">
        <f>IF(D83="","",SUMIFS(RaceResults!$C:$C,RaceResults!$A:$A,$A83,RaceResults!$D:$D,D83))</f>
        <v>1</v>
      </c>
      <c r="J83" s="11">
        <f>IF(E83="","",SUMIFS(RaceResults!$C:$C,RaceResults!$A:$A,$A83,RaceResults!$D:$D,E83))</f>
        <v>4</v>
      </c>
      <c r="K83" s="11">
        <f>IF(F83="","",SUMIFS(RaceResults!$C:$C,RaceResults!$A:$A,$A83,RaceResults!$D:$D,F83))</f>
        <v>2</v>
      </c>
      <c r="L83" s="11">
        <f>IF(D83="","",SUMIFS(RaceResults!$E:$E,RaceResults!$A:$A,$A83,RaceResults!$D:$D,D83))</f>
        <v>55</v>
      </c>
      <c r="M83" s="11">
        <f>IF(E83="","",SUMIFS(RaceResults!$E:$E,RaceResults!$A:$A,$A83,RaceResults!$D:$D,E83))</f>
        <v>33</v>
      </c>
      <c r="N83" s="11">
        <f>IF(F83="","",SUMIFS(RaceResults!$E:$E,RaceResults!$A:$A,$A83,RaceResults!$D:$D,F83))</f>
        <v>35</v>
      </c>
      <c r="O83" s="11">
        <f t="shared" si="1"/>
        <v>123</v>
      </c>
    </row>
    <row r="84" spans="1:15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3"/>
      <c r="H84" s="3"/>
      <c r="I84" s="11">
        <f>IF(D84="","",SUMIFS(RaceResults!$C:$C,RaceResults!$A:$A,$A84,RaceResults!$D:$D,D84))</f>
        <v>24</v>
      </c>
      <c r="J84" s="11">
        <f>IF(E84="","",SUMIFS(RaceResults!$C:$C,RaceResults!$A:$A,$A84,RaceResults!$D:$D,E84))</f>
        <v>9</v>
      </c>
      <c r="K84" s="11">
        <f>IF(F84="","",SUMIFS(RaceResults!$C:$C,RaceResults!$A:$A,$A84,RaceResults!$D:$D,F84))</f>
        <v>2</v>
      </c>
      <c r="L84" s="11">
        <f>IF(D84="","",SUMIFS(RaceResults!$E:$E,RaceResults!$A:$A,$A84,RaceResults!$D:$D,D84))</f>
        <v>13</v>
      </c>
      <c r="M84" s="11">
        <f>IF(E84="","",SUMIFS(RaceResults!$E:$E,RaceResults!$A:$A,$A84,RaceResults!$D:$D,E84))</f>
        <v>28</v>
      </c>
      <c r="N84" s="11">
        <f>IF(F84="","",SUMIFS(RaceResults!$E:$E,RaceResults!$A:$A,$A84,RaceResults!$D:$D,F84))</f>
        <v>35</v>
      </c>
      <c r="O84" s="11">
        <f t="shared" si="1"/>
        <v>76</v>
      </c>
    </row>
    <row r="85" spans="1:15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3"/>
      <c r="H85" s="3"/>
      <c r="I85" s="11">
        <f>IF(D85="","",SUMIFS(RaceResults!$C:$C,RaceResults!$A:$A,$A85,RaceResults!$D:$D,D85))</f>
        <v>24</v>
      </c>
      <c r="J85" s="11">
        <f>IF(E85="","",SUMIFS(RaceResults!$C:$C,RaceResults!$A:$A,$A85,RaceResults!$D:$D,E85))</f>
        <v>2</v>
      </c>
      <c r="K85" s="11">
        <f>IF(F85="","",SUMIFS(RaceResults!$C:$C,RaceResults!$A:$A,$A85,RaceResults!$D:$D,F85))</f>
        <v>9</v>
      </c>
      <c r="L85" s="11">
        <f>IF(D85="","",SUMIFS(RaceResults!$E:$E,RaceResults!$A:$A,$A85,RaceResults!$D:$D,D85))</f>
        <v>13</v>
      </c>
      <c r="M85" s="11">
        <f>IF(E85="","",SUMIFS(RaceResults!$E:$E,RaceResults!$A:$A,$A85,RaceResults!$D:$D,E85))</f>
        <v>35</v>
      </c>
      <c r="N85" s="11">
        <f>IF(F85="","",SUMIFS(RaceResults!$E:$E,RaceResults!$A:$A,$A85,RaceResults!$D:$D,F85))</f>
        <v>28</v>
      </c>
      <c r="O85" s="11">
        <f t="shared" si="1"/>
        <v>76</v>
      </c>
    </row>
    <row r="86" spans="1:15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3"/>
      <c r="H86" s="3"/>
      <c r="I86" s="11">
        <f>IF(D86="","",SUMIFS(RaceResults!$C:$C,RaceResults!$A:$A,$A86,RaceResults!$D:$D,D86))</f>
        <v>2</v>
      </c>
      <c r="J86" s="11">
        <f>IF(E86="","",SUMIFS(RaceResults!$C:$C,RaceResults!$A:$A,$A86,RaceResults!$D:$D,E86))</f>
        <v>4</v>
      </c>
      <c r="K86" s="11">
        <f>IF(F86="","",SUMIFS(RaceResults!$C:$C,RaceResults!$A:$A,$A86,RaceResults!$D:$D,F86))</f>
        <v>20</v>
      </c>
      <c r="L86" s="11">
        <f>IF(D86="","",SUMIFS(RaceResults!$E:$E,RaceResults!$A:$A,$A86,RaceResults!$D:$D,D86))</f>
        <v>35</v>
      </c>
      <c r="M86" s="11">
        <f>IF(E86="","",SUMIFS(RaceResults!$E:$E,RaceResults!$A:$A,$A86,RaceResults!$D:$D,E86))</f>
        <v>33</v>
      </c>
      <c r="N86" s="11">
        <f>IF(F86="","",SUMIFS(RaceResults!$E:$E,RaceResults!$A:$A,$A86,RaceResults!$D:$D,F86))</f>
        <v>17</v>
      </c>
      <c r="O86" s="11">
        <f t="shared" si="1"/>
        <v>85</v>
      </c>
    </row>
    <row r="87" spans="1:15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3"/>
      <c r="H87" s="3"/>
      <c r="I87" s="11">
        <f>IF(D87="","",SUMIFS(RaceResults!$C:$C,RaceResults!$A:$A,$A87,RaceResults!$D:$D,D87))</f>
        <v>24</v>
      </c>
      <c r="J87" s="11">
        <f>IF(E87="","",SUMIFS(RaceResults!$C:$C,RaceResults!$A:$A,$A87,RaceResults!$D:$D,E87))</f>
        <v>2</v>
      </c>
      <c r="K87" s="11">
        <f>IF(F87="","",SUMIFS(RaceResults!$C:$C,RaceResults!$A:$A,$A87,RaceResults!$D:$D,F87))</f>
        <v>9</v>
      </c>
      <c r="L87" s="11">
        <f>IF(D87="","",SUMIFS(RaceResults!$E:$E,RaceResults!$A:$A,$A87,RaceResults!$D:$D,D87))</f>
        <v>13</v>
      </c>
      <c r="M87" s="11">
        <f>IF(E87="","",SUMIFS(RaceResults!$E:$E,RaceResults!$A:$A,$A87,RaceResults!$D:$D,E87))</f>
        <v>35</v>
      </c>
      <c r="N87" s="11">
        <f>IF(F87="","",SUMIFS(RaceResults!$E:$E,RaceResults!$A:$A,$A87,RaceResults!$D:$D,F87))</f>
        <v>28</v>
      </c>
      <c r="O87" s="11">
        <f t="shared" si="1"/>
        <v>76</v>
      </c>
    </row>
    <row r="88" spans="1:15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3"/>
      <c r="H88" s="3"/>
      <c r="I88" s="11">
        <f>IF(D88="","",SUMIFS(RaceResults!$C:$C,RaceResults!$A:$A,$A88,RaceResults!$D:$D,D88))</f>
        <v>2</v>
      </c>
      <c r="J88" s="11">
        <f>IF(E88="","",SUMIFS(RaceResults!$C:$C,RaceResults!$A:$A,$A88,RaceResults!$D:$D,E88))</f>
        <v>8</v>
      </c>
      <c r="K88" s="11">
        <f>IF(F88="","",SUMIFS(RaceResults!$C:$C,RaceResults!$A:$A,$A88,RaceResults!$D:$D,F88))</f>
        <v>7</v>
      </c>
      <c r="L88" s="11">
        <f>IF(D88="","",SUMIFS(RaceResults!$E:$E,RaceResults!$A:$A,$A88,RaceResults!$D:$D,D88))</f>
        <v>35</v>
      </c>
      <c r="M88" s="11">
        <f>IF(E88="","",SUMIFS(RaceResults!$E:$E,RaceResults!$A:$A,$A88,RaceResults!$D:$D,E88))</f>
        <v>29</v>
      </c>
      <c r="N88" s="11">
        <f>IF(F88="","",SUMIFS(RaceResults!$E:$E,RaceResults!$A:$A,$A88,RaceResults!$D:$D,F88))</f>
        <v>30</v>
      </c>
      <c r="O88" s="11">
        <f t="shared" si="1"/>
        <v>94</v>
      </c>
    </row>
    <row r="89" spans="1:15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3"/>
      <c r="H89" s="3"/>
      <c r="I89" s="11" t="str">
        <f>IF(D89="","",SUMIFS(RaceResults!$C:$C,RaceResults!$A:$A,$A89,RaceResults!$D:$D,D89))</f>
        <v/>
      </c>
      <c r="J89" s="11" t="str">
        <f>IF(E89="","",SUMIFS(RaceResults!$C:$C,RaceResults!$A:$A,$A89,RaceResults!$D:$D,E89))</f>
        <v/>
      </c>
      <c r="K89" s="11" t="str">
        <f>IF(F89="","",SUMIFS(RaceResults!$C:$C,RaceResults!$A:$A,$A89,RaceResults!$D:$D,F89))</f>
        <v/>
      </c>
      <c r="L89" s="11" t="str">
        <f>IF(D89="","",SUMIFS(RaceResults!$E:$E,RaceResults!$A:$A,$A89,RaceResults!$D:$D,D89))</f>
        <v/>
      </c>
      <c r="M89" s="11" t="str">
        <f>IF(E89="","",SUMIFS(RaceResults!$E:$E,RaceResults!$A:$A,$A89,RaceResults!$D:$D,E89))</f>
        <v/>
      </c>
      <c r="N89" s="11" t="str">
        <f>IF(F89="","",SUMIFS(RaceResults!$E:$E,RaceResults!$A:$A,$A89,RaceResults!$D:$D,F89))</f>
        <v/>
      </c>
      <c r="O89" s="11">
        <f t="shared" si="1"/>
        <v>0</v>
      </c>
    </row>
    <row r="90" spans="1:15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3"/>
      <c r="H90" s="3"/>
      <c r="I90" s="11">
        <f>IF(D90="","",SUMIFS(RaceResults!$C:$C,RaceResults!$A:$A,$A90,RaceResults!$D:$D,D90))</f>
        <v>2</v>
      </c>
      <c r="J90" s="11">
        <f>IF(E90="","",SUMIFS(RaceResults!$C:$C,RaceResults!$A:$A,$A90,RaceResults!$D:$D,E90))</f>
        <v>24</v>
      </c>
      <c r="K90" s="11">
        <f>IF(F90="","",SUMIFS(RaceResults!$C:$C,RaceResults!$A:$A,$A90,RaceResults!$D:$D,F90))</f>
        <v>9</v>
      </c>
      <c r="L90" s="11">
        <f>IF(D90="","",SUMIFS(RaceResults!$E:$E,RaceResults!$A:$A,$A90,RaceResults!$D:$D,D90))</f>
        <v>35</v>
      </c>
      <c r="M90" s="11">
        <f>IF(E90="","",SUMIFS(RaceResults!$E:$E,RaceResults!$A:$A,$A90,RaceResults!$D:$D,E90))</f>
        <v>13</v>
      </c>
      <c r="N90" s="11">
        <f>IF(F90="","",SUMIFS(RaceResults!$E:$E,RaceResults!$A:$A,$A90,RaceResults!$D:$D,F90))</f>
        <v>28</v>
      </c>
      <c r="O90" s="11">
        <f t="shared" si="1"/>
        <v>76</v>
      </c>
    </row>
    <row r="91" spans="1:15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3"/>
      <c r="H91" s="3"/>
      <c r="I91" s="11">
        <f>IF(D91="","",SUMIFS(RaceResults!$C:$C,RaceResults!$A:$A,$A91,RaceResults!$D:$D,D91))</f>
        <v>4</v>
      </c>
      <c r="J91" s="11">
        <f>IF(E91="","",SUMIFS(RaceResults!$C:$C,RaceResults!$A:$A,$A91,RaceResults!$D:$D,E91))</f>
        <v>9</v>
      </c>
      <c r="K91" s="11">
        <f>IF(F91="","",SUMIFS(RaceResults!$C:$C,RaceResults!$A:$A,$A91,RaceResults!$D:$D,F91))</f>
        <v>24</v>
      </c>
      <c r="L91" s="11">
        <f>IF(D91="","",SUMIFS(RaceResults!$E:$E,RaceResults!$A:$A,$A91,RaceResults!$D:$D,D91))</f>
        <v>33</v>
      </c>
      <c r="M91" s="11">
        <f>IF(E91="","",SUMIFS(RaceResults!$E:$E,RaceResults!$A:$A,$A91,RaceResults!$D:$D,E91))</f>
        <v>28</v>
      </c>
      <c r="N91" s="11">
        <f>IF(F91="","",SUMIFS(RaceResults!$E:$E,RaceResults!$A:$A,$A91,RaceResults!$D:$D,F91))</f>
        <v>13</v>
      </c>
      <c r="O91" s="11">
        <f t="shared" si="1"/>
        <v>74</v>
      </c>
    </row>
    <row r="92" spans="1:15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3"/>
      <c r="H92" s="3"/>
      <c r="I92" s="11">
        <f>IF(D92="","",SUMIFS(RaceResults!$C:$C,RaceResults!$A:$A,$A92,RaceResults!$D:$D,D92))</f>
        <v>40</v>
      </c>
      <c r="J92" s="11">
        <f>IF(E92="","",SUMIFS(RaceResults!$C:$C,RaceResults!$A:$A,$A92,RaceResults!$D:$D,E92))</f>
        <v>37</v>
      </c>
      <c r="K92" s="11">
        <f>IF(F92="","",SUMIFS(RaceResults!$C:$C,RaceResults!$A:$A,$A92,RaceResults!$D:$D,F92))</f>
        <v>14</v>
      </c>
      <c r="L92" s="11">
        <f>IF(D92="","",SUMIFS(RaceResults!$E:$E,RaceResults!$A:$A,$A92,RaceResults!$D:$D,D92))</f>
        <v>1</v>
      </c>
      <c r="M92" s="11">
        <f>IF(E92="","",SUMIFS(RaceResults!$E:$E,RaceResults!$A:$A,$A92,RaceResults!$D:$D,E92))</f>
        <v>1</v>
      </c>
      <c r="N92" s="11">
        <f>IF(F92="","",SUMIFS(RaceResults!$E:$E,RaceResults!$A:$A,$A92,RaceResults!$D:$D,F92))</f>
        <v>23</v>
      </c>
      <c r="O92" s="11">
        <f t="shared" si="1"/>
        <v>25</v>
      </c>
    </row>
    <row r="93" spans="1:15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3"/>
      <c r="H93" s="3"/>
      <c r="I93" s="11">
        <f>IF(D93="","",SUMIFS(RaceResults!$C:$C,RaceResults!$A:$A,$A93,RaceResults!$D:$D,D93))</f>
        <v>14</v>
      </c>
      <c r="J93" s="11">
        <f>IF(E93="","",SUMIFS(RaceResults!$C:$C,RaceResults!$A:$A,$A93,RaceResults!$D:$D,E93))</f>
        <v>15</v>
      </c>
      <c r="K93" s="11">
        <f>IF(F93="","",SUMIFS(RaceResults!$C:$C,RaceResults!$A:$A,$A93,RaceResults!$D:$D,F93))</f>
        <v>37</v>
      </c>
      <c r="L93" s="11">
        <f>IF(D93="","",SUMIFS(RaceResults!$E:$E,RaceResults!$A:$A,$A93,RaceResults!$D:$D,D93))</f>
        <v>23</v>
      </c>
      <c r="M93" s="11">
        <f>IF(E93="","",SUMIFS(RaceResults!$E:$E,RaceResults!$A:$A,$A93,RaceResults!$D:$D,E93))</f>
        <v>22</v>
      </c>
      <c r="N93" s="11">
        <f>IF(F93="","",SUMIFS(RaceResults!$E:$E,RaceResults!$A:$A,$A93,RaceResults!$D:$D,F93))</f>
        <v>1</v>
      </c>
      <c r="O93" s="11">
        <f t="shared" si="1"/>
        <v>46</v>
      </c>
    </row>
    <row r="94" spans="1:15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3"/>
      <c r="H94" s="3"/>
      <c r="I94" s="11">
        <f>IF(D94="","",SUMIFS(RaceResults!$C:$C,RaceResults!$A:$A,$A94,RaceResults!$D:$D,D94))</f>
        <v>40</v>
      </c>
      <c r="J94" s="11">
        <f>IF(E94="","",SUMIFS(RaceResults!$C:$C,RaceResults!$A:$A,$A94,RaceResults!$D:$D,E94))</f>
        <v>36</v>
      </c>
      <c r="K94" s="11">
        <f>IF(F94="","",SUMIFS(RaceResults!$C:$C,RaceResults!$A:$A,$A94,RaceResults!$D:$D,F94))</f>
        <v>35</v>
      </c>
      <c r="L94" s="11">
        <f>IF(D94="","",SUMIFS(RaceResults!$E:$E,RaceResults!$A:$A,$A94,RaceResults!$D:$D,D94))</f>
        <v>1</v>
      </c>
      <c r="M94" s="11">
        <f>IF(E94="","",SUMIFS(RaceResults!$E:$E,RaceResults!$A:$A,$A94,RaceResults!$D:$D,E94))</f>
        <v>1</v>
      </c>
      <c r="N94" s="11">
        <f>IF(F94="","",SUMIFS(RaceResults!$E:$E,RaceResults!$A:$A,$A94,RaceResults!$D:$D,F94))</f>
        <v>2</v>
      </c>
      <c r="O94" s="11">
        <f t="shared" si="1"/>
        <v>4</v>
      </c>
    </row>
    <row r="95" spans="1:15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3"/>
      <c r="H95" s="3"/>
      <c r="I95" s="11">
        <f>IF(D95="","",SUMIFS(RaceResults!$C:$C,RaceResults!$A:$A,$A95,RaceResults!$D:$D,D95))</f>
        <v>40</v>
      </c>
      <c r="J95" s="11">
        <f>IF(E95="","",SUMIFS(RaceResults!$C:$C,RaceResults!$A:$A,$A95,RaceResults!$D:$D,E95))</f>
        <v>14</v>
      </c>
      <c r="K95" s="11">
        <f>IF(F95="","",SUMIFS(RaceResults!$C:$C,RaceResults!$A:$A,$A95,RaceResults!$D:$D,F95))</f>
        <v>37</v>
      </c>
      <c r="L95" s="11">
        <f>IF(D95="","",SUMIFS(RaceResults!$E:$E,RaceResults!$A:$A,$A95,RaceResults!$D:$D,D95))</f>
        <v>1</v>
      </c>
      <c r="M95" s="11">
        <f>IF(E95="","",SUMIFS(RaceResults!$E:$E,RaceResults!$A:$A,$A95,RaceResults!$D:$D,E95))</f>
        <v>23</v>
      </c>
      <c r="N95" s="11">
        <f>IF(F95="","",SUMIFS(RaceResults!$E:$E,RaceResults!$A:$A,$A95,RaceResults!$D:$D,F95))</f>
        <v>1</v>
      </c>
      <c r="O95" s="11">
        <f t="shared" si="1"/>
        <v>25</v>
      </c>
    </row>
    <row r="96" spans="1:15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3"/>
      <c r="H96" s="3"/>
      <c r="I96" s="11">
        <f>IF(D96="","",SUMIFS(RaceResults!$C:$C,RaceResults!$A:$A,$A96,RaceResults!$D:$D,D96))</f>
        <v>39</v>
      </c>
      <c r="J96" s="11">
        <f>IF(E96="","",SUMIFS(RaceResults!$C:$C,RaceResults!$A:$A,$A96,RaceResults!$D:$D,E96))</f>
        <v>40</v>
      </c>
      <c r="K96" s="11">
        <f>IF(F96="","",SUMIFS(RaceResults!$C:$C,RaceResults!$A:$A,$A96,RaceResults!$D:$D,F96))</f>
        <v>35</v>
      </c>
      <c r="L96" s="11">
        <f>IF(D96="","",SUMIFS(RaceResults!$E:$E,RaceResults!$A:$A,$A96,RaceResults!$D:$D,D96))</f>
        <v>1</v>
      </c>
      <c r="M96" s="11">
        <f>IF(E96="","",SUMIFS(RaceResults!$E:$E,RaceResults!$A:$A,$A96,RaceResults!$D:$D,E96))</f>
        <v>1</v>
      </c>
      <c r="N96" s="11">
        <f>IF(F96="","",SUMIFS(RaceResults!$E:$E,RaceResults!$A:$A,$A96,RaceResults!$D:$D,F96))</f>
        <v>2</v>
      </c>
      <c r="O96" s="11">
        <f t="shared" si="1"/>
        <v>4</v>
      </c>
    </row>
    <row r="97" spans="1:15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3"/>
      <c r="H97" s="3"/>
      <c r="I97" s="11">
        <f>IF(D97="","",SUMIFS(RaceResults!$C:$C,RaceResults!$A:$A,$A97,RaceResults!$D:$D,D97))</f>
        <v>14</v>
      </c>
      <c r="J97" s="11">
        <f>IF(E97="","",SUMIFS(RaceResults!$C:$C,RaceResults!$A:$A,$A97,RaceResults!$D:$D,E97))</f>
        <v>36</v>
      </c>
      <c r="K97" s="11">
        <f>IF(F97="","",SUMIFS(RaceResults!$C:$C,RaceResults!$A:$A,$A97,RaceResults!$D:$D,F97))</f>
        <v>35</v>
      </c>
      <c r="L97" s="11">
        <f>IF(D97="","",SUMIFS(RaceResults!$E:$E,RaceResults!$A:$A,$A97,RaceResults!$D:$D,D97))</f>
        <v>23</v>
      </c>
      <c r="M97" s="11">
        <f>IF(E97="","",SUMIFS(RaceResults!$E:$E,RaceResults!$A:$A,$A97,RaceResults!$D:$D,E97))</f>
        <v>1</v>
      </c>
      <c r="N97" s="11">
        <f>IF(F97="","",SUMIFS(RaceResults!$E:$E,RaceResults!$A:$A,$A97,RaceResults!$D:$D,F97))</f>
        <v>2</v>
      </c>
      <c r="O97" s="11">
        <f t="shared" si="1"/>
        <v>26</v>
      </c>
    </row>
    <row r="98" spans="1:15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3"/>
      <c r="H98" s="3"/>
      <c r="I98" s="11">
        <f>IF(D98="","",SUMIFS(RaceResults!$C:$C,RaceResults!$A:$A,$A98,RaceResults!$D:$D,D98))</f>
        <v>40</v>
      </c>
      <c r="J98" s="11">
        <f>IF(E98="","",SUMIFS(RaceResults!$C:$C,RaceResults!$A:$A,$A98,RaceResults!$D:$D,E98))</f>
        <v>35</v>
      </c>
      <c r="K98" s="11">
        <f>IF(F98="","",SUMIFS(RaceResults!$C:$C,RaceResults!$A:$A,$A98,RaceResults!$D:$D,F98))</f>
        <v>4</v>
      </c>
      <c r="L98" s="11">
        <f>IF(D98="","",SUMIFS(RaceResults!$E:$E,RaceResults!$A:$A,$A98,RaceResults!$D:$D,D98))</f>
        <v>1</v>
      </c>
      <c r="M98" s="11">
        <f>IF(E98="","",SUMIFS(RaceResults!$E:$E,RaceResults!$A:$A,$A98,RaceResults!$D:$D,E98))</f>
        <v>2</v>
      </c>
      <c r="N98" s="11">
        <f>IF(F98="","",SUMIFS(RaceResults!$E:$E,RaceResults!$A:$A,$A98,RaceResults!$D:$D,F98))</f>
        <v>33</v>
      </c>
      <c r="O98" s="11">
        <f t="shared" si="1"/>
        <v>36</v>
      </c>
    </row>
    <row r="99" spans="1:15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3"/>
      <c r="H99" s="3"/>
      <c r="I99" s="11" t="str">
        <f>IF(D99="","",SUMIFS(RaceResults!$C:$C,RaceResults!$A:$A,$A99,RaceResults!$D:$D,D99))</f>
        <v/>
      </c>
      <c r="J99" s="11" t="str">
        <f>IF(E99="","",SUMIFS(RaceResults!$C:$C,RaceResults!$A:$A,$A99,RaceResults!$D:$D,E99))</f>
        <v/>
      </c>
      <c r="K99" s="11" t="str">
        <f>IF(F99="","",SUMIFS(RaceResults!$C:$C,RaceResults!$A:$A,$A99,RaceResults!$D:$D,F99))</f>
        <v/>
      </c>
      <c r="L99" s="11" t="str">
        <f>IF(D99="","",SUMIFS(RaceResults!$E:$E,RaceResults!$A:$A,$A99,RaceResults!$D:$D,D99))</f>
        <v/>
      </c>
      <c r="M99" s="11" t="str">
        <f>IF(E99="","",SUMIFS(RaceResults!$E:$E,RaceResults!$A:$A,$A99,RaceResults!$D:$D,E99))</f>
        <v/>
      </c>
      <c r="N99" s="11" t="str">
        <f>IF(F99="","",SUMIFS(RaceResults!$E:$E,RaceResults!$A:$A,$A99,RaceResults!$D:$D,F99))</f>
        <v/>
      </c>
      <c r="O99" s="11">
        <f t="shared" si="1"/>
        <v>0</v>
      </c>
    </row>
    <row r="100" spans="1:15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3"/>
      <c r="H100" s="3"/>
      <c r="I100" s="11">
        <f>IF(D100="","",SUMIFS(RaceResults!$C:$C,RaceResults!$A:$A,$A100,RaceResults!$D:$D,D100))</f>
        <v>37</v>
      </c>
      <c r="J100" s="11">
        <f>IF(E100="","",SUMIFS(RaceResults!$C:$C,RaceResults!$A:$A,$A100,RaceResults!$D:$D,E100))</f>
        <v>39</v>
      </c>
      <c r="K100" s="11">
        <f>IF(F100="","",SUMIFS(RaceResults!$C:$C,RaceResults!$A:$A,$A100,RaceResults!$D:$D,F100))</f>
        <v>31</v>
      </c>
      <c r="L100" s="11">
        <f>IF(D100="","",SUMIFS(RaceResults!$E:$E,RaceResults!$A:$A,$A100,RaceResults!$D:$D,D100))</f>
        <v>1</v>
      </c>
      <c r="M100" s="11">
        <f>IF(E100="","",SUMIFS(RaceResults!$E:$E,RaceResults!$A:$A,$A100,RaceResults!$D:$D,E100))</f>
        <v>1</v>
      </c>
      <c r="N100" s="11">
        <f>IF(F100="","",SUMIFS(RaceResults!$E:$E,RaceResults!$A:$A,$A100,RaceResults!$D:$D,F100))</f>
        <v>6</v>
      </c>
      <c r="O100" s="11">
        <f t="shared" si="1"/>
        <v>8</v>
      </c>
    </row>
    <row r="101" spans="1:15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3"/>
      <c r="H101" s="3"/>
      <c r="I101" s="11">
        <f>IF(D101="","",SUMIFS(RaceResults!$C:$C,RaceResults!$A:$A,$A101,RaceResults!$D:$D,D101))</f>
        <v>40</v>
      </c>
      <c r="J101" s="11">
        <f>IF(E101="","",SUMIFS(RaceResults!$C:$C,RaceResults!$A:$A,$A101,RaceResults!$D:$D,E101))</f>
        <v>36</v>
      </c>
      <c r="K101" s="11">
        <f>IF(F101="","",SUMIFS(RaceResults!$C:$C,RaceResults!$A:$A,$A101,RaceResults!$D:$D,F101))</f>
        <v>34</v>
      </c>
      <c r="L101" s="11">
        <f>IF(D101="","",SUMIFS(RaceResults!$E:$E,RaceResults!$A:$A,$A101,RaceResults!$D:$D,D101))</f>
        <v>1</v>
      </c>
      <c r="M101" s="11">
        <f>IF(E101="","",SUMIFS(RaceResults!$E:$E,RaceResults!$A:$A,$A101,RaceResults!$D:$D,E101))</f>
        <v>1</v>
      </c>
      <c r="N101" s="11">
        <f>IF(F101="","",SUMIFS(RaceResults!$E:$E,RaceResults!$A:$A,$A101,RaceResults!$D:$D,F101))</f>
        <v>3</v>
      </c>
      <c r="O101" s="11">
        <f t="shared" si="1"/>
        <v>5</v>
      </c>
    </row>
    <row r="102" spans="1:15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3"/>
      <c r="H102" s="3"/>
      <c r="I102" s="11">
        <f>IF(D102="","",SUMIFS(RaceResults!$C:$C,RaceResults!$A:$A,$A102,RaceResults!$D:$D,D102))</f>
        <v>34</v>
      </c>
      <c r="J102" s="11">
        <f>IF(E102="","",SUMIFS(RaceResults!$C:$C,RaceResults!$A:$A,$A102,RaceResults!$D:$D,E102))</f>
        <v>7</v>
      </c>
      <c r="K102" s="11">
        <f>IF(F102="","",SUMIFS(RaceResults!$C:$C,RaceResults!$A:$A,$A102,RaceResults!$D:$D,F102))</f>
        <v>2</v>
      </c>
      <c r="L102" s="11">
        <f>IF(D102="","",SUMIFS(RaceResults!$E:$E,RaceResults!$A:$A,$A102,RaceResults!$D:$D,D102))</f>
        <v>3</v>
      </c>
      <c r="M102" s="11">
        <f>IF(E102="","",SUMIFS(RaceResults!$E:$E,RaceResults!$A:$A,$A102,RaceResults!$D:$D,E102))</f>
        <v>30</v>
      </c>
      <c r="N102" s="11">
        <f>IF(F102="","",SUMIFS(RaceResults!$E:$E,RaceResults!$A:$A,$A102,RaceResults!$D:$D,F102))</f>
        <v>35</v>
      </c>
      <c r="O102" s="11">
        <f t="shared" si="1"/>
        <v>68</v>
      </c>
    </row>
    <row r="103" spans="1:15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3"/>
      <c r="H103" s="3"/>
      <c r="I103" s="11">
        <f>IF(D103="","",SUMIFS(RaceResults!$C:$C,RaceResults!$A:$A,$A103,RaceResults!$D:$D,D103))</f>
        <v>2</v>
      </c>
      <c r="J103" s="11">
        <f>IF(E103="","",SUMIFS(RaceResults!$C:$C,RaceResults!$A:$A,$A103,RaceResults!$D:$D,E103))</f>
        <v>6</v>
      </c>
      <c r="K103" s="11">
        <f>IF(F103="","",SUMIFS(RaceResults!$C:$C,RaceResults!$A:$A,$A103,RaceResults!$D:$D,F103))</f>
        <v>4</v>
      </c>
      <c r="L103" s="11">
        <f>IF(D103="","",SUMIFS(RaceResults!$E:$E,RaceResults!$A:$A,$A103,RaceResults!$D:$D,D103))</f>
        <v>35</v>
      </c>
      <c r="M103" s="11">
        <f>IF(E103="","",SUMIFS(RaceResults!$E:$E,RaceResults!$A:$A,$A103,RaceResults!$D:$D,E103))</f>
        <v>31</v>
      </c>
      <c r="N103" s="11">
        <f>IF(F103="","",SUMIFS(RaceResults!$E:$E,RaceResults!$A:$A,$A103,RaceResults!$D:$D,F103))</f>
        <v>33</v>
      </c>
      <c r="O103" s="11">
        <f t="shared" si="1"/>
        <v>99</v>
      </c>
    </row>
    <row r="104" spans="1:15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3"/>
      <c r="H104" s="3"/>
      <c r="I104" s="11">
        <f>IF(D104="","",SUMIFS(RaceResults!$C:$C,RaceResults!$A:$A,$A104,RaceResults!$D:$D,D104))</f>
        <v>5</v>
      </c>
      <c r="J104" s="11">
        <f>IF(E104="","",SUMIFS(RaceResults!$C:$C,RaceResults!$A:$A,$A104,RaceResults!$D:$D,E104))</f>
        <v>23</v>
      </c>
      <c r="K104" s="11">
        <f>IF(F104="","",SUMIFS(RaceResults!$C:$C,RaceResults!$A:$A,$A104,RaceResults!$D:$D,F104))</f>
        <v>38</v>
      </c>
      <c r="L104" s="11">
        <f>IF(D104="","",SUMIFS(RaceResults!$E:$E,RaceResults!$A:$A,$A104,RaceResults!$D:$D,D104))</f>
        <v>32</v>
      </c>
      <c r="M104" s="11">
        <f>IF(E104="","",SUMIFS(RaceResults!$E:$E,RaceResults!$A:$A,$A104,RaceResults!$D:$D,E104))</f>
        <v>14</v>
      </c>
      <c r="N104" s="11">
        <f>IF(F104="","",SUMIFS(RaceResults!$E:$E,RaceResults!$A:$A,$A104,RaceResults!$D:$D,F104))</f>
        <v>1</v>
      </c>
      <c r="O104" s="11">
        <f t="shared" si="1"/>
        <v>47</v>
      </c>
    </row>
    <row r="105" spans="1:15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3"/>
      <c r="H105" s="3"/>
      <c r="I105" s="11">
        <f>IF(D105="","",SUMIFS(RaceResults!$C:$C,RaceResults!$A:$A,$A105,RaceResults!$D:$D,D105))</f>
        <v>2</v>
      </c>
      <c r="J105" s="11">
        <f>IF(E105="","",SUMIFS(RaceResults!$C:$C,RaceResults!$A:$A,$A105,RaceResults!$D:$D,E105))</f>
        <v>7</v>
      </c>
      <c r="K105" s="11">
        <f>IF(F105="","",SUMIFS(RaceResults!$C:$C,RaceResults!$A:$A,$A105,RaceResults!$D:$D,F105))</f>
        <v>10</v>
      </c>
      <c r="L105" s="11">
        <f>IF(D105="","",SUMIFS(RaceResults!$E:$E,RaceResults!$A:$A,$A105,RaceResults!$D:$D,D105))</f>
        <v>35</v>
      </c>
      <c r="M105" s="11">
        <f>IF(E105="","",SUMIFS(RaceResults!$E:$E,RaceResults!$A:$A,$A105,RaceResults!$D:$D,E105))</f>
        <v>30</v>
      </c>
      <c r="N105" s="11">
        <f>IF(F105="","",SUMIFS(RaceResults!$E:$E,RaceResults!$A:$A,$A105,RaceResults!$D:$D,F105))</f>
        <v>27</v>
      </c>
      <c r="O105" s="11">
        <f t="shared" si="1"/>
        <v>92</v>
      </c>
    </row>
    <row r="106" spans="1:15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3"/>
      <c r="H106" s="3"/>
      <c r="I106" s="11">
        <f>IF(D106="","",SUMIFS(RaceResults!$C:$C,RaceResults!$A:$A,$A106,RaceResults!$D:$D,D106))</f>
        <v>38</v>
      </c>
      <c r="J106" s="11">
        <f>IF(E106="","",SUMIFS(RaceResults!$C:$C,RaceResults!$A:$A,$A106,RaceResults!$D:$D,E106))</f>
        <v>2</v>
      </c>
      <c r="K106" s="11">
        <f>IF(F106="","",SUMIFS(RaceResults!$C:$C,RaceResults!$A:$A,$A106,RaceResults!$D:$D,F106))</f>
        <v>37</v>
      </c>
      <c r="L106" s="11">
        <f>IF(D106="","",SUMIFS(RaceResults!$E:$E,RaceResults!$A:$A,$A106,RaceResults!$D:$D,D106))</f>
        <v>1</v>
      </c>
      <c r="M106" s="11">
        <f>IF(E106="","",SUMIFS(RaceResults!$E:$E,RaceResults!$A:$A,$A106,RaceResults!$D:$D,E106))</f>
        <v>35</v>
      </c>
      <c r="N106" s="11">
        <f>IF(F106="","",SUMIFS(RaceResults!$E:$E,RaceResults!$A:$A,$A106,RaceResults!$D:$D,F106))</f>
        <v>1</v>
      </c>
      <c r="O106" s="11">
        <f t="shared" si="1"/>
        <v>37</v>
      </c>
    </row>
    <row r="107" spans="1:15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3"/>
      <c r="H107" s="3"/>
      <c r="I107" s="11">
        <f>IF(D107="","",SUMIFS(RaceResults!$C:$C,RaceResults!$A:$A,$A107,RaceResults!$D:$D,D107))</f>
        <v>23</v>
      </c>
      <c r="J107" s="11">
        <f>IF(E107="","",SUMIFS(RaceResults!$C:$C,RaceResults!$A:$A,$A107,RaceResults!$D:$D,E107))</f>
        <v>7</v>
      </c>
      <c r="K107" s="11">
        <f>IF(F107="","",SUMIFS(RaceResults!$C:$C,RaceResults!$A:$A,$A107,RaceResults!$D:$D,F107))</f>
        <v>4</v>
      </c>
      <c r="L107" s="11">
        <f>IF(D107="","",SUMIFS(RaceResults!$E:$E,RaceResults!$A:$A,$A107,RaceResults!$D:$D,D107))</f>
        <v>14</v>
      </c>
      <c r="M107" s="11">
        <f>IF(E107="","",SUMIFS(RaceResults!$E:$E,RaceResults!$A:$A,$A107,RaceResults!$D:$D,E107))</f>
        <v>30</v>
      </c>
      <c r="N107" s="11">
        <f>IF(F107="","",SUMIFS(RaceResults!$E:$E,RaceResults!$A:$A,$A107,RaceResults!$D:$D,F107))</f>
        <v>33</v>
      </c>
      <c r="O107" s="11">
        <f t="shared" si="1"/>
        <v>77</v>
      </c>
    </row>
    <row r="108" spans="1:15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3"/>
      <c r="H108" s="3"/>
      <c r="I108" s="11">
        <f>IF(D108="","",SUMIFS(RaceResults!$C:$C,RaceResults!$A:$A,$A108,RaceResults!$D:$D,D108))</f>
        <v>3</v>
      </c>
      <c r="J108" s="11">
        <f>IF(E108="","",SUMIFS(RaceResults!$C:$C,RaceResults!$A:$A,$A108,RaceResults!$D:$D,E108))</f>
        <v>34</v>
      </c>
      <c r="K108" s="11">
        <f>IF(F108="","",SUMIFS(RaceResults!$C:$C,RaceResults!$A:$A,$A108,RaceResults!$D:$D,F108))</f>
        <v>1</v>
      </c>
      <c r="L108" s="11">
        <f>IF(D108="","",SUMIFS(RaceResults!$E:$E,RaceResults!$A:$A,$A108,RaceResults!$D:$D,D108))</f>
        <v>34</v>
      </c>
      <c r="M108" s="11">
        <f>IF(E108="","",SUMIFS(RaceResults!$E:$E,RaceResults!$A:$A,$A108,RaceResults!$D:$D,E108))</f>
        <v>3</v>
      </c>
      <c r="N108" s="11">
        <f>IF(F108="","",SUMIFS(RaceResults!$E:$E,RaceResults!$A:$A,$A108,RaceResults!$D:$D,F108))</f>
        <v>55</v>
      </c>
      <c r="O108" s="11">
        <f t="shared" si="1"/>
        <v>92</v>
      </c>
    </row>
    <row r="109" spans="1:15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3"/>
      <c r="H109" s="3"/>
      <c r="I109" s="11" t="str">
        <f>IF(D109="","",SUMIFS(RaceResults!$C:$C,RaceResults!$A:$A,$A109,RaceResults!$D:$D,D109))</f>
        <v/>
      </c>
      <c r="J109" s="11" t="str">
        <f>IF(E109="","",SUMIFS(RaceResults!$C:$C,RaceResults!$A:$A,$A109,RaceResults!$D:$D,E109))</f>
        <v/>
      </c>
      <c r="K109" s="11" t="str">
        <f>IF(F109="","",SUMIFS(RaceResults!$C:$C,RaceResults!$A:$A,$A109,RaceResults!$D:$D,F109))</f>
        <v/>
      </c>
      <c r="L109" s="11" t="str">
        <f>IF(D109="","",SUMIFS(RaceResults!$E:$E,RaceResults!$A:$A,$A109,RaceResults!$D:$D,D109))</f>
        <v/>
      </c>
      <c r="M109" s="11" t="str">
        <f>IF(E109="","",SUMIFS(RaceResults!$E:$E,RaceResults!$A:$A,$A109,RaceResults!$D:$D,E109))</f>
        <v/>
      </c>
      <c r="N109" s="11" t="str">
        <f>IF(F109="","",SUMIFS(RaceResults!$E:$E,RaceResults!$A:$A,$A109,RaceResults!$D:$D,F109))</f>
        <v/>
      </c>
      <c r="O109" s="11">
        <f t="shared" si="1"/>
        <v>0</v>
      </c>
    </row>
    <row r="110" spans="1:15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3"/>
      <c r="H110" s="3"/>
      <c r="I110" s="11">
        <f>IF(D110="","",SUMIFS(RaceResults!$C:$C,RaceResults!$A:$A,$A110,RaceResults!$D:$D,D110))</f>
        <v>34</v>
      </c>
      <c r="J110" s="11">
        <f>IF(E110="","",SUMIFS(RaceResults!$C:$C,RaceResults!$A:$A,$A110,RaceResults!$D:$D,E110))</f>
        <v>2</v>
      </c>
      <c r="K110" s="11">
        <f>IF(F110="","",SUMIFS(RaceResults!$C:$C,RaceResults!$A:$A,$A110,RaceResults!$D:$D,F110))</f>
        <v>7</v>
      </c>
      <c r="L110" s="11">
        <f>IF(D110="","",SUMIFS(RaceResults!$E:$E,RaceResults!$A:$A,$A110,RaceResults!$D:$D,D110))</f>
        <v>3</v>
      </c>
      <c r="M110" s="11">
        <f>IF(E110="","",SUMIFS(RaceResults!$E:$E,RaceResults!$A:$A,$A110,RaceResults!$D:$D,E110))</f>
        <v>35</v>
      </c>
      <c r="N110" s="11">
        <f>IF(F110="","",SUMIFS(RaceResults!$E:$E,RaceResults!$A:$A,$A110,RaceResults!$D:$D,F110))</f>
        <v>30</v>
      </c>
      <c r="O110" s="11">
        <f t="shared" si="1"/>
        <v>68</v>
      </c>
    </row>
    <row r="111" spans="1:15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3"/>
      <c r="H111" s="3"/>
      <c r="I111" s="11">
        <f>IF(D111="","",SUMIFS(RaceResults!$C:$C,RaceResults!$A:$A,$A111,RaceResults!$D:$D,D111))</f>
        <v>2</v>
      </c>
      <c r="J111" s="11">
        <f>IF(E111="","",SUMIFS(RaceResults!$C:$C,RaceResults!$A:$A,$A111,RaceResults!$D:$D,E111))</f>
        <v>20</v>
      </c>
      <c r="K111" s="11">
        <f>IF(F111="","",SUMIFS(RaceResults!$C:$C,RaceResults!$A:$A,$A111,RaceResults!$D:$D,F111))</f>
        <v>36</v>
      </c>
      <c r="L111" s="11">
        <f>IF(D111="","",SUMIFS(RaceResults!$E:$E,RaceResults!$A:$A,$A111,RaceResults!$D:$D,D111))</f>
        <v>35</v>
      </c>
      <c r="M111" s="11">
        <f>IF(E111="","",SUMIFS(RaceResults!$E:$E,RaceResults!$A:$A,$A111,RaceResults!$D:$D,E111))</f>
        <v>17</v>
      </c>
      <c r="N111" s="11">
        <f>IF(F111="","",SUMIFS(RaceResults!$E:$E,RaceResults!$A:$A,$A111,RaceResults!$D:$D,F111))</f>
        <v>1</v>
      </c>
      <c r="O111" s="11">
        <f t="shared" si="1"/>
        <v>53</v>
      </c>
    </row>
    <row r="112" spans="1:15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3"/>
      <c r="H112" s="3"/>
      <c r="I112" s="11">
        <f>IF(D112="","",SUMIFS(RaceResults!$C:$C,RaceResults!$A:$A,$A112,RaceResults!$D:$D,D112))</f>
        <v>1</v>
      </c>
      <c r="J112" s="11">
        <f>IF(E112="","",SUMIFS(RaceResults!$C:$C,RaceResults!$A:$A,$A112,RaceResults!$D:$D,E112))</f>
        <v>11</v>
      </c>
      <c r="K112" s="11">
        <f>IF(F112="","",SUMIFS(RaceResults!$C:$C,RaceResults!$A:$A,$A112,RaceResults!$D:$D,F112))</f>
        <v>9</v>
      </c>
      <c r="L112" s="11">
        <f>IF(D112="","",SUMIFS(RaceResults!$E:$E,RaceResults!$A:$A,$A112,RaceResults!$D:$D,D112))</f>
        <v>55</v>
      </c>
      <c r="M112" s="11">
        <f>IF(E112="","",SUMIFS(RaceResults!$E:$E,RaceResults!$A:$A,$A112,RaceResults!$D:$D,E112))</f>
        <v>26</v>
      </c>
      <c r="N112" s="11">
        <f>IF(F112="","",SUMIFS(RaceResults!$E:$E,RaceResults!$A:$A,$A112,RaceResults!$D:$D,F112))</f>
        <v>28</v>
      </c>
      <c r="O112" s="11">
        <f t="shared" si="1"/>
        <v>109</v>
      </c>
    </row>
    <row r="113" spans="1:15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3"/>
      <c r="H113" s="3"/>
      <c r="I113" s="11">
        <f>IF(D113="","",SUMIFS(RaceResults!$C:$C,RaceResults!$A:$A,$A113,RaceResults!$D:$D,D113))</f>
        <v>1</v>
      </c>
      <c r="J113" s="11">
        <f>IF(E113="","",SUMIFS(RaceResults!$C:$C,RaceResults!$A:$A,$A113,RaceResults!$D:$D,E113))</f>
        <v>27</v>
      </c>
      <c r="K113" s="11">
        <f>IF(F113="","",SUMIFS(RaceResults!$C:$C,RaceResults!$A:$A,$A113,RaceResults!$D:$D,F113))</f>
        <v>11</v>
      </c>
      <c r="L113" s="11">
        <f>IF(D113="","",SUMIFS(RaceResults!$E:$E,RaceResults!$A:$A,$A113,RaceResults!$D:$D,D113))</f>
        <v>55</v>
      </c>
      <c r="M113" s="11">
        <f>IF(E113="","",SUMIFS(RaceResults!$E:$E,RaceResults!$A:$A,$A113,RaceResults!$D:$D,E113))</f>
        <v>10</v>
      </c>
      <c r="N113" s="11">
        <f>IF(F113="","",SUMIFS(RaceResults!$E:$E,RaceResults!$A:$A,$A113,RaceResults!$D:$D,F113))</f>
        <v>26</v>
      </c>
      <c r="O113" s="11">
        <f t="shared" si="1"/>
        <v>91</v>
      </c>
    </row>
    <row r="114" spans="1:15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3"/>
      <c r="H114" s="3"/>
      <c r="I114" s="11">
        <f>IF(D114="","",SUMIFS(RaceResults!$C:$C,RaceResults!$A:$A,$A114,RaceResults!$D:$D,D114))</f>
        <v>1</v>
      </c>
      <c r="J114" s="11">
        <f>IF(E114="","",SUMIFS(RaceResults!$C:$C,RaceResults!$A:$A,$A114,RaceResults!$D:$D,E114))</f>
        <v>21</v>
      </c>
      <c r="K114" s="11">
        <f>IF(F114="","",SUMIFS(RaceResults!$C:$C,RaceResults!$A:$A,$A114,RaceResults!$D:$D,F114))</f>
        <v>12</v>
      </c>
      <c r="L114" s="11">
        <f>IF(D114="","",SUMIFS(RaceResults!$E:$E,RaceResults!$A:$A,$A114,RaceResults!$D:$D,D114))</f>
        <v>55</v>
      </c>
      <c r="M114" s="11">
        <f>IF(E114="","",SUMIFS(RaceResults!$E:$E,RaceResults!$A:$A,$A114,RaceResults!$D:$D,E114))</f>
        <v>16</v>
      </c>
      <c r="N114" s="11">
        <f>IF(F114="","",SUMIFS(RaceResults!$E:$E,RaceResults!$A:$A,$A114,RaceResults!$D:$D,F114))</f>
        <v>25</v>
      </c>
      <c r="O114" s="11">
        <f t="shared" si="1"/>
        <v>96</v>
      </c>
    </row>
    <row r="115" spans="1:15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3"/>
      <c r="H115" s="3"/>
      <c r="I115" s="11">
        <f>IF(D115="","",SUMIFS(RaceResults!$C:$C,RaceResults!$A:$A,$A115,RaceResults!$D:$D,D115))</f>
        <v>1</v>
      </c>
      <c r="J115" s="11">
        <f>IF(E115="","",SUMIFS(RaceResults!$C:$C,RaceResults!$A:$A,$A115,RaceResults!$D:$D,E115))</f>
        <v>11</v>
      </c>
      <c r="K115" s="11">
        <f>IF(F115="","",SUMIFS(RaceResults!$C:$C,RaceResults!$A:$A,$A115,RaceResults!$D:$D,F115))</f>
        <v>21</v>
      </c>
      <c r="L115" s="11">
        <f>IF(D115="","",SUMIFS(RaceResults!$E:$E,RaceResults!$A:$A,$A115,RaceResults!$D:$D,D115))</f>
        <v>55</v>
      </c>
      <c r="M115" s="11">
        <f>IF(E115="","",SUMIFS(RaceResults!$E:$E,RaceResults!$A:$A,$A115,RaceResults!$D:$D,E115))</f>
        <v>26</v>
      </c>
      <c r="N115" s="11">
        <f>IF(F115="","",SUMIFS(RaceResults!$E:$E,RaceResults!$A:$A,$A115,RaceResults!$D:$D,F115))</f>
        <v>16</v>
      </c>
      <c r="O115" s="11">
        <f t="shared" si="1"/>
        <v>97</v>
      </c>
    </row>
    <row r="116" spans="1:15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3"/>
      <c r="H116" s="3"/>
      <c r="I116" s="11">
        <f>IF(D116="","",SUMIFS(RaceResults!$C:$C,RaceResults!$A:$A,$A116,RaceResults!$D:$D,D116))</f>
        <v>38</v>
      </c>
      <c r="J116" s="11">
        <f>IF(E116="","",SUMIFS(RaceResults!$C:$C,RaceResults!$A:$A,$A116,RaceResults!$D:$D,E116))</f>
        <v>9</v>
      </c>
      <c r="K116" s="11">
        <f>IF(F116="","",SUMIFS(RaceResults!$C:$C,RaceResults!$A:$A,$A116,RaceResults!$D:$D,F116))</f>
        <v>21</v>
      </c>
      <c r="L116" s="11">
        <f>IF(D116="","",SUMIFS(RaceResults!$E:$E,RaceResults!$A:$A,$A116,RaceResults!$D:$D,D116))</f>
        <v>1</v>
      </c>
      <c r="M116" s="11">
        <f>IF(E116="","",SUMIFS(RaceResults!$E:$E,RaceResults!$A:$A,$A116,RaceResults!$D:$D,E116))</f>
        <v>28</v>
      </c>
      <c r="N116" s="11">
        <f>IF(F116="","",SUMIFS(RaceResults!$E:$E,RaceResults!$A:$A,$A116,RaceResults!$D:$D,F116))</f>
        <v>16</v>
      </c>
      <c r="O116" s="11">
        <f t="shared" si="1"/>
        <v>45</v>
      </c>
    </row>
    <row r="117" spans="1:15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3"/>
      <c r="H117" s="3"/>
      <c r="I117" s="11">
        <f>IF(D117="","",SUMIFS(RaceResults!$C:$C,RaceResults!$A:$A,$A117,RaceResults!$D:$D,D117))</f>
        <v>1</v>
      </c>
      <c r="J117" s="11">
        <f>IF(E117="","",SUMIFS(RaceResults!$C:$C,RaceResults!$A:$A,$A117,RaceResults!$D:$D,E117))</f>
        <v>21</v>
      </c>
      <c r="K117" s="11">
        <f>IF(F117="","",SUMIFS(RaceResults!$C:$C,RaceResults!$A:$A,$A117,RaceResults!$D:$D,F117))</f>
        <v>5</v>
      </c>
      <c r="L117" s="11">
        <f>IF(D117="","",SUMIFS(RaceResults!$E:$E,RaceResults!$A:$A,$A117,RaceResults!$D:$D,D117))</f>
        <v>55</v>
      </c>
      <c r="M117" s="11">
        <f>IF(E117="","",SUMIFS(RaceResults!$E:$E,RaceResults!$A:$A,$A117,RaceResults!$D:$D,E117))</f>
        <v>16</v>
      </c>
      <c r="N117" s="11">
        <f>IF(F117="","",SUMIFS(RaceResults!$E:$E,RaceResults!$A:$A,$A117,RaceResults!$D:$D,F117))</f>
        <v>32</v>
      </c>
      <c r="O117" s="11">
        <f t="shared" si="1"/>
        <v>103</v>
      </c>
    </row>
    <row r="118" spans="1:15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3"/>
      <c r="H118" s="3"/>
      <c r="I118" s="11">
        <f>IF(D118="","",SUMIFS(RaceResults!$C:$C,RaceResults!$A:$A,$A118,RaceResults!$D:$D,D118))</f>
        <v>36</v>
      </c>
      <c r="J118" s="11">
        <f>IF(E118="","",SUMIFS(RaceResults!$C:$C,RaceResults!$A:$A,$A118,RaceResults!$D:$D,E118))</f>
        <v>23</v>
      </c>
      <c r="K118" s="11">
        <f>IF(F118="","",SUMIFS(RaceResults!$C:$C,RaceResults!$A:$A,$A118,RaceResults!$D:$D,F118))</f>
        <v>24</v>
      </c>
      <c r="L118" s="11">
        <f>IF(D118="","",SUMIFS(RaceResults!$E:$E,RaceResults!$A:$A,$A118,RaceResults!$D:$D,D118))</f>
        <v>1</v>
      </c>
      <c r="M118" s="11">
        <f>IF(E118="","",SUMIFS(RaceResults!$E:$E,RaceResults!$A:$A,$A118,RaceResults!$D:$D,E118))</f>
        <v>14</v>
      </c>
      <c r="N118" s="11">
        <f>IF(F118="","",SUMIFS(RaceResults!$E:$E,RaceResults!$A:$A,$A118,RaceResults!$D:$D,F118))</f>
        <v>13</v>
      </c>
      <c r="O118" s="11">
        <f t="shared" si="1"/>
        <v>28</v>
      </c>
    </row>
    <row r="119" spans="1:15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3"/>
      <c r="H119" s="3"/>
      <c r="I119" s="11" t="str">
        <f>IF(D119="","",SUMIFS(RaceResults!$C:$C,RaceResults!$A:$A,$A119,RaceResults!$D:$D,D119))</f>
        <v/>
      </c>
      <c r="J119" s="11" t="str">
        <f>IF(E119="","",SUMIFS(RaceResults!$C:$C,RaceResults!$A:$A,$A119,RaceResults!$D:$D,E119))</f>
        <v/>
      </c>
      <c r="K119" s="11" t="str">
        <f>IF(F119="","",SUMIFS(RaceResults!$C:$C,RaceResults!$A:$A,$A119,RaceResults!$D:$D,F119))</f>
        <v/>
      </c>
      <c r="L119" s="11" t="str">
        <f>IF(D119="","",SUMIFS(RaceResults!$E:$E,RaceResults!$A:$A,$A119,RaceResults!$D:$D,D119))</f>
        <v/>
      </c>
      <c r="M119" s="11" t="str">
        <f>IF(E119="","",SUMIFS(RaceResults!$E:$E,RaceResults!$A:$A,$A119,RaceResults!$D:$D,E119))</f>
        <v/>
      </c>
      <c r="N119" s="11" t="str">
        <f>IF(F119="","",SUMIFS(RaceResults!$E:$E,RaceResults!$A:$A,$A119,RaceResults!$D:$D,F119))</f>
        <v/>
      </c>
      <c r="O119" s="11">
        <f t="shared" si="1"/>
        <v>0</v>
      </c>
    </row>
    <row r="120" spans="1:15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3"/>
      <c r="H120" s="3"/>
      <c r="I120" s="11">
        <f>IF(D120="","",SUMIFS(RaceResults!$C:$C,RaceResults!$A:$A,$A120,RaceResults!$D:$D,D120))</f>
        <v>23</v>
      </c>
      <c r="J120" s="11">
        <f>IF(E120="","",SUMIFS(RaceResults!$C:$C,RaceResults!$A:$A,$A120,RaceResults!$D:$D,E120))</f>
        <v>1</v>
      </c>
      <c r="K120" s="11">
        <f>IF(F120="","",SUMIFS(RaceResults!$C:$C,RaceResults!$A:$A,$A120,RaceResults!$D:$D,F120))</f>
        <v>24</v>
      </c>
      <c r="L120" s="11">
        <f>IF(D120="","",SUMIFS(RaceResults!$E:$E,RaceResults!$A:$A,$A120,RaceResults!$D:$D,D120))</f>
        <v>14</v>
      </c>
      <c r="M120" s="11">
        <f>IF(E120="","",SUMIFS(RaceResults!$E:$E,RaceResults!$A:$A,$A120,RaceResults!$D:$D,E120))</f>
        <v>55</v>
      </c>
      <c r="N120" s="11">
        <f>IF(F120="","",SUMIFS(RaceResults!$E:$E,RaceResults!$A:$A,$A120,RaceResults!$D:$D,F120))</f>
        <v>13</v>
      </c>
      <c r="O120" s="11">
        <f t="shared" si="1"/>
        <v>82</v>
      </c>
    </row>
    <row r="121" spans="1:15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3"/>
      <c r="H121" s="3"/>
      <c r="I121" s="11">
        <f>IF(D121="","",SUMIFS(RaceResults!$C:$C,RaceResults!$A:$A,$A121,RaceResults!$D:$D,D121))</f>
        <v>27</v>
      </c>
      <c r="J121" s="11">
        <f>IF(E121="","",SUMIFS(RaceResults!$C:$C,RaceResults!$A:$A,$A121,RaceResults!$D:$D,E121))</f>
        <v>38</v>
      </c>
      <c r="K121" s="11">
        <f>IF(F121="","",SUMIFS(RaceResults!$C:$C,RaceResults!$A:$A,$A121,RaceResults!$D:$D,F121))</f>
        <v>21</v>
      </c>
      <c r="L121" s="11">
        <f>IF(D121="","",SUMIFS(RaceResults!$E:$E,RaceResults!$A:$A,$A121,RaceResults!$D:$D,D121))</f>
        <v>10</v>
      </c>
      <c r="M121" s="11">
        <f>IF(E121="","",SUMIFS(RaceResults!$E:$E,RaceResults!$A:$A,$A121,RaceResults!$D:$D,E121))</f>
        <v>1</v>
      </c>
      <c r="N121" s="11">
        <f>IF(F121="","",SUMIFS(RaceResults!$E:$E,RaceResults!$A:$A,$A121,RaceResults!$D:$D,F121))</f>
        <v>16</v>
      </c>
      <c r="O121" s="11">
        <f t="shared" si="1"/>
        <v>27</v>
      </c>
    </row>
    <row r="122" spans="1:15" x14ac:dyDescent="0.3">
      <c r="A122" s="9">
        <v>13</v>
      </c>
      <c r="B122" s="9" t="s">
        <v>73</v>
      </c>
      <c r="C122" s="10" t="s">
        <v>21</v>
      </c>
      <c r="D122" s="3">
        <v>45</v>
      </c>
      <c r="E122" s="3">
        <v>12</v>
      </c>
      <c r="F122" s="3">
        <v>1</v>
      </c>
      <c r="G122" s="3"/>
      <c r="H122" s="3"/>
      <c r="I122" s="11">
        <f>IF(D122="","",SUMIFS(RaceResults!$C:$C,RaceResults!$A:$A,$A122,RaceResults!$D:$D,D122))</f>
        <v>4</v>
      </c>
      <c r="J122" s="11">
        <f>IF(E122="","",SUMIFS(RaceResults!$C:$C,RaceResults!$A:$A,$A122,RaceResults!$D:$D,E122))</f>
        <v>7</v>
      </c>
      <c r="K122" s="11">
        <f>IF(F122="","",SUMIFS(RaceResults!$C:$C,RaceResults!$A:$A,$A122,RaceResults!$D:$D,F122))</f>
        <v>35</v>
      </c>
      <c r="L122" s="11">
        <f>IF(D122="","",SUMIFS(RaceResults!$E:$E,RaceResults!$A:$A,$A122,RaceResults!$D:$D,D122))</f>
        <v>33</v>
      </c>
      <c r="M122" s="11">
        <f>IF(E122="","",SUMIFS(RaceResults!$E:$E,RaceResults!$A:$A,$A122,RaceResults!$D:$D,E122))</f>
        <v>30</v>
      </c>
      <c r="N122" s="11">
        <f>IF(F122="","",SUMIFS(RaceResults!$E:$E,RaceResults!$A:$A,$A122,RaceResults!$D:$D,F122))</f>
        <v>2</v>
      </c>
      <c r="O122" s="11">
        <f t="shared" si="1"/>
        <v>65</v>
      </c>
    </row>
    <row r="123" spans="1:15" x14ac:dyDescent="0.3">
      <c r="A123" s="9">
        <v>13</v>
      </c>
      <c r="B123" s="9" t="s">
        <v>73</v>
      </c>
      <c r="C123" s="10" t="s">
        <v>22</v>
      </c>
      <c r="D123" s="3">
        <v>45</v>
      </c>
      <c r="E123" s="3">
        <v>11</v>
      </c>
      <c r="F123" s="3">
        <v>5</v>
      </c>
      <c r="G123" s="3"/>
      <c r="H123" s="3"/>
      <c r="I123" s="11">
        <f>IF(D123="","",SUMIFS(RaceResults!$C:$C,RaceResults!$A:$A,$A123,RaceResults!$D:$D,D123))</f>
        <v>4</v>
      </c>
      <c r="J123" s="11">
        <f>IF(E123="","",SUMIFS(RaceResults!$C:$C,RaceResults!$A:$A,$A123,RaceResults!$D:$D,E123))</f>
        <v>3</v>
      </c>
      <c r="K123" s="11">
        <f>IF(F123="","",SUMIFS(RaceResults!$C:$C,RaceResults!$A:$A,$A123,RaceResults!$D:$D,F123))</f>
        <v>5</v>
      </c>
      <c r="L123" s="11">
        <f>IF(D123="","",SUMIFS(RaceResults!$E:$E,RaceResults!$A:$A,$A123,RaceResults!$D:$D,D123))</f>
        <v>33</v>
      </c>
      <c r="M123" s="11">
        <f>IF(E123="","",SUMIFS(RaceResults!$E:$E,RaceResults!$A:$A,$A123,RaceResults!$D:$D,E123))</f>
        <v>34</v>
      </c>
      <c r="N123" s="11">
        <f>IF(F123="","",SUMIFS(RaceResults!$E:$E,RaceResults!$A:$A,$A123,RaceResults!$D:$D,F123))</f>
        <v>32</v>
      </c>
      <c r="O123" s="11">
        <f t="shared" si="1"/>
        <v>99</v>
      </c>
    </row>
    <row r="124" spans="1:15" x14ac:dyDescent="0.3">
      <c r="A124" s="9">
        <v>13</v>
      </c>
      <c r="B124" s="9" t="s">
        <v>73</v>
      </c>
      <c r="C124" s="10" t="s">
        <v>25</v>
      </c>
      <c r="D124" s="3">
        <v>11</v>
      </c>
      <c r="E124" s="3">
        <v>1</v>
      </c>
      <c r="F124" s="3">
        <v>24</v>
      </c>
      <c r="G124" s="3"/>
      <c r="H124" s="3"/>
      <c r="I124" s="11">
        <f>IF(D124="","",SUMIFS(RaceResults!$C:$C,RaceResults!$A:$A,$A124,RaceResults!$D:$D,D124))</f>
        <v>3</v>
      </c>
      <c r="J124" s="11">
        <f>IF(E124="","",SUMIFS(RaceResults!$C:$C,RaceResults!$A:$A,$A124,RaceResults!$D:$D,E124))</f>
        <v>35</v>
      </c>
      <c r="K124" s="11">
        <f>IF(F124="","",SUMIFS(RaceResults!$C:$C,RaceResults!$A:$A,$A124,RaceResults!$D:$D,F124))</f>
        <v>9</v>
      </c>
      <c r="L124" s="11">
        <f>IF(D124="","",SUMIFS(RaceResults!$E:$E,RaceResults!$A:$A,$A124,RaceResults!$D:$D,D124))</f>
        <v>34</v>
      </c>
      <c r="M124" s="11">
        <f>IF(E124="","",SUMIFS(RaceResults!$E:$E,RaceResults!$A:$A,$A124,RaceResults!$D:$D,E124))</f>
        <v>2</v>
      </c>
      <c r="N124" s="11">
        <f>IF(F124="","",SUMIFS(RaceResults!$E:$E,RaceResults!$A:$A,$A124,RaceResults!$D:$D,F124))</f>
        <v>28</v>
      </c>
      <c r="O124" s="11">
        <f t="shared" si="1"/>
        <v>64</v>
      </c>
    </row>
    <row r="125" spans="1:15" x14ac:dyDescent="0.3">
      <c r="A125" s="9">
        <v>13</v>
      </c>
      <c r="B125" s="9" t="s">
        <v>73</v>
      </c>
      <c r="C125" s="10" t="s">
        <v>26</v>
      </c>
      <c r="D125" s="3">
        <v>11</v>
      </c>
      <c r="E125" s="3">
        <v>45</v>
      </c>
      <c r="F125" s="3">
        <v>12</v>
      </c>
      <c r="G125" s="3"/>
      <c r="H125" s="3"/>
      <c r="I125" s="11">
        <f>IF(D125="","",SUMIFS(RaceResults!$C:$C,RaceResults!$A:$A,$A125,RaceResults!$D:$D,D125))</f>
        <v>3</v>
      </c>
      <c r="J125" s="11">
        <f>IF(E125="","",SUMIFS(RaceResults!$C:$C,RaceResults!$A:$A,$A125,RaceResults!$D:$D,E125))</f>
        <v>4</v>
      </c>
      <c r="K125" s="11">
        <f>IF(F125="","",SUMIFS(RaceResults!$C:$C,RaceResults!$A:$A,$A125,RaceResults!$D:$D,F125))</f>
        <v>7</v>
      </c>
      <c r="L125" s="11">
        <f>IF(D125="","",SUMIFS(RaceResults!$E:$E,RaceResults!$A:$A,$A125,RaceResults!$D:$D,D125))</f>
        <v>34</v>
      </c>
      <c r="M125" s="11">
        <f>IF(E125="","",SUMIFS(RaceResults!$E:$E,RaceResults!$A:$A,$A125,RaceResults!$D:$D,E125))</f>
        <v>33</v>
      </c>
      <c r="N125" s="11">
        <f>IF(F125="","",SUMIFS(RaceResults!$E:$E,RaceResults!$A:$A,$A125,RaceResults!$D:$D,F125))</f>
        <v>30</v>
      </c>
      <c r="O125" s="11">
        <f t="shared" si="1"/>
        <v>97</v>
      </c>
    </row>
    <row r="126" spans="1:15" x14ac:dyDescent="0.3">
      <c r="A126" s="9">
        <v>13</v>
      </c>
      <c r="B126" s="9" t="s">
        <v>73</v>
      </c>
      <c r="C126" s="10" t="s">
        <v>27</v>
      </c>
      <c r="D126" s="3">
        <v>45</v>
      </c>
      <c r="E126" s="3">
        <v>12</v>
      </c>
      <c r="F126" s="3">
        <v>2</v>
      </c>
      <c r="G126" s="3"/>
      <c r="H126" s="3"/>
      <c r="I126" s="11">
        <f>IF(D126="","",SUMIFS(RaceResults!$C:$C,RaceResults!$A:$A,$A126,RaceResults!$D:$D,D126))</f>
        <v>4</v>
      </c>
      <c r="J126" s="11">
        <f>IF(E126="","",SUMIFS(RaceResults!$C:$C,RaceResults!$A:$A,$A126,RaceResults!$D:$D,E126))</f>
        <v>7</v>
      </c>
      <c r="K126" s="11">
        <f>IF(F126="","",SUMIFS(RaceResults!$C:$C,RaceResults!$A:$A,$A126,RaceResults!$D:$D,F126))</f>
        <v>38</v>
      </c>
      <c r="L126" s="11">
        <f>IF(D126="","",SUMIFS(RaceResults!$E:$E,RaceResults!$A:$A,$A126,RaceResults!$D:$D,D126))</f>
        <v>33</v>
      </c>
      <c r="M126" s="11">
        <f>IF(E126="","",SUMIFS(RaceResults!$E:$E,RaceResults!$A:$A,$A126,RaceResults!$D:$D,E126))</f>
        <v>30</v>
      </c>
      <c r="N126" s="11">
        <f>IF(F126="","",SUMIFS(RaceResults!$E:$E,RaceResults!$A:$A,$A126,RaceResults!$D:$D,F126))</f>
        <v>1</v>
      </c>
      <c r="O126" s="11">
        <f t="shared" si="1"/>
        <v>64</v>
      </c>
    </row>
    <row r="127" spans="1:15" x14ac:dyDescent="0.3">
      <c r="A127" s="9">
        <v>13</v>
      </c>
      <c r="B127" s="9" t="s">
        <v>73</v>
      </c>
      <c r="C127" s="10" t="s">
        <v>28</v>
      </c>
      <c r="D127" s="3">
        <v>23</v>
      </c>
      <c r="E127" s="3">
        <v>5</v>
      </c>
      <c r="F127" s="3">
        <v>11</v>
      </c>
      <c r="G127" s="3"/>
      <c r="H127" s="3"/>
      <c r="I127" s="11">
        <f>IF(D127="","",SUMIFS(RaceResults!$C:$C,RaceResults!$A:$A,$A127,RaceResults!$D:$D,D127))</f>
        <v>22</v>
      </c>
      <c r="J127" s="11">
        <f>IF(E127="","",SUMIFS(RaceResults!$C:$C,RaceResults!$A:$A,$A127,RaceResults!$D:$D,E127))</f>
        <v>5</v>
      </c>
      <c r="K127" s="11">
        <f>IF(F127="","",SUMIFS(RaceResults!$C:$C,RaceResults!$A:$A,$A127,RaceResults!$D:$D,F127))</f>
        <v>3</v>
      </c>
      <c r="L127" s="11">
        <f>IF(D127="","",SUMIFS(RaceResults!$E:$E,RaceResults!$A:$A,$A127,RaceResults!$D:$D,D127))</f>
        <v>15</v>
      </c>
      <c r="M127" s="11">
        <f>IF(E127="","",SUMIFS(RaceResults!$E:$E,RaceResults!$A:$A,$A127,RaceResults!$D:$D,E127))</f>
        <v>32</v>
      </c>
      <c r="N127" s="11">
        <f>IF(F127="","",SUMIFS(RaceResults!$E:$E,RaceResults!$A:$A,$A127,RaceResults!$D:$D,F127))</f>
        <v>34</v>
      </c>
      <c r="O127" s="11">
        <f t="shared" si="1"/>
        <v>81</v>
      </c>
    </row>
    <row r="128" spans="1:15" x14ac:dyDescent="0.3">
      <c r="A128" s="9">
        <v>13</v>
      </c>
      <c r="B128" s="9" t="s">
        <v>73</v>
      </c>
      <c r="C128" s="10" t="s">
        <v>29</v>
      </c>
      <c r="D128" s="3">
        <v>9</v>
      </c>
      <c r="E128" s="3">
        <v>5</v>
      </c>
      <c r="F128" s="3">
        <v>48</v>
      </c>
      <c r="G128" s="3"/>
      <c r="H128" s="3"/>
      <c r="I128" s="11">
        <f>IF(D128="","",SUMIFS(RaceResults!$C:$C,RaceResults!$A:$A,$A128,RaceResults!$D:$D,D128))</f>
        <v>37</v>
      </c>
      <c r="J128" s="11">
        <f>IF(E128="","",SUMIFS(RaceResults!$C:$C,RaceResults!$A:$A,$A128,RaceResults!$D:$D,E128))</f>
        <v>5</v>
      </c>
      <c r="K128" s="11">
        <f>IF(F128="","",SUMIFS(RaceResults!$C:$C,RaceResults!$A:$A,$A128,RaceResults!$D:$D,F128))</f>
        <v>17</v>
      </c>
      <c r="L128" s="11">
        <f>IF(D128="","",SUMIFS(RaceResults!$E:$E,RaceResults!$A:$A,$A128,RaceResults!$D:$D,D128))</f>
        <v>1</v>
      </c>
      <c r="M128" s="11">
        <f>IF(E128="","",SUMIFS(RaceResults!$E:$E,RaceResults!$A:$A,$A128,RaceResults!$D:$D,E128))</f>
        <v>32</v>
      </c>
      <c r="N128" s="11">
        <f>IF(F128="","",SUMIFS(RaceResults!$E:$E,RaceResults!$A:$A,$A128,RaceResults!$D:$D,F128))</f>
        <v>20</v>
      </c>
      <c r="O128" s="11">
        <f t="shared" si="1"/>
        <v>53</v>
      </c>
    </row>
    <row r="129" spans="1:15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3"/>
      <c r="H129" s="3"/>
      <c r="I129" s="11" t="str">
        <f>IF(D129="","",SUMIFS(RaceResults!$C:$C,RaceResults!$A:$A,$A129,RaceResults!$D:$D,D129))</f>
        <v/>
      </c>
      <c r="J129" s="11" t="str">
        <f>IF(E129="","",SUMIFS(RaceResults!$C:$C,RaceResults!$A:$A,$A129,RaceResults!$D:$D,E129))</f>
        <v/>
      </c>
      <c r="K129" s="11" t="str">
        <f>IF(F129="","",SUMIFS(RaceResults!$C:$C,RaceResults!$A:$A,$A129,RaceResults!$D:$D,F129))</f>
        <v/>
      </c>
      <c r="L129" s="11" t="str">
        <f>IF(D129="","",SUMIFS(RaceResults!$E:$E,RaceResults!$A:$A,$A129,RaceResults!$D:$D,D129))</f>
        <v/>
      </c>
      <c r="M129" s="11" t="str">
        <f>IF(E129="","",SUMIFS(RaceResults!$E:$E,RaceResults!$A:$A,$A129,RaceResults!$D:$D,E129))</f>
        <v/>
      </c>
      <c r="N129" s="11" t="str">
        <f>IF(F129="","",SUMIFS(RaceResults!$E:$E,RaceResults!$A:$A,$A129,RaceResults!$D:$D,F129))</f>
        <v/>
      </c>
      <c r="O129" s="11">
        <f t="shared" si="1"/>
        <v>0</v>
      </c>
    </row>
    <row r="130" spans="1:15" x14ac:dyDescent="0.3">
      <c r="A130" s="9">
        <v>13</v>
      </c>
      <c r="B130" s="9" t="s">
        <v>73</v>
      </c>
      <c r="C130" s="10" t="s">
        <v>31</v>
      </c>
      <c r="D130" s="3">
        <v>5</v>
      </c>
      <c r="E130" s="3">
        <v>11</v>
      </c>
      <c r="F130" s="3">
        <v>12</v>
      </c>
      <c r="G130" s="3"/>
      <c r="H130" s="3"/>
      <c r="I130" s="11">
        <f>IF(D130="","",SUMIFS(RaceResults!$C:$C,RaceResults!$A:$A,$A130,RaceResults!$D:$D,D130))</f>
        <v>5</v>
      </c>
      <c r="J130" s="11">
        <f>IF(E130="","",SUMIFS(RaceResults!$C:$C,RaceResults!$A:$A,$A130,RaceResults!$D:$D,E130))</f>
        <v>3</v>
      </c>
      <c r="K130" s="11">
        <f>IF(F130="","",SUMIFS(RaceResults!$C:$C,RaceResults!$A:$A,$A130,RaceResults!$D:$D,F130))</f>
        <v>7</v>
      </c>
      <c r="L130" s="11">
        <f>IF(D130="","",SUMIFS(RaceResults!$E:$E,RaceResults!$A:$A,$A130,RaceResults!$D:$D,D130))</f>
        <v>32</v>
      </c>
      <c r="M130" s="11">
        <f>IF(E130="","",SUMIFS(RaceResults!$E:$E,RaceResults!$A:$A,$A130,RaceResults!$D:$D,E130))</f>
        <v>34</v>
      </c>
      <c r="N130" s="11">
        <f>IF(F130="","",SUMIFS(RaceResults!$E:$E,RaceResults!$A:$A,$A130,RaceResults!$D:$D,F130))</f>
        <v>30</v>
      </c>
      <c r="O130" s="11">
        <f t="shared" ref="O130:O193" si="2">SUM(L130:N130)</f>
        <v>96</v>
      </c>
    </row>
    <row r="131" spans="1:15" x14ac:dyDescent="0.3">
      <c r="A131" s="9">
        <v>13</v>
      </c>
      <c r="B131" s="9" t="s">
        <v>73</v>
      </c>
      <c r="C131" s="10" t="s">
        <v>32</v>
      </c>
      <c r="D131" s="3">
        <v>54</v>
      </c>
      <c r="E131" s="3">
        <v>45</v>
      </c>
      <c r="F131" s="3">
        <v>19</v>
      </c>
      <c r="G131" s="3"/>
      <c r="H131" s="3"/>
      <c r="I131" s="11">
        <f>IF(D131="","",SUMIFS(RaceResults!$C:$C,RaceResults!$A:$A,$A131,RaceResults!$D:$D,D131))</f>
        <v>6</v>
      </c>
      <c r="J131" s="11">
        <f>IF(E131="","",SUMIFS(RaceResults!$C:$C,RaceResults!$A:$A,$A131,RaceResults!$D:$D,E131))</f>
        <v>4</v>
      </c>
      <c r="K131" s="11">
        <f>IF(F131="","",SUMIFS(RaceResults!$C:$C,RaceResults!$A:$A,$A131,RaceResults!$D:$D,F131))</f>
        <v>34</v>
      </c>
      <c r="L131" s="11">
        <f>IF(D131="","",SUMIFS(RaceResults!$E:$E,RaceResults!$A:$A,$A131,RaceResults!$D:$D,D131))</f>
        <v>31</v>
      </c>
      <c r="M131" s="11">
        <f>IF(E131="","",SUMIFS(RaceResults!$E:$E,RaceResults!$A:$A,$A131,RaceResults!$D:$D,E131))</f>
        <v>33</v>
      </c>
      <c r="N131" s="11">
        <f>IF(F131="","",SUMIFS(RaceResults!$E:$E,RaceResults!$A:$A,$A131,RaceResults!$D:$D,F131))</f>
        <v>3</v>
      </c>
      <c r="O131" s="11">
        <f t="shared" si="2"/>
        <v>67</v>
      </c>
    </row>
    <row r="132" spans="1:15" x14ac:dyDescent="0.3">
      <c r="A132" s="9">
        <v>14</v>
      </c>
      <c r="B132" s="9" t="s">
        <v>76</v>
      </c>
      <c r="C132" s="10" t="s">
        <v>21</v>
      </c>
      <c r="D132" s="3">
        <v>5</v>
      </c>
      <c r="E132" s="3">
        <v>45</v>
      </c>
      <c r="F132" s="3">
        <v>12</v>
      </c>
      <c r="G132" s="3"/>
      <c r="H132" s="3"/>
      <c r="I132" s="11">
        <f>IF(D132="","",SUMIFS(RaceResults!$C:$C,RaceResults!$A:$A,$A132,RaceResults!$D:$D,D132))</f>
        <v>23</v>
      </c>
      <c r="J132" s="11">
        <f>IF(E132="","",SUMIFS(RaceResults!$C:$C,RaceResults!$A:$A,$A132,RaceResults!$D:$D,E132))</f>
        <v>6</v>
      </c>
      <c r="K132" s="11">
        <f>IF(F132="","",SUMIFS(RaceResults!$C:$C,RaceResults!$A:$A,$A132,RaceResults!$D:$D,F132))</f>
        <v>8</v>
      </c>
      <c r="L132" s="11">
        <f>IF(D132="","",SUMIFS(RaceResults!$E:$E,RaceResults!$A:$A,$A132,RaceResults!$D:$D,D132))</f>
        <v>14</v>
      </c>
      <c r="M132" s="11">
        <f>IF(E132="","",SUMIFS(RaceResults!$E:$E,RaceResults!$A:$A,$A132,RaceResults!$D:$D,E132))</f>
        <v>31</v>
      </c>
      <c r="N132" s="11">
        <f>IF(F132="","",SUMIFS(RaceResults!$E:$E,RaceResults!$A:$A,$A132,RaceResults!$D:$D,F132))</f>
        <v>29</v>
      </c>
      <c r="O132" s="11">
        <f t="shared" si="2"/>
        <v>74</v>
      </c>
    </row>
    <row r="133" spans="1:15" x14ac:dyDescent="0.3">
      <c r="A133" s="9">
        <v>14</v>
      </c>
      <c r="B133" s="9" t="s">
        <v>76</v>
      </c>
      <c r="C133" s="10" t="s">
        <v>22</v>
      </c>
      <c r="D133" s="3">
        <v>45</v>
      </c>
      <c r="E133" s="3">
        <v>11</v>
      </c>
      <c r="F133" s="3">
        <v>7</v>
      </c>
      <c r="G133" s="3"/>
      <c r="H133" s="3"/>
      <c r="I133" s="11">
        <f>IF(D133="","",SUMIFS(RaceResults!$C:$C,RaceResults!$A:$A,$A133,RaceResults!$D:$D,D133))</f>
        <v>6</v>
      </c>
      <c r="J133" s="11">
        <f>IF(E133="","",SUMIFS(RaceResults!$C:$C,RaceResults!$A:$A,$A133,RaceResults!$D:$D,E133))</f>
        <v>1</v>
      </c>
      <c r="K133" s="11">
        <f>IF(F133="","",SUMIFS(RaceResults!$C:$C,RaceResults!$A:$A,$A133,RaceResults!$D:$D,F133))</f>
        <v>19</v>
      </c>
      <c r="L133" s="11">
        <f>IF(D133="","",SUMIFS(RaceResults!$E:$E,RaceResults!$A:$A,$A133,RaceResults!$D:$D,D133))</f>
        <v>31</v>
      </c>
      <c r="M133" s="11">
        <f>IF(E133="","",SUMIFS(RaceResults!$E:$E,RaceResults!$A:$A,$A133,RaceResults!$D:$D,E133))</f>
        <v>55</v>
      </c>
      <c r="N133" s="11">
        <f>IF(F133="","",SUMIFS(RaceResults!$E:$E,RaceResults!$A:$A,$A133,RaceResults!$D:$D,F133))</f>
        <v>18</v>
      </c>
      <c r="O133" s="11">
        <f t="shared" si="2"/>
        <v>104</v>
      </c>
    </row>
    <row r="134" spans="1:15" x14ac:dyDescent="0.3">
      <c r="A134" s="9">
        <v>14</v>
      </c>
      <c r="B134" s="9" t="s">
        <v>76</v>
      </c>
      <c r="C134" s="10" t="s">
        <v>25</v>
      </c>
      <c r="D134" s="3">
        <v>11</v>
      </c>
      <c r="E134" s="3">
        <v>20</v>
      </c>
      <c r="F134" s="3">
        <v>12</v>
      </c>
      <c r="G134" s="3"/>
      <c r="H134" s="3"/>
      <c r="I134" s="11">
        <f>IF(D134="","",SUMIFS(RaceResults!$C:$C,RaceResults!$A:$A,$A134,RaceResults!$D:$D,D134))</f>
        <v>1</v>
      </c>
      <c r="J134" s="11">
        <f>IF(E134="","",SUMIFS(RaceResults!$C:$C,RaceResults!$A:$A,$A134,RaceResults!$D:$D,E134))</f>
        <v>2</v>
      </c>
      <c r="K134" s="11">
        <f>IF(F134="","",SUMIFS(RaceResults!$C:$C,RaceResults!$A:$A,$A134,RaceResults!$D:$D,F134))</f>
        <v>8</v>
      </c>
      <c r="L134" s="11">
        <f>IF(D134="","",SUMIFS(RaceResults!$E:$E,RaceResults!$A:$A,$A134,RaceResults!$D:$D,D134))</f>
        <v>55</v>
      </c>
      <c r="M134" s="11">
        <f>IF(E134="","",SUMIFS(RaceResults!$E:$E,RaceResults!$A:$A,$A134,RaceResults!$D:$D,E134))</f>
        <v>35</v>
      </c>
      <c r="N134" s="11">
        <f>IF(F134="","",SUMIFS(RaceResults!$E:$E,RaceResults!$A:$A,$A134,RaceResults!$D:$D,F134))</f>
        <v>29</v>
      </c>
      <c r="O134" s="11">
        <f t="shared" si="2"/>
        <v>119</v>
      </c>
    </row>
    <row r="135" spans="1:15" x14ac:dyDescent="0.3">
      <c r="A135" s="9">
        <v>14</v>
      </c>
      <c r="B135" s="9" t="s">
        <v>76</v>
      </c>
      <c r="C135" s="10" t="s">
        <v>26</v>
      </c>
      <c r="D135" s="3">
        <v>11</v>
      </c>
      <c r="E135" s="3">
        <v>12</v>
      </c>
      <c r="F135" s="3">
        <v>45</v>
      </c>
      <c r="G135" s="3"/>
      <c r="H135" s="3"/>
      <c r="I135" s="11">
        <f>IF(D135="","",SUMIFS(RaceResults!$C:$C,RaceResults!$A:$A,$A135,RaceResults!$D:$D,D135))</f>
        <v>1</v>
      </c>
      <c r="J135" s="11">
        <f>IF(E135="","",SUMIFS(RaceResults!$C:$C,RaceResults!$A:$A,$A135,RaceResults!$D:$D,E135))</f>
        <v>8</v>
      </c>
      <c r="K135" s="11">
        <f>IF(F135="","",SUMIFS(RaceResults!$C:$C,RaceResults!$A:$A,$A135,RaceResults!$D:$D,F135))</f>
        <v>6</v>
      </c>
      <c r="L135" s="11">
        <f>IF(D135="","",SUMIFS(RaceResults!$E:$E,RaceResults!$A:$A,$A135,RaceResults!$D:$D,D135))</f>
        <v>55</v>
      </c>
      <c r="M135" s="11">
        <f>IF(E135="","",SUMIFS(RaceResults!$E:$E,RaceResults!$A:$A,$A135,RaceResults!$D:$D,E135))</f>
        <v>29</v>
      </c>
      <c r="N135" s="11">
        <f>IF(F135="","",SUMIFS(RaceResults!$E:$E,RaceResults!$A:$A,$A135,RaceResults!$D:$D,F135))</f>
        <v>31</v>
      </c>
      <c r="O135" s="11">
        <f t="shared" si="2"/>
        <v>115</v>
      </c>
    </row>
    <row r="136" spans="1:15" x14ac:dyDescent="0.3">
      <c r="A136" s="9">
        <v>14</v>
      </c>
      <c r="B136" s="9" t="s">
        <v>76</v>
      </c>
      <c r="C136" s="10" t="s">
        <v>27</v>
      </c>
      <c r="D136" s="3">
        <v>11</v>
      </c>
      <c r="E136" s="3">
        <v>45</v>
      </c>
      <c r="F136" s="3">
        <v>7</v>
      </c>
      <c r="G136" s="3"/>
      <c r="H136" s="3"/>
      <c r="I136" s="11">
        <f>IF(D136="","",SUMIFS(RaceResults!$C:$C,RaceResults!$A:$A,$A136,RaceResults!$D:$D,D136))</f>
        <v>1</v>
      </c>
      <c r="J136" s="11">
        <f>IF(E136="","",SUMIFS(RaceResults!$C:$C,RaceResults!$A:$A,$A136,RaceResults!$D:$D,E136))</f>
        <v>6</v>
      </c>
      <c r="K136" s="11">
        <f>IF(F136="","",SUMIFS(RaceResults!$C:$C,RaceResults!$A:$A,$A136,RaceResults!$D:$D,F136))</f>
        <v>19</v>
      </c>
      <c r="L136" s="11">
        <f>IF(D136="","",SUMIFS(RaceResults!$E:$E,RaceResults!$A:$A,$A136,RaceResults!$D:$D,D136))</f>
        <v>55</v>
      </c>
      <c r="M136" s="11">
        <f>IF(E136="","",SUMIFS(RaceResults!$E:$E,RaceResults!$A:$A,$A136,RaceResults!$D:$D,E136))</f>
        <v>31</v>
      </c>
      <c r="N136" s="11">
        <f>IF(F136="","",SUMIFS(RaceResults!$E:$E,RaceResults!$A:$A,$A136,RaceResults!$D:$D,F136))</f>
        <v>18</v>
      </c>
      <c r="O136" s="11">
        <f t="shared" si="2"/>
        <v>104</v>
      </c>
    </row>
    <row r="137" spans="1:15" x14ac:dyDescent="0.3">
      <c r="A137" s="9">
        <v>14</v>
      </c>
      <c r="B137" s="9" t="s">
        <v>76</v>
      </c>
      <c r="C137" s="10" t="s">
        <v>28</v>
      </c>
      <c r="D137" s="3">
        <v>11</v>
      </c>
      <c r="E137" s="3">
        <v>45</v>
      </c>
      <c r="F137" s="3">
        <v>20</v>
      </c>
      <c r="G137" s="3"/>
      <c r="H137" s="3"/>
      <c r="I137" s="11">
        <f>IF(D137="","",SUMIFS(RaceResults!$C:$C,RaceResults!$A:$A,$A137,RaceResults!$D:$D,D137))</f>
        <v>1</v>
      </c>
      <c r="J137" s="11">
        <f>IF(E137="","",SUMIFS(RaceResults!$C:$C,RaceResults!$A:$A,$A137,RaceResults!$D:$D,E137))</f>
        <v>6</v>
      </c>
      <c r="K137" s="11">
        <f>IF(F137="","",SUMIFS(RaceResults!$C:$C,RaceResults!$A:$A,$A137,RaceResults!$D:$D,F137))</f>
        <v>2</v>
      </c>
      <c r="L137" s="11">
        <f>IF(D137="","",SUMIFS(RaceResults!$E:$E,RaceResults!$A:$A,$A137,RaceResults!$D:$D,D137))</f>
        <v>55</v>
      </c>
      <c r="M137" s="11">
        <f>IF(E137="","",SUMIFS(RaceResults!$E:$E,RaceResults!$A:$A,$A137,RaceResults!$D:$D,E137))</f>
        <v>31</v>
      </c>
      <c r="N137" s="11">
        <f>IF(F137="","",SUMIFS(RaceResults!$E:$E,RaceResults!$A:$A,$A137,RaceResults!$D:$D,F137))</f>
        <v>35</v>
      </c>
      <c r="O137" s="11">
        <f t="shared" si="2"/>
        <v>121</v>
      </c>
    </row>
    <row r="138" spans="1:15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3"/>
      <c r="H138" s="3"/>
      <c r="I138" s="11" t="str">
        <f>IF(D138="","",SUMIFS(RaceResults!$C:$C,RaceResults!$A:$A,$A138,RaceResults!$D:$D,D138))</f>
        <v/>
      </c>
      <c r="J138" s="11" t="str">
        <f>IF(E138="","",SUMIFS(RaceResults!$C:$C,RaceResults!$A:$A,$A138,RaceResults!$D:$D,E138))</f>
        <v/>
      </c>
      <c r="K138" s="11" t="str">
        <f>IF(F138="","",SUMIFS(RaceResults!$C:$C,RaceResults!$A:$A,$A138,RaceResults!$D:$D,F138))</f>
        <v/>
      </c>
      <c r="L138" s="11" t="str">
        <f>IF(D138="","",SUMIFS(RaceResults!$E:$E,RaceResults!$A:$A,$A138,RaceResults!$D:$D,D138))</f>
        <v/>
      </c>
      <c r="M138" s="11" t="str">
        <f>IF(E138="","",SUMIFS(RaceResults!$E:$E,RaceResults!$A:$A,$A138,RaceResults!$D:$D,E138))</f>
        <v/>
      </c>
      <c r="N138" s="11" t="str">
        <f>IF(F138="","",SUMIFS(RaceResults!$E:$E,RaceResults!$A:$A,$A138,RaceResults!$D:$D,F138))</f>
        <v/>
      </c>
      <c r="O138" s="11">
        <f t="shared" si="2"/>
        <v>0</v>
      </c>
    </row>
    <row r="139" spans="1:15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3"/>
      <c r="H139" s="3"/>
      <c r="I139" s="11" t="str">
        <f>IF(D139="","",SUMIFS(RaceResults!$C:$C,RaceResults!$A:$A,$A139,RaceResults!$D:$D,D139))</f>
        <v/>
      </c>
      <c r="J139" s="11" t="str">
        <f>IF(E139="","",SUMIFS(RaceResults!$C:$C,RaceResults!$A:$A,$A139,RaceResults!$D:$D,E139))</f>
        <v/>
      </c>
      <c r="K139" s="11" t="str">
        <f>IF(F139="","",SUMIFS(RaceResults!$C:$C,RaceResults!$A:$A,$A139,RaceResults!$D:$D,F139))</f>
        <v/>
      </c>
      <c r="L139" s="11" t="str">
        <f>IF(D139="","",SUMIFS(RaceResults!$E:$E,RaceResults!$A:$A,$A139,RaceResults!$D:$D,D139))</f>
        <v/>
      </c>
      <c r="M139" s="11" t="str">
        <f>IF(E139="","",SUMIFS(RaceResults!$E:$E,RaceResults!$A:$A,$A139,RaceResults!$D:$D,E139))</f>
        <v/>
      </c>
      <c r="N139" s="11" t="str">
        <f>IF(F139="","",SUMIFS(RaceResults!$E:$E,RaceResults!$A:$A,$A139,RaceResults!$D:$D,F139))</f>
        <v/>
      </c>
      <c r="O139" s="11">
        <f t="shared" si="2"/>
        <v>0</v>
      </c>
    </row>
    <row r="140" spans="1:15" x14ac:dyDescent="0.3">
      <c r="A140" s="9">
        <v>14</v>
      </c>
      <c r="B140" s="9" t="s">
        <v>76</v>
      </c>
      <c r="C140" s="10" t="s">
        <v>31</v>
      </c>
      <c r="D140" s="3">
        <v>12</v>
      </c>
      <c r="E140" s="3">
        <v>5</v>
      </c>
      <c r="F140" s="3">
        <v>11</v>
      </c>
      <c r="G140" s="3"/>
      <c r="H140" s="3"/>
      <c r="I140" s="11">
        <f>IF(D140="","",SUMIFS(RaceResults!$C:$C,RaceResults!$A:$A,$A140,RaceResults!$D:$D,D140))</f>
        <v>8</v>
      </c>
      <c r="J140" s="11">
        <f>IF(E140="","",SUMIFS(RaceResults!$C:$C,RaceResults!$A:$A,$A140,RaceResults!$D:$D,E140))</f>
        <v>23</v>
      </c>
      <c r="K140" s="11">
        <f>IF(F140="","",SUMIFS(RaceResults!$C:$C,RaceResults!$A:$A,$A140,RaceResults!$D:$D,F140))</f>
        <v>1</v>
      </c>
      <c r="L140" s="11">
        <f>IF(D140="","",SUMIFS(RaceResults!$E:$E,RaceResults!$A:$A,$A140,RaceResults!$D:$D,D140))</f>
        <v>29</v>
      </c>
      <c r="M140" s="11">
        <f>IF(E140="","",SUMIFS(RaceResults!$E:$E,RaceResults!$A:$A,$A140,RaceResults!$D:$D,E140))</f>
        <v>14</v>
      </c>
      <c r="N140" s="11">
        <f>IF(F140="","",SUMIFS(RaceResults!$E:$E,RaceResults!$A:$A,$A140,RaceResults!$D:$D,F140))</f>
        <v>55</v>
      </c>
      <c r="O140" s="11">
        <f t="shared" si="2"/>
        <v>98</v>
      </c>
    </row>
    <row r="141" spans="1:15" x14ac:dyDescent="0.3">
      <c r="A141" s="9">
        <v>14</v>
      </c>
      <c r="B141" s="9" t="s">
        <v>76</v>
      </c>
      <c r="C141" s="10" t="s">
        <v>32</v>
      </c>
      <c r="D141" s="3">
        <v>54</v>
      </c>
      <c r="E141" s="3">
        <v>45</v>
      </c>
      <c r="F141" s="3">
        <v>5</v>
      </c>
      <c r="G141" s="3"/>
      <c r="H141" s="3"/>
      <c r="I141" s="11">
        <f>IF(D141="","",SUMIFS(RaceResults!$C:$C,RaceResults!$A:$A,$A141,RaceResults!$D:$D,D141))</f>
        <v>13</v>
      </c>
      <c r="J141" s="11">
        <f>IF(E141="","",SUMIFS(RaceResults!$C:$C,RaceResults!$A:$A,$A141,RaceResults!$D:$D,E141))</f>
        <v>6</v>
      </c>
      <c r="K141" s="11">
        <f>IF(F141="","",SUMIFS(RaceResults!$C:$C,RaceResults!$A:$A,$A141,RaceResults!$D:$D,F141))</f>
        <v>23</v>
      </c>
      <c r="L141" s="11">
        <f>IF(D141="","",SUMIFS(RaceResults!$E:$E,RaceResults!$A:$A,$A141,RaceResults!$D:$D,D141))</f>
        <v>24</v>
      </c>
      <c r="M141" s="11">
        <f>IF(E141="","",SUMIFS(RaceResults!$E:$E,RaceResults!$A:$A,$A141,RaceResults!$D:$D,E141))</f>
        <v>31</v>
      </c>
      <c r="N141" s="11">
        <f>IF(F141="","",SUMIFS(RaceResults!$E:$E,RaceResults!$A:$A,$A141,RaceResults!$D:$D,F141))</f>
        <v>14</v>
      </c>
      <c r="O141" s="11">
        <f t="shared" si="2"/>
        <v>69</v>
      </c>
    </row>
    <row r="142" spans="1:15" x14ac:dyDescent="0.3">
      <c r="A142" s="9">
        <v>15</v>
      </c>
      <c r="B142" s="9" t="s">
        <v>78</v>
      </c>
      <c r="C142" s="10" t="s">
        <v>21</v>
      </c>
      <c r="D142" s="3">
        <v>11</v>
      </c>
      <c r="E142" s="3">
        <v>5</v>
      </c>
      <c r="F142" s="3">
        <v>77</v>
      </c>
      <c r="G142" s="3"/>
      <c r="H142" s="3"/>
      <c r="I142" s="11">
        <f>IF(D142="","",SUMIFS(RaceResults!$C:$C,RaceResults!$A:$A,$A142,RaceResults!$D:$D,D142))</f>
        <v>1</v>
      </c>
      <c r="J142" s="11">
        <f>IF(E142="","",SUMIFS(RaceResults!$C:$C,RaceResults!$A:$A,$A142,RaceResults!$D:$D,E142))</f>
        <v>4</v>
      </c>
      <c r="K142" s="11">
        <f>IF(F142="","",SUMIFS(RaceResults!$C:$C,RaceResults!$A:$A,$A142,RaceResults!$D:$D,F142))</f>
        <v>5</v>
      </c>
      <c r="L142" s="11">
        <f>IF(D142="","",SUMIFS(RaceResults!$E:$E,RaceResults!$A:$A,$A142,RaceResults!$D:$D,D142))</f>
        <v>55</v>
      </c>
      <c r="M142" s="11">
        <f>IF(E142="","",SUMIFS(RaceResults!$E:$E,RaceResults!$A:$A,$A142,RaceResults!$D:$D,E142))</f>
        <v>33</v>
      </c>
      <c r="N142" s="11">
        <f>IF(F142="","",SUMIFS(RaceResults!$E:$E,RaceResults!$A:$A,$A142,RaceResults!$D:$D,F142))</f>
        <v>32</v>
      </c>
      <c r="O142" s="11">
        <f t="shared" si="2"/>
        <v>120</v>
      </c>
    </row>
    <row r="143" spans="1:15" x14ac:dyDescent="0.3">
      <c r="A143" s="9">
        <v>15</v>
      </c>
      <c r="B143" s="9" t="s">
        <v>78</v>
      </c>
      <c r="C143" s="10" t="s">
        <v>22</v>
      </c>
      <c r="D143" s="3">
        <v>11</v>
      </c>
      <c r="E143" s="3">
        <v>45</v>
      </c>
      <c r="F143" s="3">
        <v>5</v>
      </c>
      <c r="G143" s="3"/>
      <c r="H143" s="3"/>
      <c r="I143" s="11">
        <f>IF(D143="","",SUMIFS(RaceResults!$C:$C,RaceResults!$A:$A,$A143,RaceResults!$D:$D,D143))</f>
        <v>1</v>
      </c>
      <c r="J143" s="11">
        <f>IF(E143="","",SUMIFS(RaceResults!$C:$C,RaceResults!$A:$A,$A143,RaceResults!$D:$D,E143))</f>
        <v>35</v>
      </c>
      <c r="K143" s="11">
        <f>IF(F143="","",SUMIFS(RaceResults!$C:$C,RaceResults!$A:$A,$A143,RaceResults!$D:$D,F143))</f>
        <v>4</v>
      </c>
      <c r="L143" s="11">
        <f>IF(D143="","",SUMIFS(RaceResults!$E:$E,RaceResults!$A:$A,$A143,RaceResults!$D:$D,D143))</f>
        <v>55</v>
      </c>
      <c r="M143" s="11">
        <f>IF(E143="","",SUMIFS(RaceResults!$E:$E,RaceResults!$A:$A,$A143,RaceResults!$D:$D,E143))</f>
        <v>2</v>
      </c>
      <c r="N143" s="11">
        <f>IF(F143="","",SUMIFS(RaceResults!$E:$E,RaceResults!$A:$A,$A143,RaceResults!$D:$D,F143))</f>
        <v>33</v>
      </c>
      <c r="O143" s="11">
        <f t="shared" si="2"/>
        <v>90</v>
      </c>
    </row>
    <row r="144" spans="1:15" x14ac:dyDescent="0.3">
      <c r="A144" s="9">
        <v>15</v>
      </c>
      <c r="B144" s="9" t="s">
        <v>78</v>
      </c>
      <c r="C144" s="10" t="s">
        <v>25</v>
      </c>
      <c r="D144" s="3">
        <v>11</v>
      </c>
      <c r="E144" s="3">
        <v>54</v>
      </c>
      <c r="F144" s="3">
        <v>20</v>
      </c>
      <c r="G144" s="3"/>
      <c r="H144" s="3"/>
      <c r="I144" s="11">
        <f>IF(D144="","",SUMIFS(RaceResults!$C:$C,RaceResults!$A:$A,$A144,RaceResults!$D:$D,D144))</f>
        <v>1</v>
      </c>
      <c r="J144" s="11">
        <f>IF(E144="","",SUMIFS(RaceResults!$C:$C,RaceResults!$A:$A,$A144,RaceResults!$D:$D,E144))</f>
        <v>25</v>
      </c>
      <c r="K144" s="11">
        <f>IF(F144="","",SUMIFS(RaceResults!$C:$C,RaceResults!$A:$A,$A144,RaceResults!$D:$D,F144))</f>
        <v>31</v>
      </c>
      <c r="L144" s="11">
        <f>IF(D144="","",SUMIFS(RaceResults!$E:$E,RaceResults!$A:$A,$A144,RaceResults!$D:$D,D144))</f>
        <v>55</v>
      </c>
      <c r="M144" s="11">
        <f>IF(E144="","",SUMIFS(RaceResults!$E:$E,RaceResults!$A:$A,$A144,RaceResults!$D:$D,E144))</f>
        <v>12</v>
      </c>
      <c r="N144" s="11">
        <f>IF(F144="","",SUMIFS(RaceResults!$E:$E,RaceResults!$A:$A,$A144,RaceResults!$D:$D,F144))</f>
        <v>6</v>
      </c>
      <c r="O144" s="11">
        <f t="shared" si="2"/>
        <v>73</v>
      </c>
    </row>
    <row r="145" spans="1:15" x14ac:dyDescent="0.3">
      <c r="A145" s="9">
        <v>15</v>
      </c>
      <c r="B145" s="9" t="s">
        <v>78</v>
      </c>
      <c r="C145" s="10" t="s">
        <v>26</v>
      </c>
      <c r="D145" s="3">
        <v>11</v>
      </c>
      <c r="E145" s="3">
        <v>45</v>
      </c>
      <c r="F145" s="3">
        <v>54</v>
      </c>
      <c r="G145" s="3"/>
      <c r="H145" s="3"/>
      <c r="I145" s="11">
        <f>IF(D145="","",SUMIFS(RaceResults!$C:$C,RaceResults!$A:$A,$A145,RaceResults!$D:$D,D145))</f>
        <v>1</v>
      </c>
      <c r="J145" s="11">
        <f>IF(E145="","",SUMIFS(RaceResults!$C:$C,RaceResults!$A:$A,$A145,RaceResults!$D:$D,E145))</f>
        <v>35</v>
      </c>
      <c r="K145" s="11">
        <f>IF(F145="","",SUMIFS(RaceResults!$C:$C,RaceResults!$A:$A,$A145,RaceResults!$D:$D,F145))</f>
        <v>25</v>
      </c>
      <c r="L145" s="11">
        <f>IF(D145="","",SUMIFS(RaceResults!$E:$E,RaceResults!$A:$A,$A145,RaceResults!$D:$D,D145))</f>
        <v>55</v>
      </c>
      <c r="M145" s="11">
        <f>IF(E145="","",SUMIFS(RaceResults!$E:$E,RaceResults!$A:$A,$A145,RaceResults!$D:$D,E145))</f>
        <v>2</v>
      </c>
      <c r="N145" s="11">
        <f>IF(F145="","",SUMIFS(RaceResults!$E:$E,RaceResults!$A:$A,$A145,RaceResults!$D:$D,F145))</f>
        <v>12</v>
      </c>
      <c r="O145" s="11">
        <f t="shared" si="2"/>
        <v>69</v>
      </c>
    </row>
    <row r="146" spans="1:15" x14ac:dyDescent="0.3">
      <c r="A146" s="9">
        <v>15</v>
      </c>
      <c r="B146" s="9" t="s">
        <v>78</v>
      </c>
      <c r="C146" s="10" t="s">
        <v>27</v>
      </c>
      <c r="D146" s="3">
        <v>11</v>
      </c>
      <c r="E146" s="3">
        <v>45</v>
      </c>
      <c r="F146" s="3">
        <v>20</v>
      </c>
      <c r="G146" s="3"/>
      <c r="H146" s="3"/>
      <c r="I146" s="11">
        <f>IF(D146="","",SUMIFS(RaceResults!$C:$C,RaceResults!$A:$A,$A146,RaceResults!$D:$D,D146))</f>
        <v>1</v>
      </c>
      <c r="J146" s="11">
        <f>IF(E146="","",SUMIFS(RaceResults!$C:$C,RaceResults!$A:$A,$A146,RaceResults!$D:$D,E146))</f>
        <v>35</v>
      </c>
      <c r="K146" s="11">
        <f>IF(F146="","",SUMIFS(RaceResults!$C:$C,RaceResults!$A:$A,$A146,RaceResults!$D:$D,F146))</f>
        <v>31</v>
      </c>
      <c r="L146" s="11">
        <f>IF(D146="","",SUMIFS(RaceResults!$E:$E,RaceResults!$A:$A,$A146,RaceResults!$D:$D,D146))</f>
        <v>55</v>
      </c>
      <c r="M146" s="11">
        <f>IF(E146="","",SUMIFS(RaceResults!$E:$E,RaceResults!$A:$A,$A146,RaceResults!$D:$D,E146))</f>
        <v>2</v>
      </c>
      <c r="N146" s="11">
        <f>IF(F146="","",SUMIFS(RaceResults!$E:$E,RaceResults!$A:$A,$A146,RaceResults!$D:$D,F146))</f>
        <v>6</v>
      </c>
      <c r="O146" s="11">
        <f t="shared" si="2"/>
        <v>63</v>
      </c>
    </row>
    <row r="147" spans="1:15" x14ac:dyDescent="0.3">
      <c r="A147" s="9">
        <v>15</v>
      </c>
      <c r="B147" s="9" t="s">
        <v>78</v>
      </c>
      <c r="C147" s="10" t="s">
        <v>28</v>
      </c>
      <c r="D147" s="3">
        <v>45</v>
      </c>
      <c r="E147" s="3">
        <v>11</v>
      </c>
      <c r="F147" s="3">
        <v>20</v>
      </c>
      <c r="G147" s="3"/>
      <c r="H147" s="3"/>
      <c r="I147" s="11">
        <f>IF(D147="","",SUMIFS(RaceResults!$C:$C,RaceResults!$A:$A,$A147,RaceResults!$D:$D,D147))</f>
        <v>35</v>
      </c>
      <c r="J147" s="11">
        <f>IF(E147="","",SUMIFS(RaceResults!$C:$C,RaceResults!$A:$A,$A147,RaceResults!$D:$D,E147))</f>
        <v>1</v>
      </c>
      <c r="K147" s="11">
        <f>IF(F147="","",SUMIFS(RaceResults!$C:$C,RaceResults!$A:$A,$A147,RaceResults!$D:$D,F147))</f>
        <v>31</v>
      </c>
      <c r="L147" s="11">
        <f>IF(D147="","",SUMIFS(RaceResults!$E:$E,RaceResults!$A:$A,$A147,RaceResults!$D:$D,D147))</f>
        <v>2</v>
      </c>
      <c r="M147" s="11">
        <f>IF(E147="","",SUMIFS(RaceResults!$E:$E,RaceResults!$A:$A,$A147,RaceResults!$D:$D,E147))</f>
        <v>55</v>
      </c>
      <c r="N147" s="11">
        <f>IF(F147="","",SUMIFS(RaceResults!$E:$E,RaceResults!$A:$A,$A147,RaceResults!$D:$D,F147))</f>
        <v>6</v>
      </c>
      <c r="O147" s="11">
        <f t="shared" si="2"/>
        <v>63</v>
      </c>
    </row>
    <row r="148" spans="1:15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3"/>
      <c r="H148" s="3"/>
      <c r="I148" s="11" t="str">
        <f>IF(D148="","",SUMIFS(RaceResults!$C:$C,RaceResults!$A:$A,$A148,RaceResults!$D:$D,D148))</f>
        <v/>
      </c>
      <c r="J148" s="11" t="str">
        <f>IF(E148="","",SUMIFS(RaceResults!$C:$C,RaceResults!$A:$A,$A148,RaceResults!$D:$D,E148))</f>
        <v/>
      </c>
      <c r="K148" s="11" t="str">
        <f>IF(F148="","",SUMIFS(RaceResults!$C:$C,RaceResults!$A:$A,$A148,RaceResults!$D:$D,F148))</f>
        <v/>
      </c>
      <c r="L148" s="11" t="str">
        <f>IF(D148="","",SUMIFS(RaceResults!$E:$E,RaceResults!$A:$A,$A148,RaceResults!$D:$D,D148))</f>
        <v/>
      </c>
      <c r="M148" s="11" t="str">
        <f>IF(E148="","",SUMIFS(RaceResults!$E:$E,RaceResults!$A:$A,$A148,RaceResults!$D:$D,E148))</f>
        <v/>
      </c>
      <c r="N148" s="11" t="str">
        <f>IF(F148="","",SUMIFS(RaceResults!$E:$E,RaceResults!$A:$A,$A148,RaceResults!$D:$D,F148))</f>
        <v/>
      </c>
      <c r="O148" s="11">
        <f t="shared" si="2"/>
        <v>0</v>
      </c>
    </row>
    <row r="149" spans="1:15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3"/>
      <c r="H149" s="3"/>
      <c r="I149" s="11" t="str">
        <f>IF(D149="","",SUMIFS(RaceResults!$C:$C,RaceResults!$A:$A,$A149,RaceResults!$D:$D,D149))</f>
        <v/>
      </c>
      <c r="J149" s="11" t="str">
        <f>IF(E149="","",SUMIFS(RaceResults!$C:$C,RaceResults!$A:$A,$A149,RaceResults!$D:$D,E149))</f>
        <v/>
      </c>
      <c r="K149" s="11" t="str">
        <f>IF(F149="","",SUMIFS(RaceResults!$C:$C,RaceResults!$A:$A,$A149,RaceResults!$D:$D,F149))</f>
        <v/>
      </c>
      <c r="L149" s="11" t="str">
        <f>IF(D149="","",SUMIFS(RaceResults!$E:$E,RaceResults!$A:$A,$A149,RaceResults!$D:$D,D149))</f>
        <v/>
      </c>
      <c r="M149" s="11" t="str">
        <f>IF(E149="","",SUMIFS(RaceResults!$E:$E,RaceResults!$A:$A,$A149,RaceResults!$D:$D,E149))</f>
        <v/>
      </c>
      <c r="N149" s="11" t="str">
        <f>IF(F149="","",SUMIFS(RaceResults!$E:$E,RaceResults!$A:$A,$A149,RaceResults!$D:$D,F149))</f>
        <v/>
      </c>
      <c r="O149" s="11">
        <f t="shared" si="2"/>
        <v>0</v>
      </c>
    </row>
    <row r="150" spans="1:15" x14ac:dyDescent="0.3">
      <c r="A150" s="9">
        <v>15</v>
      </c>
      <c r="B150" s="9" t="s">
        <v>78</v>
      </c>
      <c r="C150" s="10" t="s">
        <v>31</v>
      </c>
      <c r="D150" s="3">
        <v>20</v>
      </c>
      <c r="E150" s="3">
        <v>77</v>
      </c>
      <c r="F150" s="3">
        <v>5</v>
      </c>
      <c r="G150" s="3"/>
      <c r="H150" s="3"/>
      <c r="I150" s="11">
        <f>IF(D150="","",SUMIFS(RaceResults!$C:$C,RaceResults!$A:$A,$A150,RaceResults!$D:$D,D150))</f>
        <v>31</v>
      </c>
      <c r="J150" s="11">
        <f>IF(E150="","",SUMIFS(RaceResults!$C:$C,RaceResults!$A:$A,$A150,RaceResults!$D:$D,E150))</f>
        <v>5</v>
      </c>
      <c r="K150" s="11">
        <f>IF(F150="","",SUMIFS(RaceResults!$C:$C,RaceResults!$A:$A,$A150,RaceResults!$D:$D,F150))</f>
        <v>4</v>
      </c>
      <c r="L150" s="11">
        <f>IF(D150="","",SUMIFS(RaceResults!$E:$E,RaceResults!$A:$A,$A150,RaceResults!$D:$D,D150))</f>
        <v>6</v>
      </c>
      <c r="M150" s="11">
        <f>IF(E150="","",SUMIFS(RaceResults!$E:$E,RaceResults!$A:$A,$A150,RaceResults!$D:$D,E150))</f>
        <v>32</v>
      </c>
      <c r="N150" s="11">
        <f>IF(F150="","",SUMIFS(RaceResults!$E:$E,RaceResults!$A:$A,$A150,RaceResults!$D:$D,F150))</f>
        <v>33</v>
      </c>
      <c r="O150" s="11">
        <f t="shared" si="2"/>
        <v>71</v>
      </c>
    </row>
    <row r="151" spans="1:15" x14ac:dyDescent="0.3">
      <c r="A151" s="9">
        <v>15</v>
      </c>
      <c r="B151" s="9" t="s">
        <v>78</v>
      </c>
      <c r="C151" s="10" t="s">
        <v>32</v>
      </c>
      <c r="D151" s="3">
        <v>54</v>
      </c>
      <c r="E151" s="3">
        <v>5</v>
      </c>
      <c r="F151" s="3">
        <v>12</v>
      </c>
      <c r="G151" s="3"/>
      <c r="H151" s="3"/>
      <c r="I151" s="11"/>
      <c r="J151" s="11">
        <f>IF(E151="","",SUMIFS(RaceResults!$C:$C,RaceResults!$A:$A,$A151,RaceResults!$D:$D,E151))</f>
        <v>4</v>
      </c>
      <c r="K151" s="11">
        <f>IF(F151="","",SUMIFS(RaceResults!$C:$C,RaceResults!$A:$A,$A151,RaceResults!$D:$D,F151))</f>
        <v>8</v>
      </c>
      <c r="L151" s="11">
        <f>IF(D151="","",SUMIFS(RaceResults!$E:$E,RaceResults!$A:$A,$A151,RaceResults!$D:$D,D151))</f>
        <v>12</v>
      </c>
      <c r="M151" s="11">
        <f>IF(E151="","",SUMIFS(RaceResults!$E:$E,RaceResults!$A:$A,$A151,RaceResults!$D:$D,E151))</f>
        <v>33</v>
      </c>
      <c r="N151" s="11">
        <f>IF(F151="","",SUMIFS(RaceResults!$E:$E,RaceResults!$A:$A,$A151,RaceResults!$D:$D,F151))</f>
        <v>29</v>
      </c>
      <c r="O151" s="11">
        <f t="shared" si="2"/>
        <v>74</v>
      </c>
    </row>
    <row r="152" spans="1:15" x14ac:dyDescent="0.3">
      <c r="A152" s="9">
        <v>16</v>
      </c>
      <c r="B152" s="9" t="s">
        <v>80</v>
      </c>
      <c r="C152" s="10" t="s">
        <v>21</v>
      </c>
      <c r="D152" s="3">
        <v>11</v>
      </c>
      <c r="E152" s="3">
        <v>5</v>
      </c>
      <c r="F152" s="3">
        <v>12</v>
      </c>
      <c r="G152" s="3"/>
      <c r="H152" s="3"/>
      <c r="I152" s="11">
        <f>IF(D152="","",SUMIFS(RaceResults!$C:$C,RaceResults!$A:$A,$A152,RaceResults!$D:$D,D152))</f>
        <v>1</v>
      </c>
      <c r="J152" s="11">
        <f>IF(E152="","",SUMIFS(RaceResults!$C:$C,RaceResults!$A:$A,$A152,RaceResults!$D:$D,E152))</f>
        <v>5</v>
      </c>
      <c r="K152" s="11">
        <f>IF(F152="","",SUMIFS(RaceResults!$C:$C,RaceResults!$A:$A,$A152,RaceResults!$D:$D,F152))</f>
        <v>10</v>
      </c>
      <c r="L152" s="11">
        <f>IF(D152="","",SUMIFS(RaceResults!$E:$E,RaceResults!$A:$A,$A152,RaceResults!$D:$D,D152))</f>
        <v>55</v>
      </c>
      <c r="M152" s="11">
        <f>IF(E152="","",SUMIFS(RaceResults!$E:$E,RaceResults!$A:$A,$A152,RaceResults!$D:$D,E152))</f>
        <v>32</v>
      </c>
      <c r="N152" s="11">
        <f>IF(F152="","",SUMIFS(RaceResults!$E:$E,RaceResults!$A:$A,$A152,RaceResults!$D:$D,F152))</f>
        <v>27</v>
      </c>
      <c r="O152" s="11">
        <f t="shared" si="2"/>
        <v>114</v>
      </c>
    </row>
    <row r="153" spans="1:15" x14ac:dyDescent="0.3">
      <c r="A153" s="9">
        <v>16</v>
      </c>
      <c r="B153" s="9" t="s">
        <v>80</v>
      </c>
      <c r="C153" s="10" t="s">
        <v>22</v>
      </c>
      <c r="D153" s="3">
        <v>5</v>
      </c>
      <c r="E153" s="3">
        <v>7</v>
      </c>
      <c r="F153" s="3">
        <v>24</v>
      </c>
      <c r="G153" s="3"/>
      <c r="H153" s="3"/>
      <c r="I153" s="11">
        <f>IF(D153="","",SUMIFS(RaceResults!$C:$C,RaceResults!$A:$A,$A153,RaceResults!$D:$D,D153))</f>
        <v>5</v>
      </c>
      <c r="J153" s="11">
        <f>IF(E153="","",SUMIFS(RaceResults!$C:$C,RaceResults!$A:$A,$A153,RaceResults!$D:$D,E153))</f>
        <v>13</v>
      </c>
      <c r="K153" s="11">
        <f>IF(F153="","",SUMIFS(RaceResults!$C:$C,RaceResults!$A:$A,$A153,RaceResults!$D:$D,F153))</f>
        <v>3</v>
      </c>
      <c r="L153" s="11">
        <f>IF(D153="","",SUMIFS(RaceResults!$E:$E,RaceResults!$A:$A,$A153,RaceResults!$D:$D,D153))</f>
        <v>32</v>
      </c>
      <c r="M153" s="11">
        <f>IF(E153="","",SUMIFS(RaceResults!$E:$E,RaceResults!$A:$A,$A153,RaceResults!$D:$D,E153))</f>
        <v>24</v>
      </c>
      <c r="N153" s="11">
        <f>IF(F153="","",SUMIFS(RaceResults!$E:$E,RaceResults!$A:$A,$A153,RaceResults!$D:$D,F153))</f>
        <v>34</v>
      </c>
      <c r="O153" s="11">
        <f t="shared" si="2"/>
        <v>90</v>
      </c>
    </row>
    <row r="154" spans="1:15" x14ac:dyDescent="0.3">
      <c r="A154" s="9">
        <v>16</v>
      </c>
      <c r="B154" s="9" t="s">
        <v>80</v>
      </c>
      <c r="C154" s="10" t="s">
        <v>25</v>
      </c>
      <c r="D154" s="3">
        <v>11</v>
      </c>
      <c r="E154" s="3">
        <v>19</v>
      </c>
      <c r="F154" s="3">
        <v>17</v>
      </c>
      <c r="G154" s="3"/>
      <c r="H154" s="3"/>
      <c r="I154" s="11">
        <f>IF(D154="","",SUMIFS(RaceResults!$C:$C,RaceResults!$A:$A,$A154,RaceResults!$D:$D,D154))</f>
        <v>1</v>
      </c>
      <c r="J154" s="11">
        <f>IF(E154="","",SUMIFS(RaceResults!$C:$C,RaceResults!$A:$A,$A154,RaceResults!$D:$D,E154))</f>
        <v>12</v>
      </c>
      <c r="K154" s="11">
        <f>IF(F154="","",SUMIFS(RaceResults!$C:$C,RaceResults!$A:$A,$A154,RaceResults!$D:$D,F154))</f>
        <v>7</v>
      </c>
      <c r="L154" s="11">
        <f>IF(D154="","",SUMIFS(RaceResults!$E:$E,RaceResults!$A:$A,$A154,RaceResults!$D:$D,D154))</f>
        <v>55</v>
      </c>
      <c r="M154" s="11">
        <f>IF(E154="","",SUMIFS(RaceResults!$E:$E,RaceResults!$A:$A,$A154,RaceResults!$D:$D,E154))</f>
        <v>25</v>
      </c>
      <c r="N154" s="11">
        <f>IF(F154="","",SUMIFS(RaceResults!$E:$E,RaceResults!$A:$A,$A154,RaceResults!$D:$D,F154))</f>
        <v>30</v>
      </c>
      <c r="O154" s="11">
        <f t="shared" si="2"/>
        <v>110</v>
      </c>
    </row>
    <row r="155" spans="1:15" x14ac:dyDescent="0.3">
      <c r="A155" s="9">
        <v>16</v>
      </c>
      <c r="B155" s="9" t="s">
        <v>80</v>
      </c>
      <c r="C155" s="10" t="s">
        <v>26</v>
      </c>
      <c r="D155" s="3">
        <v>11</v>
      </c>
      <c r="E155" s="3">
        <v>5</v>
      </c>
      <c r="F155" s="3">
        <v>19</v>
      </c>
      <c r="G155" s="3"/>
      <c r="H155" s="3"/>
      <c r="I155" s="11">
        <f>IF(D155="","",SUMIFS(RaceResults!$C:$C,RaceResults!$A:$A,$A155,RaceResults!$D:$D,D155))</f>
        <v>1</v>
      </c>
      <c r="J155" s="11">
        <f>IF(E155="","",SUMIFS(RaceResults!$C:$C,RaceResults!$A:$A,$A155,RaceResults!$D:$D,E155))</f>
        <v>5</v>
      </c>
      <c r="K155" s="11">
        <f>IF(F155="","",SUMIFS(RaceResults!$C:$C,RaceResults!$A:$A,$A155,RaceResults!$D:$D,F155))</f>
        <v>12</v>
      </c>
      <c r="L155" s="11">
        <f>IF(D155="","",SUMIFS(RaceResults!$E:$E,RaceResults!$A:$A,$A155,RaceResults!$D:$D,D155))</f>
        <v>55</v>
      </c>
      <c r="M155" s="11">
        <f>IF(E155="","",SUMIFS(RaceResults!$E:$E,RaceResults!$A:$A,$A155,RaceResults!$D:$D,E155))</f>
        <v>32</v>
      </c>
      <c r="N155" s="11">
        <f>IF(F155="","",SUMIFS(RaceResults!$E:$E,RaceResults!$A:$A,$A155,RaceResults!$D:$D,F155))</f>
        <v>25</v>
      </c>
      <c r="O155" s="11">
        <f t="shared" si="2"/>
        <v>112</v>
      </c>
    </row>
    <row r="156" spans="1:15" x14ac:dyDescent="0.3">
      <c r="A156" s="9">
        <v>16</v>
      </c>
      <c r="B156" s="9" t="s">
        <v>80</v>
      </c>
      <c r="C156" s="10" t="s">
        <v>27</v>
      </c>
      <c r="D156" s="3">
        <v>11</v>
      </c>
      <c r="E156" s="3">
        <v>19</v>
      </c>
      <c r="F156" s="3">
        <v>22</v>
      </c>
      <c r="G156" s="3"/>
      <c r="H156" s="3"/>
      <c r="I156" s="11">
        <f>IF(D156="","",SUMIFS(RaceResults!$C:$C,RaceResults!$A:$A,$A156,RaceResults!$D:$D,D156))</f>
        <v>1</v>
      </c>
      <c r="J156" s="11">
        <f>IF(E156="","",SUMIFS(RaceResults!$C:$C,RaceResults!$A:$A,$A156,RaceResults!$D:$D,E156))</f>
        <v>12</v>
      </c>
      <c r="K156" s="11">
        <f>IF(F156="","",SUMIFS(RaceResults!$C:$C,RaceResults!$A:$A,$A156,RaceResults!$D:$D,F156))</f>
        <v>33</v>
      </c>
      <c r="L156" s="11">
        <f>IF(D156="","",SUMIFS(RaceResults!$E:$E,RaceResults!$A:$A,$A156,RaceResults!$D:$D,D156))</f>
        <v>55</v>
      </c>
      <c r="M156" s="11">
        <f>IF(E156="","",SUMIFS(RaceResults!$E:$E,RaceResults!$A:$A,$A156,RaceResults!$D:$D,E156))</f>
        <v>25</v>
      </c>
      <c r="N156" s="11">
        <f>IF(F156="","",SUMIFS(RaceResults!$E:$E,RaceResults!$A:$A,$A156,RaceResults!$D:$D,F156))</f>
        <v>4</v>
      </c>
      <c r="O156" s="11">
        <f t="shared" si="2"/>
        <v>84</v>
      </c>
    </row>
    <row r="157" spans="1:15" x14ac:dyDescent="0.3">
      <c r="A157" s="9">
        <v>16</v>
      </c>
      <c r="B157" s="9" t="s">
        <v>80</v>
      </c>
      <c r="C157" s="10" t="s">
        <v>28</v>
      </c>
      <c r="D157" s="3">
        <v>11</v>
      </c>
      <c r="E157" s="3">
        <v>45</v>
      </c>
      <c r="F157" s="3">
        <v>54</v>
      </c>
      <c r="G157" s="3"/>
      <c r="H157" s="3"/>
      <c r="I157" s="11">
        <f>IF(D157="","",SUMIFS(RaceResults!$C:$C,RaceResults!$A:$A,$A157,RaceResults!$D:$D,D157))</f>
        <v>1</v>
      </c>
      <c r="J157" s="11">
        <f>IF(E157="","",SUMIFS(RaceResults!$C:$C,RaceResults!$A:$A,$A157,RaceResults!$D:$D,E157))</f>
        <v>2</v>
      </c>
      <c r="K157" s="11">
        <f>IF(F157="","",SUMIFS(RaceResults!$C:$C,RaceResults!$A:$A,$A157,RaceResults!$D:$D,F157))</f>
        <v>9</v>
      </c>
      <c r="L157" s="11">
        <f>IF(D157="","",SUMIFS(RaceResults!$E:$E,RaceResults!$A:$A,$A157,RaceResults!$D:$D,D157))</f>
        <v>55</v>
      </c>
      <c r="M157" s="11">
        <f>IF(E157="","",SUMIFS(RaceResults!$E:$E,RaceResults!$A:$A,$A157,RaceResults!$D:$D,E157))</f>
        <v>35</v>
      </c>
      <c r="N157" s="11">
        <f>IF(F157="","",SUMIFS(RaceResults!$E:$E,RaceResults!$A:$A,$A157,RaceResults!$D:$D,F157))</f>
        <v>28</v>
      </c>
      <c r="O157" s="11">
        <f t="shared" si="2"/>
        <v>118</v>
      </c>
    </row>
    <row r="158" spans="1:15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3"/>
      <c r="H158" s="3"/>
      <c r="I158" s="11" t="str">
        <f>IF(D158="","",SUMIFS(RaceResults!$C:$C,RaceResults!$A:$A,$A158,RaceResults!$D:$D,D158))</f>
        <v/>
      </c>
      <c r="J158" s="11" t="str">
        <f>IF(E158="","",SUMIFS(RaceResults!$C:$C,RaceResults!$A:$A,$A158,RaceResults!$D:$D,E158))</f>
        <v/>
      </c>
      <c r="K158" s="11" t="str">
        <f>IF(F158="","",SUMIFS(RaceResults!$C:$C,RaceResults!$A:$A,$A158,RaceResults!$D:$D,F158))</f>
        <v/>
      </c>
      <c r="L158" s="11" t="str">
        <f>IF(D158="","",SUMIFS(RaceResults!$E:$E,RaceResults!$A:$A,$A158,RaceResults!$D:$D,D158))</f>
        <v/>
      </c>
      <c r="M158" s="11" t="str">
        <f>IF(E158="","",SUMIFS(RaceResults!$E:$E,RaceResults!$A:$A,$A158,RaceResults!$D:$D,E158))</f>
        <v/>
      </c>
      <c r="N158" s="11" t="str">
        <f>IF(F158="","",SUMIFS(RaceResults!$E:$E,RaceResults!$A:$A,$A158,RaceResults!$D:$D,F158))</f>
        <v/>
      </c>
      <c r="O158" s="11">
        <f t="shared" si="2"/>
        <v>0</v>
      </c>
    </row>
    <row r="159" spans="1:15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3"/>
      <c r="H159" s="3"/>
      <c r="I159" s="11" t="str">
        <f>IF(D159="","",SUMIFS(RaceResults!$C:$C,RaceResults!$A:$A,$A159,RaceResults!$D:$D,D159))</f>
        <v/>
      </c>
      <c r="J159" s="11" t="str">
        <f>IF(E159="","",SUMIFS(RaceResults!$C:$C,RaceResults!$A:$A,$A159,RaceResults!$D:$D,E159))</f>
        <v/>
      </c>
      <c r="K159" s="11" t="str">
        <f>IF(F159="","",SUMIFS(RaceResults!$C:$C,RaceResults!$A:$A,$A159,RaceResults!$D:$D,F159))</f>
        <v/>
      </c>
      <c r="L159" s="11" t="str">
        <f>IF(D159="","",SUMIFS(RaceResults!$E:$E,RaceResults!$A:$A,$A159,RaceResults!$D:$D,D159))</f>
        <v/>
      </c>
      <c r="M159" s="11" t="str">
        <f>IF(E159="","",SUMIFS(RaceResults!$E:$E,RaceResults!$A:$A,$A159,RaceResults!$D:$D,E159))</f>
        <v/>
      </c>
      <c r="N159" s="11" t="str">
        <f>IF(F159="","",SUMIFS(RaceResults!$E:$E,RaceResults!$A:$A,$A159,RaceResults!$D:$D,F159))</f>
        <v/>
      </c>
      <c r="O159" s="11">
        <f t="shared" si="2"/>
        <v>0</v>
      </c>
    </row>
    <row r="160" spans="1:15" x14ac:dyDescent="0.3">
      <c r="A160" s="9">
        <v>16</v>
      </c>
      <c r="B160" s="9" t="s">
        <v>80</v>
      </c>
      <c r="C160" s="10" t="s">
        <v>31</v>
      </c>
      <c r="D160" s="3">
        <v>11</v>
      </c>
      <c r="E160" s="3">
        <v>19</v>
      </c>
      <c r="F160" s="3">
        <v>5</v>
      </c>
      <c r="G160" s="3"/>
      <c r="H160" s="3"/>
      <c r="I160" s="11">
        <f>IF(D160="","",SUMIFS(RaceResults!$C:$C,RaceResults!$A:$A,$A160,RaceResults!$D:$D,D160))</f>
        <v>1</v>
      </c>
      <c r="J160" s="11">
        <f>IF(E160="","",SUMIFS(RaceResults!$C:$C,RaceResults!$A:$A,$A160,RaceResults!$D:$D,E160))</f>
        <v>12</v>
      </c>
      <c r="K160" s="11">
        <f>IF(F160="","",SUMIFS(RaceResults!$C:$C,RaceResults!$A:$A,$A160,RaceResults!$D:$D,F160))</f>
        <v>5</v>
      </c>
      <c r="L160" s="11">
        <f>IF(D160="","",SUMIFS(RaceResults!$E:$E,RaceResults!$A:$A,$A160,RaceResults!$D:$D,D160))</f>
        <v>55</v>
      </c>
      <c r="M160" s="11">
        <f>IF(E160="","",SUMIFS(RaceResults!$E:$E,RaceResults!$A:$A,$A160,RaceResults!$D:$D,E160))</f>
        <v>25</v>
      </c>
      <c r="N160" s="11">
        <f>IF(F160="","",SUMIFS(RaceResults!$E:$E,RaceResults!$A:$A,$A160,RaceResults!$D:$D,F160))</f>
        <v>32</v>
      </c>
      <c r="O160" s="11">
        <f t="shared" si="2"/>
        <v>112</v>
      </c>
    </row>
    <row r="161" spans="1:15" x14ac:dyDescent="0.3">
      <c r="A161" s="9">
        <v>16</v>
      </c>
      <c r="B161" s="9" t="s">
        <v>80</v>
      </c>
      <c r="C161" s="10" t="s">
        <v>32</v>
      </c>
      <c r="D161" s="3">
        <v>54</v>
      </c>
      <c r="E161" s="3">
        <v>5</v>
      </c>
      <c r="F161" s="3">
        <v>11</v>
      </c>
      <c r="G161" s="3"/>
      <c r="H161" s="3"/>
      <c r="I161" s="11">
        <f>IF(D161="","",SUMIFS(RaceResults!$C:$C,RaceResults!$A:$A,$A161,RaceResults!$D:$D,D161))</f>
        <v>9</v>
      </c>
      <c r="J161" s="11">
        <f>IF(E161="","",SUMIFS(RaceResults!$C:$C,RaceResults!$A:$A,$A161,RaceResults!$D:$D,E161))</f>
        <v>5</v>
      </c>
      <c r="K161" s="11">
        <f>IF(F161="","",SUMIFS(RaceResults!$C:$C,RaceResults!$A:$A,$A161,RaceResults!$D:$D,F161))</f>
        <v>1</v>
      </c>
      <c r="L161" s="11">
        <f>IF(D161="","",SUMIFS(RaceResults!$E:$E,RaceResults!$A:$A,$A161,RaceResults!$D:$D,D161))</f>
        <v>28</v>
      </c>
      <c r="M161" s="11">
        <f>IF(E161="","",SUMIFS(RaceResults!$E:$E,RaceResults!$A:$A,$A161,RaceResults!$D:$D,E161))</f>
        <v>32</v>
      </c>
      <c r="N161" s="11">
        <f>IF(F161="","",SUMIFS(RaceResults!$E:$E,RaceResults!$A:$A,$A161,RaceResults!$D:$D,F161))</f>
        <v>55</v>
      </c>
      <c r="O161" s="11">
        <f t="shared" si="2"/>
        <v>115</v>
      </c>
    </row>
    <row r="162" spans="1:15" x14ac:dyDescent="0.3">
      <c r="A162" s="9">
        <v>17</v>
      </c>
      <c r="B162" s="9" t="s">
        <v>82</v>
      </c>
      <c r="C162" s="10" t="s">
        <v>21</v>
      </c>
      <c r="D162" s="3">
        <v>97</v>
      </c>
      <c r="E162" s="3">
        <v>12</v>
      </c>
      <c r="F162" s="3">
        <v>77</v>
      </c>
      <c r="G162" s="3"/>
      <c r="H162" s="3"/>
      <c r="I162" s="11">
        <f>IF(D162="","",SUMIFS(RaceResults!$C:$C,RaceResults!$A:$A,$A162,RaceResults!$D:$D,D162))</f>
        <v>37</v>
      </c>
      <c r="J162" s="11">
        <f>IF(E162="","",SUMIFS(RaceResults!$C:$C,RaceResults!$A:$A,$A162,RaceResults!$D:$D,E162))</f>
        <v>9</v>
      </c>
      <c r="K162" s="11">
        <f>IF(F162="","",SUMIFS(RaceResults!$C:$C,RaceResults!$A:$A,$A162,RaceResults!$D:$D,F162))</f>
        <v>19</v>
      </c>
      <c r="L162" s="11">
        <f>IF(D162="","",SUMIFS(RaceResults!$E:$E,RaceResults!$A:$A,$A162,RaceResults!$D:$D,D162))</f>
        <v>1</v>
      </c>
      <c r="M162" s="11">
        <f>IF(E162="","",SUMIFS(RaceResults!$E:$E,RaceResults!$A:$A,$A162,RaceResults!$D:$D,E162))</f>
        <v>28</v>
      </c>
      <c r="N162" s="11">
        <f>IF(F162="","",SUMIFS(RaceResults!$E:$E,RaceResults!$A:$A,$A162,RaceResults!$D:$D,F162))</f>
        <v>18</v>
      </c>
      <c r="O162" s="11">
        <f t="shared" si="2"/>
        <v>47</v>
      </c>
    </row>
    <row r="163" spans="1:15" x14ac:dyDescent="0.3">
      <c r="A163" s="9">
        <v>17</v>
      </c>
      <c r="B163" s="9" t="s">
        <v>82</v>
      </c>
      <c r="C163" s="10" t="s">
        <v>22</v>
      </c>
      <c r="D163" s="3">
        <v>97</v>
      </c>
      <c r="E163" s="3">
        <v>7</v>
      </c>
      <c r="F163" s="3">
        <v>88</v>
      </c>
      <c r="G163" s="3"/>
      <c r="H163" s="3"/>
      <c r="I163" s="11">
        <f>IF(D163="","",SUMIFS(RaceResults!$C:$C,RaceResults!$A:$A,$A163,RaceResults!$D:$D,D163))</f>
        <v>37</v>
      </c>
      <c r="J163" s="11">
        <f>IF(E163="","",SUMIFS(RaceResults!$C:$C,RaceResults!$A:$A,$A163,RaceResults!$D:$D,E163))</f>
        <v>13</v>
      </c>
      <c r="K163" s="11">
        <f>IF(F163="","",SUMIFS(RaceResults!$C:$C,RaceResults!$A:$A,$A163,RaceResults!$D:$D,F163))</f>
        <v>0</v>
      </c>
      <c r="L163" s="11">
        <f>IF(D163="","",SUMIFS(RaceResults!$E:$E,RaceResults!$A:$A,$A163,RaceResults!$D:$D,D163))</f>
        <v>1</v>
      </c>
      <c r="M163" s="11">
        <f>IF(E163="","",SUMIFS(RaceResults!$E:$E,RaceResults!$A:$A,$A163,RaceResults!$D:$D,E163))</f>
        <v>24</v>
      </c>
      <c r="N163" s="11">
        <f>IF(F163="","",SUMIFS(RaceResults!$E:$E,RaceResults!$A:$A,$A163,RaceResults!$D:$D,F163))</f>
        <v>0</v>
      </c>
      <c r="O163" s="11">
        <f t="shared" si="2"/>
        <v>25</v>
      </c>
    </row>
    <row r="164" spans="1:15" x14ac:dyDescent="0.3">
      <c r="A164" s="9">
        <v>17</v>
      </c>
      <c r="B164" s="9" t="s">
        <v>82</v>
      </c>
      <c r="C164" s="10" t="s">
        <v>25</v>
      </c>
      <c r="D164" s="3">
        <v>97</v>
      </c>
      <c r="E164" s="3">
        <v>12</v>
      </c>
      <c r="F164" s="3">
        <v>38</v>
      </c>
      <c r="G164" s="3"/>
      <c r="H164" s="3"/>
      <c r="I164" s="11">
        <f>IF(D164="","",SUMIFS(RaceResults!$C:$C,RaceResults!$A:$A,$A164,RaceResults!$D:$D,D164))</f>
        <v>37</v>
      </c>
      <c r="J164" s="11">
        <f>IF(E164="","",SUMIFS(RaceResults!$C:$C,RaceResults!$A:$A,$A164,RaceResults!$D:$D,E164))</f>
        <v>9</v>
      </c>
      <c r="K164" s="11">
        <f>IF(F164="","",SUMIFS(RaceResults!$C:$C,RaceResults!$A:$A,$A164,RaceResults!$D:$D,F164))</f>
        <v>4</v>
      </c>
      <c r="L164" s="11">
        <f>IF(D164="","",SUMIFS(RaceResults!$E:$E,RaceResults!$A:$A,$A164,RaceResults!$D:$D,D164))</f>
        <v>1</v>
      </c>
      <c r="M164" s="11">
        <f>IF(E164="","",SUMIFS(RaceResults!$E:$E,RaceResults!$A:$A,$A164,RaceResults!$D:$D,E164))</f>
        <v>28</v>
      </c>
      <c r="N164" s="11">
        <f>IF(F164="","",SUMIFS(RaceResults!$E:$E,RaceResults!$A:$A,$A164,RaceResults!$D:$D,F164))</f>
        <v>33</v>
      </c>
      <c r="O164" s="11">
        <f t="shared" si="2"/>
        <v>62</v>
      </c>
    </row>
    <row r="165" spans="1:15" x14ac:dyDescent="0.3">
      <c r="A165" s="9">
        <v>17</v>
      </c>
      <c r="B165" s="9" t="s">
        <v>82</v>
      </c>
      <c r="C165" s="10" t="s">
        <v>26</v>
      </c>
      <c r="D165" s="3">
        <v>97</v>
      </c>
      <c r="E165" s="3">
        <v>12</v>
      </c>
      <c r="F165" s="3">
        <v>11</v>
      </c>
      <c r="G165" s="3"/>
      <c r="H165" s="3"/>
      <c r="I165" s="11">
        <f>IF(D165="","",SUMIFS(RaceResults!$C:$C,RaceResults!$A:$A,$A165,RaceResults!$D:$D,D165))</f>
        <v>37</v>
      </c>
      <c r="J165" s="11">
        <f>IF(E165="","",SUMIFS(RaceResults!$C:$C,RaceResults!$A:$A,$A165,RaceResults!$D:$D,E165))</f>
        <v>9</v>
      </c>
      <c r="K165" s="11">
        <f>IF(F165="","",SUMIFS(RaceResults!$C:$C,RaceResults!$A:$A,$A165,RaceResults!$D:$D,F165))</f>
        <v>14</v>
      </c>
      <c r="L165" s="11">
        <f>IF(D165="","",SUMIFS(RaceResults!$E:$E,RaceResults!$A:$A,$A165,RaceResults!$D:$D,D165))</f>
        <v>1</v>
      </c>
      <c r="M165" s="11">
        <f>IF(E165="","",SUMIFS(RaceResults!$E:$E,RaceResults!$A:$A,$A165,RaceResults!$D:$D,E165))</f>
        <v>28</v>
      </c>
      <c r="N165" s="11">
        <f>IF(F165="","",SUMIFS(RaceResults!$E:$E,RaceResults!$A:$A,$A165,RaceResults!$D:$D,F165))</f>
        <v>23</v>
      </c>
      <c r="O165" s="11">
        <f t="shared" si="2"/>
        <v>52</v>
      </c>
    </row>
    <row r="166" spans="1:15" x14ac:dyDescent="0.3">
      <c r="A166" s="9">
        <v>17</v>
      </c>
      <c r="B166" s="9" t="s">
        <v>82</v>
      </c>
      <c r="C166" s="10" t="s">
        <v>27</v>
      </c>
      <c r="D166" s="3">
        <v>12</v>
      </c>
      <c r="E166" s="3">
        <v>22</v>
      </c>
      <c r="F166" s="3">
        <v>19</v>
      </c>
      <c r="G166" s="3"/>
      <c r="H166" s="3"/>
      <c r="I166" s="11">
        <f>IF(D166="","",SUMIFS(RaceResults!$C:$C,RaceResults!$A:$A,$A166,RaceResults!$D:$D,D166))</f>
        <v>9</v>
      </c>
      <c r="J166" s="11">
        <f>IF(E166="","",SUMIFS(RaceResults!$C:$C,RaceResults!$A:$A,$A166,RaceResults!$D:$D,E166))</f>
        <v>18</v>
      </c>
      <c r="K166" s="11">
        <f>IF(F166="","",SUMIFS(RaceResults!$C:$C,RaceResults!$A:$A,$A166,RaceResults!$D:$D,F166))</f>
        <v>17</v>
      </c>
      <c r="L166" s="11">
        <f>IF(D166="","",SUMIFS(RaceResults!$E:$E,RaceResults!$A:$A,$A166,RaceResults!$D:$D,D166))</f>
        <v>28</v>
      </c>
      <c r="M166" s="11">
        <f>IF(E166="","",SUMIFS(RaceResults!$E:$E,RaceResults!$A:$A,$A166,RaceResults!$D:$D,E166))</f>
        <v>19</v>
      </c>
      <c r="N166" s="11">
        <f>IF(F166="","",SUMIFS(RaceResults!$E:$E,RaceResults!$A:$A,$A166,RaceResults!$D:$D,F166))</f>
        <v>20</v>
      </c>
      <c r="O166" s="11">
        <f t="shared" si="2"/>
        <v>67</v>
      </c>
    </row>
    <row r="167" spans="1:15" x14ac:dyDescent="0.3">
      <c r="A167" s="9">
        <v>17</v>
      </c>
      <c r="B167" s="9" t="s">
        <v>82</v>
      </c>
      <c r="C167" s="10" t="s">
        <v>28</v>
      </c>
      <c r="D167" s="3">
        <v>97</v>
      </c>
      <c r="E167" s="3">
        <v>45</v>
      </c>
      <c r="F167" s="3">
        <v>5</v>
      </c>
      <c r="G167" s="3"/>
      <c r="H167" s="3"/>
      <c r="I167" s="11">
        <f>IF(D167="","",SUMIFS(RaceResults!$C:$C,RaceResults!$A:$A,$A167,RaceResults!$D:$D,D167))</f>
        <v>37</v>
      </c>
      <c r="J167" s="11">
        <f>IF(E167="","",SUMIFS(RaceResults!$C:$C,RaceResults!$A:$A,$A167,RaceResults!$D:$D,E167))</f>
        <v>25</v>
      </c>
      <c r="K167" s="11">
        <f>IF(F167="","",SUMIFS(RaceResults!$C:$C,RaceResults!$A:$A,$A167,RaceResults!$D:$D,F167))</f>
        <v>3</v>
      </c>
      <c r="L167" s="11">
        <f>IF(D167="","",SUMIFS(RaceResults!$E:$E,RaceResults!$A:$A,$A167,RaceResults!$D:$D,D167))</f>
        <v>1</v>
      </c>
      <c r="M167" s="11">
        <f>IF(E167="","",SUMIFS(RaceResults!$E:$E,RaceResults!$A:$A,$A167,RaceResults!$D:$D,E167))</f>
        <v>12</v>
      </c>
      <c r="N167" s="11">
        <f>IF(F167="","",SUMIFS(RaceResults!$E:$E,RaceResults!$A:$A,$A167,RaceResults!$D:$D,F167))</f>
        <v>34</v>
      </c>
      <c r="O167" s="11">
        <f t="shared" si="2"/>
        <v>47</v>
      </c>
    </row>
    <row r="168" spans="1:15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3"/>
      <c r="H168" s="3"/>
      <c r="I168" s="11" t="str">
        <f>IF(D168="","",SUMIFS(RaceResults!$C:$C,RaceResults!$A:$A,$A168,RaceResults!$D:$D,D168))</f>
        <v/>
      </c>
      <c r="J168" s="11" t="str">
        <f>IF(E168="","",SUMIFS(RaceResults!$C:$C,RaceResults!$A:$A,$A168,RaceResults!$D:$D,E168))</f>
        <v/>
      </c>
      <c r="K168" s="11" t="str">
        <f>IF(F168="","",SUMIFS(RaceResults!$C:$C,RaceResults!$A:$A,$A168,RaceResults!$D:$D,F168))</f>
        <v/>
      </c>
      <c r="L168" s="11" t="str">
        <f>IF(D168="","",SUMIFS(RaceResults!$E:$E,RaceResults!$A:$A,$A168,RaceResults!$D:$D,D168))</f>
        <v/>
      </c>
      <c r="M168" s="11" t="str">
        <f>IF(E168="","",SUMIFS(RaceResults!$E:$E,RaceResults!$A:$A,$A168,RaceResults!$D:$D,E168))</f>
        <v/>
      </c>
      <c r="N168" s="11" t="str">
        <f>IF(F168="","",SUMIFS(RaceResults!$E:$E,RaceResults!$A:$A,$A168,RaceResults!$D:$D,F168))</f>
        <v/>
      </c>
      <c r="O168" s="11">
        <f t="shared" si="2"/>
        <v>0</v>
      </c>
    </row>
    <row r="169" spans="1:15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3"/>
      <c r="H169" s="3"/>
      <c r="I169" s="11" t="str">
        <f>IF(D169="","",SUMIFS(RaceResults!$C:$C,RaceResults!$A:$A,$A169,RaceResults!$D:$D,D169))</f>
        <v/>
      </c>
      <c r="J169" s="11" t="str">
        <f>IF(E169="","",SUMIFS(RaceResults!$C:$C,RaceResults!$A:$A,$A169,RaceResults!$D:$D,E169))</f>
        <v/>
      </c>
      <c r="K169" s="11" t="str">
        <f>IF(F169="","",SUMIFS(RaceResults!$C:$C,RaceResults!$A:$A,$A169,RaceResults!$D:$D,F169))</f>
        <v/>
      </c>
      <c r="L169" s="11" t="str">
        <f>IF(D169="","",SUMIFS(RaceResults!$E:$E,RaceResults!$A:$A,$A169,RaceResults!$D:$D,D169))</f>
        <v/>
      </c>
      <c r="M169" s="11" t="str">
        <f>IF(E169="","",SUMIFS(RaceResults!$E:$E,RaceResults!$A:$A,$A169,RaceResults!$D:$D,E169))</f>
        <v/>
      </c>
      <c r="N169" s="11" t="str">
        <f>IF(F169="","",SUMIFS(RaceResults!$E:$E,RaceResults!$A:$A,$A169,RaceResults!$D:$D,F169))</f>
        <v/>
      </c>
      <c r="O169" s="11">
        <f t="shared" si="2"/>
        <v>0</v>
      </c>
    </row>
    <row r="170" spans="1:15" x14ac:dyDescent="0.3">
      <c r="A170" s="9">
        <v>17</v>
      </c>
      <c r="B170" s="9" t="s">
        <v>82</v>
      </c>
      <c r="C170" s="10" t="s">
        <v>31</v>
      </c>
      <c r="D170" s="3">
        <v>97</v>
      </c>
      <c r="E170" s="3">
        <v>88</v>
      </c>
      <c r="F170" s="3">
        <v>12</v>
      </c>
      <c r="G170" s="3"/>
      <c r="H170" s="3"/>
      <c r="I170" s="11">
        <f>IF(D170="","",SUMIFS(RaceResults!$C:$C,RaceResults!$A:$A,$A170,RaceResults!$D:$D,D170))</f>
        <v>37</v>
      </c>
      <c r="J170" s="11">
        <f>IF(E170="","",SUMIFS(RaceResults!$C:$C,RaceResults!$A:$A,$A170,RaceResults!$D:$D,E170))</f>
        <v>0</v>
      </c>
      <c r="K170" s="11">
        <f>IF(F170="","",SUMIFS(RaceResults!$C:$C,RaceResults!$A:$A,$A170,RaceResults!$D:$D,F170))</f>
        <v>9</v>
      </c>
      <c r="L170" s="11">
        <f>IF(D170="","",SUMIFS(RaceResults!$E:$E,RaceResults!$A:$A,$A170,RaceResults!$D:$D,D170))</f>
        <v>1</v>
      </c>
      <c r="M170" s="11">
        <f>IF(E170="","",SUMIFS(RaceResults!$E:$E,RaceResults!$A:$A,$A170,RaceResults!$D:$D,E170))</f>
        <v>0</v>
      </c>
      <c r="N170" s="11">
        <f>IF(F170="","",SUMIFS(RaceResults!$E:$E,RaceResults!$A:$A,$A170,RaceResults!$D:$D,F170))</f>
        <v>28</v>
      </c>
      <c r="O170" s="11">
        <f t="shared" si="2"/>
        <v>29</v>
      </c>
    </row>
    <row r="171" spans="1:15" x14ac:dyDescent="0.3">
      <c r="A171" s="9">
        <v>17</v>
      </c>
      <c r="B171" s="9" t="s">
        <v>82</v>
      </c>
      <c r="C171" s="10" t="s">
        <v>32</v>
      </c>
      <c r="D171" s="3">
        <v>97</v>
      </c>
      <c r="E171" s="3">
        <v>38</v>
      </c>
      <c r="F171" s="3">
        <v>12</v>
      </c>
      <c r="G171" s="3"/>
      <c r="H171" s="3"/>
      <c r="I171" s="11">
        <f>IF(D171="","",SUMIFS(RaceResults!$C:$C,RaceResults!$A:$A,$A171,RaceResults!$D:$D,D171))</f>
        <v>37</v>
      </c>
      <c r="J171" s="11">
        <f>IF(E171="","",SUMIFS(RaceResults!$C:$C,RaceResults!$A:$A,$A171,RaceResults!$D:$D,E171))</f>
        <v>4</v>
      </c>
      <c r="K171" s="11">
        <f>IF(F171="","",SUMIFS(RaceResults!$C:$C,RaceResults!$A:$A,$A171,RaceResults!$D:$D,F171))</f>
        <v>9</v>
      </c>
      <c r="L171" s="11">
        <f>IF(D171="","",SUMIFS(RaceResults!$E:$E,RaceResults!$A:$A,$A171,RaceResults!$D:$D,D171))</f>
        <v>1</v>
      </c>
      <c r="M171" s="11">
        <f>IF(E171="","",SUMIFS(RaceResults!$E:$E,RaceResults!$A:$A,$A171,RaceResults!$D:$D,E171))</f>
        <v>33</v>
      </c>
      <c r="N171" s="11">
        <f>IF(F171="","",SUMIFS(RaceResults!$E:$E,RaceResults!$A:$A,$A171,RaceResults!$D:$D,F171))</f>
        <v>28</v>
      </c>
      <c r="O171" s="11">
        <f t="shared" si="2"/>
        <v>62</v>
      </c>
    </row>
    <row r="172" spans="1:15" x14ac:dyDescent="0.3">
      <c r="A172" s="9">
        <v>18</v>
      </c>
      <c r="B172" s="9" t="s">
        <v>84</v>
      </c>
      <c r="C172" s="10" t="s">
        <v>21</v>
      </c>
      <c r="D172" s="3">
        <v>97</v>
      </c>
      <c r="E172" s="3">
        <v>5</v>
      </c>
      <c r="F172" s="3">
        <v>11</v>
      </c>
      <c r="G172" s="3">
        <v>1</v>
      </c>
      <c r="H172" s="3">
        <v>54</v>
      </c>
      <c r="I172" s="11">
        <f>IF(D172="","",SUMIFS(RaceResults!$C:$C,RaceResults!$A:$A,$A172,RaceResults!$D:$D,D172))</f>
        <v>1</v>
      </c>
      <c r="J172" s="11">
        <f>IF(E172="","",SUMIFS(RaceResults!$C:$C,RaceResults!$A:$A,$A172,RaceResults!$D:$D,E172))</f>
        <v>4</v>
      </c>
      <c r="K172" s="11">
        <f>IF(F172="","",SUMIFS(RaceResults!$C:$C,RaceResults!$A:$A,$A172,RaceResults!$D:$D,F172))</f>
        <v>26</v>
      </c>
      <c r="L172" s="11">
        <f>IF(D172="","",SUMIFS(RaceResults!$E:$E,RaceResults!$A:$A,$A172,RaceResults!$D:$D,D172))</f>
        <v>55</v>
      </c>
      <c r="M172" s="11">
        <f>IF(E172="","",SUMIFS(RaceResults!$E:$E,RaceResults!$A:$A,$A172,RaceResults!$D:$D,E172))</f>
        <v>33</v>
      </c>
      <c r="N172" s="11">
        <f>IF(F172="","",SUMIFS(RaceResults!$E:$E,RaceResults!$A:$A,$A172,RaceResults!$D:$D,F172))</f>
        <v>11</v>
      </c>
      <c r="O172" s="11">
        <f t="shared" si="2"/>
        <v>99</v>
      </c>
    </row>
    <row r="173" spans="1:15" x14ac:dyDescent="0.3">
      <c r="A173" s="9">
        <v>18</v>
      </c>
      <c r="B173" s="9" t="s">
        <v>84</v>
      </c>
      <c r="C173" s="10" t="s">
        <v>22</v>
      </c>
      <c r="D173" s="3">
        <v>5</v>
      </c>
      <c r="E173" s="3">
        <v>97</v>
      </c>
      <c r="F173" s="3">
        <v>11</v>
      </c>
      <c r="G173" s="3">
        <v>77</v>
      </c>
      <c r="H173" s="3">
        <v>1</v>
      </c>
      <c r="I173" s="11">
        <f>IF(D173="","",SUMIFS(RaceResults!$C:$C,RaceResults!$A:$A,$A173,RaceResults!$D:$D,D173))</f>
        <v>4</v>
      </c>
      <c r="J173" s="11">
        <f>IF(E173="","",SUMIFS(RaceResults!$C:$C,RaceResults!$A:$A,$A173,RaceResults!$D:$D,E173))</f>
        <v>1</v>
      </c>
      <c r="K173" s="11">
        <f>IF(F173="","",SUMIFS(RaceResults!$C:$C,RaceResults!$A:$A,$A173,RaceResults!$D:$D,F173))</f>
        <v>26</v>
      </c>
      <c r="L173" s="11">
        <f>IF(D173="","",SUMIFS(RaceResults!$E:$E,RaceResults!$A:$A,$A173,RaceResults!$D:$D,D173))</f>
        <v>33</v>
      </c>
      <c r="M173" s="11">
        <f>IF(E173="","",SUMIFS(RaceResults!$E:$E,RaceResults!$A:$A,$A173,RaceResults!$D:$D,E173))</f>
        <v>55</v>
      </c>
      <c r="N173" s="11">
        <f>IF(F173="","",SUMIFS(RaceResults!$E:$E,RaceResults!$A:$A,$A173,RaceResults!$D:$D,F173))</f>
        <v>11</v>
      </c>
      <c r="O173" s="11">
        <f t="shared" si="2"/>
        <v>99</v>
      </c>
    </row>
    <row r="174" spans="1:15" x14ac:dyDescent="0.3">
      <c r="A174" s="9">
        <v>18</v>
      </c>
      <c r="B174" s="9" t="s">
        <v>84</v>
      </c>
      <c r="C174" s="10" t="s">
        <v>25</v>
      </c>
      <c r="D174" s="3">
        <v>97</v>
      </c>
      <c r="E174" s="3">
        <v>54</v>
      </c>
      <c r="F174" s="3">
        <v>71</v>
      </c>
      <c r="G174" s="3">
        <v>5</v>
      </c>
      <c r="H174" s="3">
        <v>19</v>
      </c>
      <c r="I174" s="11">
        <f>IF(D174="","",SUMIFS(RaceResults!$C:$C,RaceResults!$A:$A,$A174,RaceResults!$D:$D,D174))</f>
        <v>1</v>
      </c>
      <c r="J174" s="11">
        <f>IF(E174="","",SUMIFS(RaceResults!$C:$C,RaceResults!$A:$A,$A174,RaceResults!$D:$D,E174))</f>
        <v>3</v>
      </c>
      <c r="K174" s="11">
        <f>IF(F174="","",SUMIFS(RaceResults!$C:$C,RaceResults!$A:$A,$A174,RaceResults!$D:$D,F174))</f>
        <v>9</v>
      </c>
      <c r="L174" s="11">
        <f>IF(D174="","",SUMIFS(RaceResults!$E:$E,RaceResults!$A:$A,$A174,RaceResults!$D:$D,D174))</f>
        <v>55</v>
      </c>
      <c r="M174" s="11">
        <f>IF(E174="","",SUMIFS(RaceResults!$E:$E,RaceResults!$A:$A,$A174,RaceResults!$D:$D,E174))</f>
        <v>34</v>
      </c>
      <c r="N174" s="11">
        <f>IF(F174="","",SUMIFS(RaceResults!$E:$E,RaceResults!$A:$A,$A174,RaceResults!$D:$D,F174))</f>
        <v>28</v>
      </c>
      <c r="O174" s="11">
        <f t="shared" si="2"/>
        <v>117</v>
      </c>
    </row>
    <row r="175" spans="1:15" x14ac:dyDescent="0.3">
      <c r="A175" s="9">
        <v>18</v>
      </c>
      <c r="B175" s="9" t="s">
        <v>84</v>
      </c>
      <c r="C175" s="10" t="s">
        <v>26</v>
      </c>
      <c r="D175" s="3">
        <v>97</v>
      </c>
      <c r="E175" s="3">
        <v>5</v>
      </c>
      <c r="F175" s="3">
        <v>54</v>
      </c>
      <c r="G175" s="3">
        <v>71</v>
      </c>
      <c r="H175" s="3">
        <v>45</v>
      </c>
      <c r="I175" s="11">
        <f>IF(D175="","",SUMIFS(RaceResults!$C:$C,RaceResults!$A:$A,$A175,RaceResults!$D:$D,D175))</f>
        <v>1</v>
      </c>
      <c r="J175" s="11">
        <f>IF(E175="","",SUMIFS(RaceResults!$C:$C,RaceResults!$A:$A,$A175,RaceResults!$D:$D,E175))</f>
        <v>4</v>
      </c>
      <c r="K175" s="11">
        <f>IF(F175="","",SUMIFS(RaceResults!$C:$C,RaceResults!$A:$A,$A175,RaceResults!$D:$D,F175))</f>
        <v>3</v>
      </c>
      <c r="L175" s="11">
        <f>IF(D175="","",SUMIFS(RaceResults!$E:$E,RaceResults!$A:$A,$A175,RaceResults!$D:$D,D175))</f>
        <v>55</v>
      </c>
      <c r="M175" s="11">
        <f>IF(E175="","",SUMIFS(RaceResults!$E:$E,RaceResults!$A:$A,$A175,RaceResults!$D:$D,E175))</f>
        <v>33</v>
      </c>
      <c r="N175" s="11">
        <f>IF(F175="","",SUMIFS(RaceResults!$E:$E,RaceResults!$A:$A,$A175,RaceResults!$D:$D,F175))</f>
        <v>34</v>
      </c>
      <c r="O175" s="11">
        <f t="shared" si="2"/>
        <v>122</v>
      </c>
    </row>
    <row r="176" spans="1:15" x14ac:dyDescent="0.3">
      <c r="A176" s="9">
        <v>18</v>
      </c>
      <c r="B176" s="9" t="s">
        <v>84</v>
      </c>
      <c r="C176" s="10" t="s">
        <v>27</v>
      </c>
      <c r="D176" s="3">
        <v>5</v>
      </c>
      <c r="E176" s="3">
        <v>19</v>
      </c>
      <c r="F176" s="3">
        <v>22</v>
      </c>
      <c r="G176" s="3">
        <v>77</v>
      </c>
      <c r="H176" s="3">
        <v>20</v>
      </c>
      <c r="I176" s="11">
        <f>IF(D176="","",SUMIFS(RaceResults!$C:$C,RaceResults!$A:$A,$A176,RaceResults!$D:$D,D176))</f>
        <v>4</v>
      </c>
      <c r="J176" s="11">
        <f>IF(E176="","",SUMIFS(RaceResults!$C:$C,RaceResults!$A:$A,$A176,RaceResults!$D:$D,E176))</f>
        <v>2</v>
      </c>
      <c r="K176" s="11">
        <f>IF(F176="","",SUMIFS(RaceResults!$C:$C,RaceResults!$A:$A,$A176,RaceResults!$D:$D,F176))</f>
        <v>24</v>
      </c>
      <c r="L176" s="11">
        <f>IF(D176="","",SUMIFS(RaceResults!$E:$E,RaceResults!$A:$A,$A176,RaceResults!$D:$D,D176))</f>
        <v>33</v>
      </c>
      <c r="M176" s="11">
        <f>IF(E176="","",SUMIFS(RaceResults!$E:$E,RaceResults!$A:$A,$A176,RaceResults!$D:$D,E176))</f>
        <v>35</v>
      </c>
      <c r="N176" s="11">
        <f>IF(F176="","",SUMIFS(RaceResults!$E:$E,RaceResults!$A:$A,$A176,RaceResults!$D:$D,F176))</f>
        <v>13</v>
      </c>
      <c r="O176" s="11">
        <f t="shared" si="2"/>
        <v>81</v>
      </c>
    </row>
    <row r="177" spans="1:15" x14ac:dyDescent="0.3">
      <c r="A177" s="9">
        <v>18</v>
      </c>
      <c r="B177" s="9" t="s">
        <v>84</v>
      </c>
      <c r="C177" s="10" t="s">
        <v>28</v>
      </c>
      <c r="D177" s="3">
        <v>97</v>
      </c>
      <c r="E177" s="3">
        <v>45</v>
      </c>
      <c r="F177" s="3">
        <v>5</v>
      </c>
      <c r="G177" s="3">
        <v>77</v>
      </c>
      <c r="H177" s="3">
        <v>11</v>
      </c>
      <c r="I177" s="11">
        <f>IF(D177="","",SUMIFS(RaceResults!$C:$C,RaceResults!$A:$A,$A177,RaceResults!$D:$D,D177))</f>
        <v>1</v>
      </c>
      <c r="J177" s="11">
        <f>IF(E177="","",SUMIFS(RaceResults!$C:$C,RaceResults!$A:$A,$A177,RaceResults!$D:$D,E177))</f>
        <v>35</v>
      </c>
      <c r="K177" s="11">
        <f>IF(F177="","",SUMIFS(RaceResults!$C:$C,RaceResults!$A:$A,$A177,RaceResults!$D:$D,F177))</f>
        <v>4</v>
      </c>
      <c r="L177" s="11">
        <f>IF(D177="","",SUMIFS(RaceResults!$E:$E,RaceResults!$A:$A,$A177,RaceResults!$D:$D,D177))</f>
        <v>55</v>
      </c>
      <c r="M177" s="11">
        <f>IF(E177="","",SUMIFS(RaceResults!$E:$E,RaceResults!$A:$A,$A177,RaceResults!$D:$D,E177))</f>
        <v>2</v>
      </c>
      <c r="N177" s="11">
        <f>IF(F177="","",SUMIFS(RaceResults!$E:$E,RaceResults!$A:$A,$A177,RaceResults!$D:$D,F177))</f>
        <v>33</v>
      </c>
      <c r="O177" s="11">
        <f t="shared" si="2"/>
        <v>90</v>
      </c>
    </row>
    <row r="178" spans="1:15" x14ac:dyDescent="0.3">
      <c r="A178" s="9">
        <v>18</v>
      </c>
      <c r="B178" s="9" t="s">
        <v>84</v>
      </c>
      <c r="C178" s="10" t="s">
        <v>29</v>
      </c>
      <c r="D178" s="3">
        <v>5</v>
      </c>
      <c r="E178" s="3">
        <v>24</v>
      </c>
      <c r="F178" s="3">
        <v>9</v>
      </c>
      <c r="G178" s="3">
        <v>77</v>
      </c>
      <c r="H178" s="3">
        <v>71</v>
      </c>
      <c r="I178" s="11">
        <f>IF(D178="","",SUMIFS(RaceResults!$C:$C,RaceResults!$A:$A,$A178,RaceResults!$D:$D,D178))</f>
        <v>4</v>
      </c>
      <c r="J178" s="11">
        <f>IF(E178="","",SUMIFS(RaceResults!$C:$C,RaceResults!$A:$A,$A178,RaceResults!$D:$D,E178))</f>
        <v>12</v>
      </c>
      <c r="K178" s="11">
        <f>IF(F178="","",SUMIFS(RaceResults!$C:$C,RaceResults!$A:$A,$A178,RaceResults!$D:$D,F178))</f>
        <v>17</v>
      </c>
      <c r="L178" s="11">
        <f>IF(D178="","",SUMIFS(RaceResults!$E:$E,RaceResults!$A:$A,$A178,RaceResults!$D:$D,D178))</f>
        <v>33</v>
      </c>
      <c r="M178" s="11">
        <f>IF(E178="","",SUMIFS(RaceResults!$E:$E,RaceResults!$A:$A,$A178,RaceResults!$D:$D,E178))</f>
        <v>25</v>
      </c>
      <c r="N178" s="11">
        <f>IF(F178="","",SUMIFS(RaceResults!$E:$E,RaceResults!$A:$A,$A178,RaceResults!$D:$D,F178))</f>
        <v>20</v>
      </c>
      <c r="O178" s="11">
        <f t="shared" si="2"/>
        <v>78</v>
      </c>
    </row>
    <row r="179" spans="1:15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3"/>
      <c r="H179" s="3"/>
      <c r="I179" s="11" t="str">
        <f>IF(D179="","",SUMIFS(RaceResults!$C:$C,RaceResults!$A:$A,$A179,RaceResults!$D:$D,D179))</f>
        <v/>
      </c>
      <c r="J179" s="11" t="str">
        <f>IF(E179="","",SUMIFS(RaceResults!$C:$C,RaceResults!$A:$A,$A179,RaceResults!$D:$D,E179))</f>
        <v/>
      </c>
      <c r="K179" s="11" t="str">
        <f>IF(F179="","",SUMIFS(RaceResults!$C:$C,RaceResults!$A:$A,$A179,RaceResults!$D:$D,F179))</f>
        <v/>
      </c>
      <c r="L179" s="11" t="str">
        <f>IF(D179="","",SUMIFS(RaceResults!$E:$E,RaceResults!$A:$A,$A179,RaceResults!$D:$D,D179))</f>
        <v/>
      </c>
      <c r="M179" s="11" t="str">
        <f>IF(E179="","",SUMIFS(RaceResults!$E:$E,RaceResults!$A:$A,$A179,RaceResults!$D:$D,E179))</f>
        <v/>
      </c>
      <c r="N179" s="11" t="str">
        <f>IF(F179="","",SUMIFS(RaceResults!$E:$E,RaceResults!$A:$A,$A179,RaceResults!$D:$D,F179))</f>
        <v/>
      </c>
      <c r="O179" s="11">
        <f t="shared" si="2"/>
        <v>0</v>
      </c>
    </row>
    <row r="180" spans="1:15" x14ac:dyDescent="0.3">
      <c r="A180" s="9">
        <v>18</v>
      </c>
      <c r="B180" s="9" t="s">
        <v>84</v>
      </c>
      <c r="C180" s="10" t="s">
        <v>31</v>
      </c>
      <c r="D180" s="3">
        <v>88</v>
      </c>
      <c r="E180" s="3">
        <v>97</v>
      </c>
      <c r="F180" s="3">
        <v>17</v>
      </c>
      <c r="G180" s="3">
        <v>5</v>
      </c>
      <c r="H180" s="3">
        <v>12</v>
      </c>
      <c r="I180" s="11">
        <f>IF(D180="","",SUMIFS(RaceResults!$C:$C,RaceResults!$A:$A,$A180,RaceResults!$D:$D,D180))</f>
        <v>7</v>
      </c>
      <c r="J180" s="11">
        <f>IF(E180="","",SUMIFS(RaceResults!$C:$C,RaceResults!$A:$A,$A180,RaceResults!$D:$D,E180))</f>
        <v>1</v>
      </c>
      <c r="K180" s="11">
        <f>IF(F180="","",SUMIFS(RaceResults!$C:$C,RaceResults!$A:$A,$A180,RaceResults!$D:$D,F180))</f>
        <v>19</v>
      </c>
      <c r="L180" s="11">
        <f>IF(D180="","",SUMIFS(RaceResults!$E:$E,RaceResults!$A:$A,$A180,RaceResults!$D:$D,D180))</f>
        <v>30</v>
      </c>
      <c r="M180" s="11">
        <f>IF(E180="","",SUMIFS(RaceResults!$E:$E,RaceResults!$A:$A,$A180,RaceResults!$D:$D,E180))</f>
        <v>55</v>
      </c>
      <c r="N180" s="11">
        <f>IF(F180="","",SUMIFS(RaceResults!$E:$E,RaceResults!$A:$A,$A180,RaceResults!$D:$D,F180))</f>
        <v>18</v>
      </c>
      <c r="O180" s="11">
        <f t="shared" si="2"/>
        <v>103</v>
      </c>
    </row>
    <row r="181" spans="1:15" x14ac:dyDescent="0.3">
      <c r="A181" s="9">
        <v>18</v>
      </c>
      <c r="B181" s="9" t="s">
        <v>84</v>
      </c>
      <c r="C181" s="10" t="s">
        <v>32</v>
      </c>
      <c r="D181" s="3">
        <v>54</v>
      </c>
      <c r="E181" s="3">
        <v>45</v>
      </c>
      <c r="F181" s="3">
        <v>5</v>
      </c>
      <c r="G181" s="3">
        <v>97</v>
      </c>
      <c r="H181" s="3">
        <v>23</v>
      </c>
      <c r="I181" s="11">
        <f>IF(D181="","",SUMIFS(RaceResults!$C:$C,RaceResults!$A:$A,$A181,RaceResults!$D:$D,D181))</f>
        <v>3</v>
      </c>
      <c r="J181" s="11">
        <f>IF(E181="","",SUMIFS(RaceResults!$C:$C,RaceResults!$A:$A,$A181,RaceResults!$D:$D,E181))</f>
        <v>35</v>
      </c>
      <c r="K181" s="11">
        <f>IF(F181="","",SUMIFS(RaceResults!$C:$C,RaceResults!$A:$A,$A181,RaceResults!$D:$D,F181))</f>
        <v>4</v>
      </c>
      <c r="L181" s="11">
        <f>IF(D181="","",SUMIFS(RaceResults!$E:$E,RaceResults!$A:$A,$A181,RaceResults!$D:$D,D181))</f>
        <v>34</v>
      </c>
      <c r="M181" s="11">
        <f>IF(E181="","",SUMIFS(RaceResults!$E:$E,RaceResults!$A:$A,$A181,RaceResults!$D:$D,E181))</f>
        <v>2</v>
      </c>
      <c r="N181" s="11">
        <f>IF(F181="","",SUMIFS(RaceResults!$E:$E,RaceResults!$A:$A,$A181,RaceResults!$D:$D,F181))</f>
        <v>33</v>
      </c>
      <c r="O181" s="11">
        <f t="shared" si="2"/>
        <v>69</v>
      </c>
    </row>
    <row r="182" spans="1:15" x14ac:dyDescent="0.3">
      <c r="A182" s="9">
        <v>19</v>
      </c>
      <c r="B182" s="9" t="s">
        <v>87</v>
      </c>
      <c r="C182" s="10" t="s">
        <v>21</v>
      </c>
      <c r="D182" s="3">
        <v>11</v>
      </c>
      <c r="E182" s="3">
        <v>5</v>
      </c>
      <c r="F182" s="3">
        <v>54</v>
      </c>
      <c r="G182" s="3">
        <v>9</v>
      </c>
      <c r="H182" s="3">
        <v>17</v>
      </c>
      <c r="I182" s="11">
        <f>IF(D182="","",SUMIFS(RaceResults!$C:$C,RaceResults!$A:$A,$A182,RaceResults!$D:$D,D182))</f>
        <v>3</v>
      </c>
      <c r="J182" s="11">
        <f>IF(E182="","",SUMIFS(RaceResults!$C:$C,RaceResults!$A:$A,$A182,RaceResults!$D:$D,E182))</f>
        <v>34</v>
      </c>
      <c r="K182" s="11">
        <f>IF(F182="","",SUMIFS(RaceResults!$C:$C,RaceResults!$A:$A,$A182,RaceResults!$D:$D,F182))</f>
        <v>8</v>
      </c>
      <c r="L182" s="11">
        <f>IF(D182="","",SUMIFS(RaceResults!$E:$E,RaceResults!$A:$A,$A182,RaceResults!$D:$D,D182))</f>
        <v>34</v>
      </c>
      <c r="M182" s="11">
        <f>IF(E182="","",SUMIFS(RaceResults!$E:$E,RaceResults!$A:$A,$A182,RaceResults!$D:$D,E182))</f>
        <v>3</v>
      </c>
      <c r="N182" s="11">
        <f>IF(F182="","",SUMIFS(RaceResults!$E:$E,RaceResults!$A:$A,$A182,RaceResults!$D:$D,F182))</f>
        <v>29</v>
      </c>
      <c r="O182" s="11">
        <f t="shared" si="2"/>
        <v>66</v>
      </c>
    </row>
    <row r="183" spans="1:15" x14ac:dyDescent="0.3">
      <c r="A183" s="9">
        <v>19</v>
      </c>
      <c r="B183" s="9" t="s">
        <v>87</v>
      </c>
      <c r="C183" s="10" t="s">
        <v>22</v>
      </c>
      <c r="D183" s="3">
        <v>11</v>
      </c>
      <c r="E183" s="3">
        <v>5</v>
      </c>
      <c r="F183" s="3">
        <v>20</v>
      </c>
      <c r="G183" s="3">
        <v>12</v>
      </c>
      <c r="H183" s="3">
        <v>9</v>
      </c>
      <c r="I183" s="11">
        <f>IF(D183="","",SUMIFS(RaceResults!$C:$C,RaceResults!$A:$A,$A183,RaceResults!$D:$D,D183))</f>
        <v>3</v>
      </c>
      <c r="J183" s="11">
        <f>IF(E183="","",SUMIFS(RaceResults!$C:$C,RaceResults!$A:$A,$A183,RaceResults!$D:$D,E183))</f>
        <v>34</v>
      </c>
      <c r="K183" s="11">
        <f>IF(F183="","",SUMIFS(RaceResults!$C:$C,RaceResults!$A:$A,$A183,RaceResults!$D:$D,F183))</f>
        <v>2</v>
      </c>
      <c r="L183" s="11">
        <f>IF(D183="","",SUMIFS(RaceResults!$E:$E,RaceResults!$A:$A,$A183,RaceResults!$D:$D,D183))</f>
        <v>34</v>
      </c>
      <c r="M183" s="11">
        <f>IF(E183="","",SUMIFS(RaceResults!$E:$E,RaceResults!$A:$A,$A183,RaceResults!$D:$D,E183))</f>
        <v>3</v>
      </c>
      <c r="N183" s="11">
        <f>IF(F183="","",SUMIFS(RaceResults!$E:$E,RaceResults!$A:$A,$A183,RaceResults!$D:$D,F183))</f>
        <v>35</v>
      </c>
      <c r="O183" s="11">
        <f t="shared" si="2"/>
        <v>72</v>
      </c>
    </row>
    <row r="184" spans="1:15" x14ac:dyDescent="0.3">
      <c r="A184" s="9">
        <v>19</v>
      </c>
      <c r="B184" s="9" t="s">
        <v>87</v>
      </c>
      <c r="C184" s="10" t="s">
        <v>25</v>
      </c>
      <c r="D184" s="3">
        <v>11</v>
      </c>
      <c r="E184" s="3">
        <v>5</v>
      </c>
      <c r="F184" s="3">
        <v>17</v>
      </c>
      <c r="G184" s="3">
        <v>19</v>
      </c>
      <c r="H184" s="3">
        <v>20</v>
      </c>
      <c r="I184" s="11">
        <f>IF(D184="","",SUMIFS(RaceResults!$C:$C,RaceResults!$A:$A,$A184,RaceResults!$D:$D,D184))</f>
        <v>3</v>
      </c>
      <c r="J184" s="11">
        <f>IF(E184="","",SUMIFS(RaceResults!$C:$C,RaceResults!$A:$A,$A184,RaceResults!$D:$D,E184))</f>
        <v>34</v>
      </c>
      <c r="K184" s="11">
        <f>IF(F184="","",SUMIFS(RaceResults!$C:$C,RaceResults!$A:$A,$A184,RaceResults!$D:$D,F184))</f>
        <v>19</v>
      </c>
      <c r="L184" s="11">
        <f>IF(D184="","",SUMIFS(RaceResults!$E:$E,RaceResults!$A:$A,$A184,RaceResults!$D:$D,D184))</f>
        <v>34</v>
      </c>
      <c r="M184" s="11">
        <f>IF(E184="","",SUMIFS(RaceResults!$E:$E,RaceResults!$A:$A,$A184,RaceResults!$D:$D,E184))</f>
        <v>3</v>
      </c>
      <c r="N184" s="11">
        <f>IF(F184="","",SUMIFS(RaceResults!$E:$E,RaceResults!$A:$A,$A184,RaceResults!$D:$D,F184))</f>
        <v>18</v>
      </c>
      <c r="O184" s="11">
        <f t="shared" si="2"/>
        <v>55</v>
      </c>
    </row>
    <row r="185" spans="1:15" x14ac:dyDescent="0.3">
      <c r="A185" s="9">
        <v>19</v>
      </c>
      <c r="B185" s="9" t="s">
        <v>87</v>
      </c>
      <c r="C185" s="10" t="s">
        <v>26</v>
      </c>
      <c r="D185" s="3">
        <v>11</v>
      </c>
      <c r="E185" s="3">
        <v>5</v>
      </c>
      <c r="F185" s="3">
        <v>12</v>
      </c>
      <c r="G185" s="3">
        <v>45</v>
      </c>
      <c r="H185" s="3">
        <v>54</v>
      </c>
      <c r="I185" s="11">
        <f>IF(D185="","",SUMIFS(RaceResults!$C:$C,RaceResults!$A:$A,$A185,RaceResults!$D:$D,D185))</f>
        <v>3</v>
      </c>
      <c r="J185" s="11">
        <f>IF(E185="","",SUMIFS(RaceResults!$C:$C,RaceResults!$A:$A,$A185,RaceResults!$D:$D,E185))</f>
        <v>34</v>
      </c>
      <c r="K185" s="11">
        <f>IF(F185="","",SUMIFS(RaceResults!$C:$C,RaceResults!$A:$A,$A185,RaceResults!$D:$D,F185))</f>
        <v>7</v>
      </c>
      <c r="L185" s="11">
        <f>IF(D185="","",SUMIFS(RaceResults!$E:$E,RaceResults!$A:$A,$A185,RaceResults!$D:$D,D185))</f>
        <v>34</v>
      </c>
      <c r="M185" s="11">
        <f>IF(E185="","",SUMIFS(RaceResults!$E:$E,RaceResults!$A:$A,$A185,RaceResults!$D:$D,E185))</f>
        <v>3</v>
      </c>
      <c r="N185" s="11">
        <f>IF(F185="","",SUMIFS(RaceResults!$E:$E,RaceResults!$A:$A,$A185,RaceResults!$D:$D,F185))</f>
        <v>30</v>
      </c>
      <c r="O185" s="11">
        <f t="shared" si="2"/>
        <v>67</v>
      </c>
    </row>
    <row r="186" spans="1:15" x14ac:dyDescent="0.3">
      <c r="A186" s="9">
        <v>19</v>
      </c>
      <c r="B186" s="9" t="s">
        <v>87</v>
      </c>
      <c r="C186" s="10" t="s">
        <v>27</v>
      </c>
      <c r="D186" s="3">
        <v>11</v>
      </c>
      <c r="E186" s="3">
        <v>5</v>
      </c>
      <c r="F186" s="3">
        <v>20</v>
      </c>
      <c r="G186" s="3">
        <v>22</v>
      </c>
      <c r="H186" s="3">
        <v>77</v>
      </c>
      <c r="I186" s="11">
        <f>IF(D186="","",SUMIFS(RaceResults!$C:$C,RaceResults!$A:$A,$A186,RaceResults!$D:$D,D186))</f>
        <v>3</v>
      </c>
      <c r="J186" s="11">
        <f>IF(E186="","",SUMIFS(RaceResults!$C:$C,RaceResults!$A:$A,$A186,RaceResults!$D:$D,E186))</f>
        <v>34</v>
      </c>
      <c r="K186" s="11">
        <f>IF(F186="","",SUMIFS(RaceResults!$C:$C,RaceResults!$A:$A,$A186,RaceResults!$D:$D,F186))</f>
        <v>2</v>
      </c>
      <c r="L186" s="11">
        <f>IF(D186="","",SUMIFS(RaceResults!$E:$E,RaceResults!$A:$A,$A186,RaceResults!$D:$D,D186))</f>
        <v>34</v>
      </c>
      <c r="M186" s="11">
        <f>IF(E186="","",SUMIFS(RaceResults!$E:$E,RaceResults!$A:$A,$A186,RaceResults!$D:$D,E186))</f>
        <v>3</v>
      </c>
      <c r="N186" s="11">
        <f>IF(F186="","",SUMIFS(RaceResults!$E:$E,RaceResults!$A:$A,$A186,RaceResults!$D:$D,F186))</f>
        <v>35</v>
      </c>
      <c r="O186" s="11">
        <f t="shared" si="2"/>
        <v>72</v>
      </c>
    </row>
    <row r="187" spans="1:15" x14ac:dyDescent="0.3">
      <c r="A187" s="9">
        <v>19</v>
      </c>
      <c r="B187" s="9" t="s">
        <v>87</v>
      </c>
      <c r="C187" s="10" t="s">
        <v>28</v>
      </c>
      <c r="D187" s="3">
        <v>11</v>
      </c>
      <c r="E187" s="3">
        <v>5</v>
      </c>
      <c r="F187" s="3">
        <v>20</v>
      </c>
      <c r="G187" s="3">
        <v>45</v>
      </c>
      <c r="H187" s="3">
        <v>17</v>
      </c>
      <c r="I187" s="11">
        <f>IF(D187="","",SUMIFS(RaceResults!$C:$C,RaceResults!$A:$A,$A187,RaceResults!$D:$D,D187))</f>
        <v>3</v>
      </c>
      <c r="J187" s="11">
        <f>IF(E187="","",SUMIFS(RaceResults!$C:$C,RaceResults!$A:$A,$A187,RaceResults!$D:$D,E187))</f>
        <v>34</v>
      </c>
      <c r="K187" s="11">
        <f>IF(F187="","",SUMIFS(RaceResults!$C:$C,RaceResults!$A:$A,$A187,RaceResults!$D:$D,F187))</f>
        <v>2</v>
      </c>
      <c r="L187" s="11">
        <f>IF(D187="","",SUMIFS(RaceResults!$E:$E,RaceResults!$A:$A,$A187,RaceResults!$D:$D,D187))</f>
        <v>34</v>
      </c>
      <c r="M187" s="11">
        <f>IF(E187="","",SUMIFS(RaceResults!$E:$E,RaceResults!$A:$A,$A187,RaceResults!$D:$D,E187))</f>
        <v>3</v>
      </c>
      <c r="N187" s="11">
        <f>IF(F187="","",SUMIFS(RaceResults!$E:$E,RaceResults!$A:$A,$A187,RaceResults!$D:$D,F187))</f>
        <v>35</v>
      </c>
      <c r="O187" s="11">
        <f t="shared" si="2"/>
        <v>72</v>
      </c>
    </row>
    <row r="188" spans="1:15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3"/>
      <c r="H188" s="3"/>
      <c r="I188" s="11" t="str">
        <f>IF(D188="","",SUMIFS(RaceResults!$C:$C,RaceResults!$A:$A,$A188,RaceResults!$D:$D,D188))</f>
        <v/>
      </c>
      <c r="J188" s="11" t="str">
        <f>IF(E188="","",SUMIFS(RaceResults!$C:$C,RaceResults!$A:$A,$A188,RaceResults!$D:$D,E188))</f>
        <v/>
      </c>
      <c r="K188" s="11" t="str">
        <f>IF(F188="","",SUMIFS(RaceResults!$C:$C,RaceResults!$A:$A,$A188,RaceResults!$D:$D,F188))</f>
        <v/>
      </c>
      <c r="L188" s="11" t="str">
        <f>IF(D188="","",SUMIFS(RaceResults!$E:$E,RaceResults!$A:$A,$A188,RaceResults!$D:$D,D188))</f>
        <v/>
      </c>
      <c r="M188" s="11" t="str">
        <f>IF(E188="","",SUMIFS(RaceResults!$E:$E,RaceResults!$A:$A,$A188,RaceResults!$D:$D,E188))</f>
        <v/>
      </c>
      <c r="N188" s="11" t="str">
        <f>IF(F188="","",SUMIFS(RaceResults!$E:$E,RaceResults!$A:$A,$A188,RaceResults!$D:$D,F188))</f>
        <v/>
      </c>
      <c r="O188" s="11">
        <f t="shared" si="2"/>
        <v>0</v>
      </c>
    </row>
    <row r="189" spans="1:15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3"/>
      <c r="H189" s="3"/>
      <c r="I189" s="11" t="str">
        <f>IF(D189="","",SUMIFS(RaceResults!$C:$C,RaceResults!$A:$A,$A189,RaceResults!$D:$D,D189))</f>
        <v/>
      </c>
      <c r="J189" s="11" t="str">
        <f>IF(E189="","",SUMIFS(RaceResults!$C:$C,RaceResults!$A:$A,$A189,RaceResults!$D:$D,E189))</f>
        <v/>
      </c>
      <c r="K189" s="11" t="str">
        <f>IF(F189="","",SUMIFS(RaceResults!$C:$C,RaceResults!$A:$A,$A189,RaceResults!$D:$D,F189))</f>
        <v/>
      </c>
      <c r="L189" s="11" t="str">
        <f>IF(D189="","",SUMIFS(RaceResults!$E:$E,RaceResults!$A:$A,$A189,RaceResults!$D:$D,D189))</f>
        <v/>
      </c>
      <c r="M189" s="11" t="str">
        <f>IF(E189="","",SUMIFS(RaceResults!$E:$E,RaceResults!$A:$A,$A189,RaceResults!$D:$D,E189))</f>
        <v/>
      </c>
      <c r="N189" s="11" t="str">
        <f>IF(F189="","",SUMIFS(RaceResults!$E:$E,RaceResults!$A:$A,$A189,RaceResults!$D:$D,F189))</f>
        <v/>
      </c>
      <c r="O189" s="11">
        <f t="shared" si="2"/>
        <v>0</v>
      </c>
    </row>
    <row r="190" spans="1:15" x14ac:dyDescent="0.3">
      <c r="A190" s="9">
        <v>19</v>
      </c>
      <c r="B190" s="9" t="s">
        <v>87</v>
      </c>
      <c r="C190" s="10" t="s">
        <v>31</v>
      </c>
      <c r="D190" s="3">
        <v>20</v>
      </c>
      <c r="E190" s="3">
        <v>5</v>
      </c>
      <c r="F190" s="3">
        <v>11</v>
      </c>
      <c r="G190" s="3">
        <v>54</v>
      </c>
      <c r="H190" s="3">
        <v>12</v>
      </c>
      <c r="I190" s="11">
        <f>IF(D190="","",SUMIFS(RaceResults!$C:$C,RaceResults!$A:$A,$A190,RaceResults!$D:$D,D190))</f>
        <v>2</v>
      </c>
      <c r="J190" s="11">
        <f>IF(E190="","",SUMIFS(RaceResults!$C:$C,RaceResults!$A:$A,$A190,RaceResults!$D:$D,E190))</f>
        <v>34</v>
      </c>
      <c r="K190" s="11">
        <f>IF(F190="","",SUMIFS(RaceResults!$C:$C,RaceResults!$A:$A,$A190,RaceResults!$D:$D,F190))</f>
        <v>3</v>
      </c>
      <c r="L190" s="11">
        <f>IF(D190="","",SUMIFS(RaceResults!$E:$E,RaceResults!$A:$A,$A190,RaceResults!$D:$D,D190))</f>
        <v>35</v>
      </c>
      <c r="M190" s="11">
        <f>IF(E190="","",SUMIFS(RaceResults!$E:$E,RaceResults!$A:$A,$A190,RaceResults!$D:$D,E190))</f>
        <v>3</v>
      </c>
      <c r="N190" s="11">
        <f>IF(F190="","",SUMIFS(RaceResults!$E:$E,RaceResults!$A:$A,$A190,RaceResults!$D:$D,F190))</f>
        <v>34</v>
      </c>
      <c r="O190" s="11">
        <f t="shared" si="2"/>
        <v>72</v>
      </c>
    </row>
    <row r="191" spans="1:15" x14ac:dyDescent="0.3">
      <c r="A191" s="9">
        <v>19</v>
      </c>
      <c r="B191" s="9" t="s">
        <v>87</v>
      </c>
      <c r="C191" s="10" t="s">
        <v>32</v>
      </c>
      <c r="D191" s="3">
        <v>54</v>
      </c>
      <c r="E191" s="3">
        <v>45</v>
      </c>
      <c r="F191" s="3">
        <v>5</v>
      </c>
      <c r="G191" s="3">
        <v>11</v>
      </c>
      <c r="H191" s="3">
        <v>23</v>
      </c>
      <c r="I191" s="11">
        <f>IF(D191="","",SUMIFS(RaceResults!$C:$C,RaceResults!$A:$A,$A191,RaceResults!$D:$D,D191))</f>
        <v>8</v>
      </c>
      <c r="J191" s="11">
        <f>IF(E191="","",SUMIFS(RaceResults!$C:$C,RaceResults!$A:$A,$A191,RaceResults!$D:$D,E191))</f>
        <v>36</v>
      </c>
      <c r="K191" s="11">
        <f>IF(F191="","",SUMIFS(RaceResults!$C:$C,RaceResults!$A:$A,$A191,RaceResults!$D:$D,F191))</f>
        <v>34</v>
      </c>
      <c r="L191" s="11">
        <f>IF(D191="","",SUMIFS(RaceResults!$E:$E,RaceResults!$A:$A,$A191,RaceResults!$D:$D,D191))</f>
        <v>29</v>
      </c>
      <c r="M191" s="11">
        <f>IF(E191="","",SUMIFS(RaceResults!$E:$E,RaceResults!$A:$A,$A191,RaceResults!$D:$D,E191))</f>
        <v>1</v>
      </c>
      <c r="N191" s="11">
        <f>IF(F191="","",SUMIFS(RaceResults!$E:$E,RaceResults!$A:$A,$A191,RaceResults!$D:$D,F191))</f>
        <v>3</v>
      </c>
      <c r="O191" s="11">
        <f t="shared" si="2"/>
        <v>33</v>
      </c>
    </row>
    <row r="192" spans="1:15" x14ac:dyDescent="0.3">
      <c r="A192" s="9">
        <v>20</v>
      </c>
      <c r="B192" s="9" t="s">
        <v>50</v>
      </c>
      <c r="C192" s="10" t="s">
        <v>21</v>
      </c>
      <c r="D192" s="3">
        <v>5</v>
      </c>
      <c r="E192" s="3">
        <v>12</v>
      </c>
      <c r="F192" s="3">
        <v>2</v>
      </c>
      <c r="G192" s="3"/>
      <c r="H192" s="3"/>
      <c r="I192" s="11">
        <f>IF(D192="","",SUMIFS(RaceResults!$C:$C,RaceResults!$A:$A,$A192,RaceResults!$D:$D,D192))</f>
        <v>34</v>
      </c>
      <c r="J192" s="11">
        <f>IF(E192="","",SUMIFS(RaceResults!$C:$C,RaceResults!$A:$A,$A192,RaceResults!$D:$D,E192))</f>
        <v>1</v>
      </c>
      <c r="K192" s="11">
        <f>IF(F192="","",SUMIFS(RaceResults!$C:$C,RaceResults!$A:$A,$A192,RaceResults!$D:$D,F192))</f>
        <v>14</v>
      </c>
      <c r="L192" s="11">
        <f>IF(D192="","",SUMIFS(RaceResults!$E:$E,RaceResults!$A:$A,$A192,RaceResults!$D:$D,D192))</f>
        <v>3</v>
      </c>
      <c r="M192" s="11">
        <f>IF(E192="","",SUMIFS(RaceResults!$E:$E,RaceResults!$A:$A,$A192,RaceResults!$D:$D,E192))</f>
        <v>55</v>
      </c>
      <c r="N192" s="11">
        <f>IF(F192="","",SUMIFS(RaceResults!$E:$E,RaceResults!$A:$A,$A192,RaceResults!$D:$D,F192))</f>
        <v>23</v>
      </c>
      <c r="O192" s="11">
        <f t="shared" si="2"/>
        <v>81</v>
      </c>
    </row>
    <row r="193" spans="1:15" x14ac:dyDescent="0.3">
      <c r="A193" s="9">
        <v>20</v>
      </c>
      <c r="B193" s="9" t="s">
        <v>50</v>
      </c>
      <c r="C193" s="10" t="s">
        <v>22</v>
      </c>
      <c r="D193" s="3">
        <v>5</v>
      </c>
      <c r="E193" s="3">
        <v>12</v>
      </c>
      <c r="F193" s="3">
        <v>7</v>
      </c>
      <c r="G193" s="3"/>
      <c r="H193" s="3"/>
      <c r="I193" s="11">
        <f>IF(D193="","",SUMIFS(RaceResults!$C:$C,RaceResults!$A:$A,$A193,RaceResults!$D:$D,D193))</f>
        <v>34</v>
      </c>
      <c r="J193" s="11">
        <f>IF(E193="","",SUMIFS(RaceResults!$C:$C,RaceResults!$A:$A,$A193,RaceResults!$D:$D,E193))</f>
        <v>1</v>
      </c>
      <c r="K193" s="11">
        <f>IF(F193="","",SUMIFS(RaceResults!$C:$C,RaceResults!$A:$A,$A193,RaceResults!$D:$D,F193))</f>
        <v>21</v>
      </c>
      <c r="L193" s="11">
        <f>IF(D193="","",SUMIFS(RaceResults!$E:$E,RaceResults!$A:$A,$A193,RaceResults!$D:$D,D193))</f>
        <v>3</v>
      </c>
      <c r="M193" s="11">
        <f>IF(E193="","",SUMIFS(RaceResults!$E:$E,RaceResults!$A:$A,$A193,RaceResults!$D:$D,E193))</f>
        <v>55</v>
      </c>
      <c r="N193" s="11">
        <f>IF(F193="","",SUMIFS(RaceResults!$E:$E,RaceResults!$A:$A,$A193,RaceResults!$D:$D,F193))</f>
        <v>16</v>
      </c>
      <c r="O193" s="11">
        <f t="shared" si="2"/>
        <v>74</v>
      </c>
    </row>
    <row r="194" spans="1:15" x14ac:dyDescent="0.3">
      <c r="A194" s="9">
        <v>20</v>
      </c>
      <c r="B194" s="9" t="s">
        <v>50</v>
      </c>
      <c r="C194" s="10" t="s">
        <v>25</v>
      </c>
      <c r="D194" s="3">
        <v>9</v>
      </c>
      <c r="E194" s="3">
        <v>12</v>
      </c>
      <c r="F194" s="3">
        <v>48</v>
      </c>
      <c r="G194" s="3"/>
      <c r="H194" s="3"/>
      <c r="I194" s="11">
        <f>IF(D194="","",SUMIFS(RaceResults!$C:$C,RaceResults!$A:$A,$A194,RaceResults!$D:$D,D194))</f>
        <v>13</v>
      </c>
      <c r="J194" s="11">
        <f>IF(E194="","",SUMIFS(RaceResults!$C:$C,RaceResults!$A:$A,$A194,RaceResults!$D:$D,E194))</f>
        <v>1</v>
      </c>
      <c r="K194" s="11">
        <f>IF(F194="","",SUMIFS(RaceResults!$C:$C,RaceResults!$A:$A,$A194,RaceResults!$D:$D,F194))</f>
        <v>22</v>
      </c>
      <c r="L194" s="11">
        <f>IF(D194="","",SUMIFS(RaceResults!$E:$E,RaceResults!$A:$A,$A194,RaceResults!$D:$D,D194))</f>
        <v>24</v>
      </c>
      <c r="M194" s="11">
        <f>IF(E194="","",SUMIFS(RaceResults!$E:$E,RaceResults!$A:$A,$A194,RaceResults!$D:$D,E194))</f>
        <v>55</v>
      </c>
      <c r="N194" s="11">
        <f>IF(F194="","",SUMIFS(RaceResults!$E:$E,RaceResults!$A:$A,$A194,RaceResults!$D:$D,F194))</f>
        <v>15</v>
      </c>
      <c r="O194" s="11">
        <f t="shared" ref="O194:O257" si="3">SUM(L194:N194)</f>
        <v>94</v>
      </c>
    </row>
    <row r="195" spans="1:15" x14ac:dyDescent="0.3">
      <c r="A195" s="9">
        <v>20</v>
      </c>
      <c r="B195" s="9" t="s">
        <v>50</v>
      </c>
      <c r="C195" s="10" t="s">
        <v>26</v>
      </c>
      <c r="D195" s="3">
        <v>12</v>
      </c>
      <c r="E195" s="3">
        <v>5</v>
      </c>
      <c r="F195" s="3">
        <v>9</v>
      </c>
      <c r="G195" s="3"/>
      <c r="H195" s="3"/>
      <c r="I195" s="11">
        <f>IF(D195="","",SUMIFS(RaceResults!$C:$C,RaceResults!$A:$A,$A195,RaceResults!$D:$D,D195))</f>
        <v>1</v>
      </c>
      <c r="J195" s="11">
        <f>IF(E195="","",SUMIFS(RaceResults!$C:$C,RaceResults!$A:$A,$A195,RaceResults!$D:$D,E195))</f>
        <v>34</v>
      </c>
      <c r="K195" s="11">
        <f>IF(F195="","",SUMIFS(RaceResults!$C:$C,RaceResults!$A:$A,$A195,RaceResults!$D:$D,F195))</f>
        <v>13</v>
      </c>
      <c r="L195" s="11">
        <f>IF(D195="","",SUMIFS(RaceResults!$E:$E,RaceResults!$A:$A,$A195,RaceResults!$D:$D,D195))</f>
        <v>55</v>
      </c>
      <c r="M195" s="11">
        <f>IF(E195="","",SUMIFS(RaceResults!$E:$E,RaceResults!$A:$A,$A195,RaceResults!$D:$D,E195))</f>
        <v>3</v>
      </c>
      <c r="N195" s="11">
        <f>IF(F195="","",SUMIFS(RaceResults!$E:$E,RaceResults!$A:$A,$A195,RaceResults!$D:$D,F195))</f>
        <v>24</v>
      </c>
      <c r="O195" s="11">
        <f t="shared" si="3"/>
        <v>82</v>
      </c>
    </row>
    <row r="196" spans="1:15" x14ac:dyDescent="0.3">
      <c r="A196" s="9">
        <v>20</v>
      </c>
      <c r="B196" s="9" t="s">
        <v>50</v>
      </c>
      <c r="C196" s="10" t="s">
        <v>27</v>
      </c>
      <c r="D196" s="3">
        <v>22</v>
      </c>
      <c r="E196" s="3">
        <v>7</v>
      </c>
      <c r="F196" s="3">
        <v>12</v>
      </c>
      <c r="G196" s="3"/>
      <c r="H196" s="3"/>
      <c r="I196" s="11">
        <f>IF(D196="","",SUMIFS(RaceResults!$C:$C,RaceResults!$A:$A,$A196,RaceResults!$D:$D,D196))</f>
        <v>9</v>
      </c>
      <c r="J196" s="11">
        <f>IF(E196="","",SUMIFS(RaceResults!$C:$C,RaceResults!$A:$A,$A196,RaceResults!$D:$D,E196))</f>
        <v>21</v>
      </c>
      <c r="K196" s="11">
        <f>IF(F196="","",SUMIFS(RaceResults!$C:$C,RaceResults!$A:$A,$A196,RaceResults!$D:$D,F196))</f>
        <v>1</v>
      </c>
      <c r="L196" s="11">
        <f>IF(D196="","",SUMIFS(RaceResults!$E:$E,RaceResults!$A:$A,$A196,RaceResults!$D:$D,D196))</f>
        <v>28</v>
      </c>
      <c r="M196" s="11">
        <f>IF(E196="","",SUMIFS(RaceResults!$E:$E,RaceResults!$A:$A,$A196,RaceResults!$D:$D,E196))</f>
        <v>16</v>
      </c>
      <c r="N196" s="11">
        <f>IF(F196="","",SUMIFS(RaceResults!$E:$E,RaceResults!$A:$A,$A196,RaceResults!$D:$D,F196))</f>
        <v>55</v>
      </c>
      <c r="O196" s="11">
        <f t="shared" si="3"/>
        <v>99</v>
      </c>
    </row>
    <row r="197" spans="1:15" x14ac:dyDescent="0.3">
      <c r="A197" s="9">
        <v>20</v>
      </c>
      <c r="B197" s="9" t="s">
        <v>50</v>
      </c>
      <c r="C197" s="10" t="s">
        <v>28</v>
      </c>
      <c r="D197" s="3">
        <v>12</v>
      </c>
      <c r="E197" s="3">
        <v>11</v>
      </c>
      <c r="F197" s="3">
        <v>20</v>
      </c>
      <c r="G197" s="3"/>
      <c r="H197" s="3"/>
      <c r="I197" s="11">
        <f>IF(D197="","",SUMIFS(RaceResults!$C:$C,RaceResults!$A:$A,$A197,RaceResults!$D:$D,D197))</f>
        <v>1</v>
      </c>
      <c r="J197" s="11">
        <f>IF(E197="","",SUMIFS(RaceResults!$C:$C,RaceResults!$A:$A,$A197,RaceResults!$D:$D,E197))</f>
        <v>12</v>
      </c>
      <c r="K197" s="11">
        <f>IF(F197="","",SUMIFS(RaceResults!$C:$C,RaceResults!$A:$A,$A197,RaceResults!$D:$D,F197))</f>
        <v>2</v>
      </c>
      <c r="L197" s="11">
        <f>IF(D197="","",SUMIFS(RaceResults!$E:$E,RaceResults!$A:$A,$A197,RaceResults!$D:$D,D197))</f>
        <v>55</v>
      </c>
      <c r="M197" s="11">
        <f>IF(E197="","",SUMIFS(RaceResults!$E:$E,RaceResults!$A:$A,$A197,RaceResults!$D:$D,E197))</f>
        <v>25</v>
      </c>
      <c r="N197" s="11">
        <f>IF(F197="","",SUMIFS(RaceResults!$E:$E,RaceResults!$A:$A,$A197,RaceResults!$D:$D,F197))</f>
        <v>35</v>
      </c>
      <c r="O197" s="11">
        <f t="shared" si="3"/>
        <v>115</v>
      </c>
    </row>
    <row r="198" spans="1:15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3"/>
      <c r="H198" s="3"/>
      <c r="I198" s="11" t="str">
        <f>IF(D198="","",SUMIFS(RaceResults!$C:$C,RaceResults!$A:$A,$A198,RaceResults!$D:$D,D198))</f>
        <v/>
      </c>
      <c r="J198" s="11" t="str">
        <f>IF(E198="","",SUMIFS(RaceResults!$C:$C,RaceResults!$A:$A,$A198,RaceResults!$D:$D,E198))</f>
        <v/>
      </c>
      <c r="K198" s="11" t="str">
        <f>IF(F198="","",SUMIFS(RaceResults!$C:$C,RaceResults!$A:$A,$A198,RaceResults!$D:$D,F198))</f>
        <v/>
      </c>
      <c r="L198" s="11" t="str">
        <f>IF(D198="","",SUMIFS(RaceResults!$E:$E,RaceResults!$A:$A,$A198,RaceResults!$D:$D,D198))</f>
        <v/>
      </c>
      <c r="M198" s="11" t="str">
        <f>IF(E198="","",SUMIFS(RaceResults!$E:$E,RaceResults!$A:$A,$A198,RaceResults!$D:$D,E198))</f>
        <v/>
      </c>
      <c r="N198" s="11" t="str">
        <f>IF(F198="","",SUMIFS(RaceResults!$E:$E,RaceResults!$A:$A,$A198,RaceResults!$D:$D,F198))</f>
        <v/>
      </c>
      <c r="O198" s="11">
        <f t="shared" si="3"/>
        <v>0</v>
      </c>
    </row>
    <row r="199" spans="1:15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3"/>
      <c r="H199" s="3"/>
      <c r="I199" s="11" t="str">
        <f>IF(D199="","",SUMIFS(RaceResults!$C:$C,RaceResults!$A:$A,$A199,RaceResults!$D:$D,D199))</f>
        <v/>
      </c>
      <c r="J199" s="11" t="str">
        <f>IF(E199="","",SUMIFS(RaceResults!$C:$C,RaceResults!$A:$A,$A199,RaceResults!$D:$D,E199))</f>
        <v/>
      </c>
      <c r="K199" s="11" t="str">
        <f>IF(F199="","",SUMIFS(RaceResults!$C:$C,RaceResults!$A:$A,$A199,RaceResults!$D:$D,F199))</f>
        <v/>
      </c>
      <c r="L199" s="11" t="str">
        <f>IF(D199="","",SUMIFS(RaceResults!$E:$E,RaceResults!$A:$A,$A199,RaceResults!$D:$D,D199))</f>
        <v/>
      </c>
      <c r="M199" s="11" t="str">
        <f>IF(E199="","",SUMIFS(RaceResults!$E:$E,RaceResults!$A:$A,$A199,RaceResults!$D:$D,E199))</f>
        <v/>
      </c>
      <c r="N199" s="11" t="str">
        <f>IF(F199="","",SUMIFS(RaceResults!$E:$E,RaceResults!$A:$A,$A199,RaceResults!$D:$D,F199))</f>
        <v/>
      </c>
      <c r="O199" s="11">
        <f t="shared" si="3"/>
        <v>0</v>
      </c>
    </row>
    <row r="200" spans="1:15" x14ac:dyDescent="0.3">
      <c r="A200" s="9">
        <v>20</v>
      </c>
      <c r="B200" s="9" t="s">
        <v>50</v>
      </c>
      <c r="C200" s="10" t="s">
        <v>31</v>
      </c>
      <c r="D200" s="3">
        <v>24</v>
      </c>
      <c r="E200" s="3">
        <v>9</v>
      </c>
      <c r="F200" s="3">
        <v>12</v>
      </c>
      <c r="G200" s="3"/>
      <c r="H200" s="3"/>
      <c r="I200" s="11">
        <f>IF(D200="","",SUMIFS(RaceResults!$C:$C,RaceResults!$A:$A,$A200,RaceResults!$D:$D,D200))</f>
        <v>16</v>
      </c>
      <c r="J200" s="11">
        <f>IF(E200="","",SUMIFS(RaceResults!$C:$C,RaceResults!$A:$A,$A200,RaceResults!$D:$D,E200))</f>
        <v>13</v>
      </c>
      <c r="K200" s="11">
        <f>IF(F200="","",SUMIFS(RaceResults!$C:$C,RaceResults!$A:$A,$A200,RaceResults!$D:$D,F200))</f>
        <v>1</v>
      </c>
      <c r="L200" s="11">
        <f>IF(D200="","",SUMIFS(RaceResults!$E:$E,RaceResults!$A:$A,$A200,RaceResults!$D:$D,D200))</f>
        <v>21</v>
      </c>
      <c r="M200" s="11">
        <f>IF(E200="","",SUMIFS(RaceResults!$E:$E,RaceResults!$A:$A,$A200,RaceResults!$D:$D,E200))</f>
        <v>24</v>
      </c>
      <c r="N200" s="11">
        <f>IF(F200="","",SUMIFS(RaceResults!$E:$E,RaceResults!$A:$A,$A200,RaceResults!$D:$D,F200))</f>
        <v>55</v>
      </c>
      <c r="O200" s="11">
        <f t="shared" si="3"/>
        <v>100</v>
      </c>
    </row>
    <row r="201" spans="1:15" x14ac:dyDescent="0.3">
      <c r="A201" s="9">
        <v>20</v>
      </c>
      <c r="B201" s="9" t="s">
        <v>50</v>
      </c>
      <c r="C201" s="10" t="s">
        <v>32</v>
      </c>
      <c r="D201" s="3">
        <v>54</v>
      </c>
      <c r="E201" s="3">
        <v>45</v>
      </c>
      <c r="F201" s="3">
        <v>5</v>
      </c>
      <c r="G201" s="3"/>
      <c r="H201" s="3"/>
      <c r="I201" s="11">
        <f>IF(D201="","",SUMIFS(RaceResults!$C:$C,RaceResults!$A:$A,$A201,RaceResults!$D:$D,D201))</f>
        <v>4</v>
      </c>
      <c r="J201" s="11">
        <f>IF(E201="","",SUMIFS(RaceResults!$C:$C,RaceResults!$A:$A,$A201,RaceResults!$D:$D,E201))</f>
        <v>8</v>
      </c>
      <c r="K201" s="11">
        <f>IF(F201="","",SUMIFS(RaceResults!$C:$C,RaceResults!$A:$A,$A201,RaceResults!$D:$D,F201))</f>
        <v>34</v>
      </c>
      <c r="L201" s="11">
        <f>IF(D201="","",SUMIFS(RaceResults!$E:$E,RaceResults!$A:$A,$A201,RaceResults!$D:$D,D201))</f>
        <v>33</v>
      </c>
      <c r="M201" s="11">
        <f>IF(E201="","",SUMIFS(RaceResults!$E:$E,RaceResults!$A:$A,$A201,RaceResults!$D:$D,E201))</f>
        <v>29</v>
      </c>
      <c r="N201" s="11">
        <f>IF(F201="","",SUMIFS(RaceResults!$E:$E,RaceResults!$A:$A,$A201,RaceResults!$D:$D,F201))</f>
        <v>3</v>
      </c>
      <c r="O201" s="11">
        <f t="shared" si="3"/>
        <v>65</v>
      </c>
    </row>
    <row r="202" spans="1:15" x14ac:dyDescent="0.3">
      <c r="A202" s="9">
        <v>21</v>
      </c>
      <c r="B202" s="9" t="s">
        <v>90</v>
      </c>
      <c r="C202" s="10" t="s">
        <v>21</v>
      </c>
      <c r="D202" s="3">
        <v>12</v>
      </c>
      <c r="E202" s="3">
        <v>11</v>
      </c>
      <c r="F202" s="3">
        <v>97</v>
      </c>
      <c r="G202" s="3"/>
      <c r="H202" s="3"/>
      <c r="I202" s="11">
        <f>IF(D202="","",SUMIFS(RaceResults!$C:$C,RaceResults!$A:$A,$A202,RaceResults!$D:$D,D202))</f>
        <v>11</v>
      </c>
      <c r="J202" s="11">
        <f>IF(E202="","",SUMIFS(RaceResults!$C:$C,RaceResults!$A:$A,$A202,RaceResults!$D:$D,E202))</f>
        <v>2</v>
      </c>
      <c r="K202" s="11">
        <f>IF(F202="","",SUMIFS(RaceResults!$C:$C,RaceResults!$A:$A,$A202,RaceResults!$D:$D,F202))</f>
        <v>5</v>
      </c>
      <c r="L202" s="11">
        <f>IF(D202="","",SUMIFS(RaceResults!$E:$E,RaceResults!$A:$A,$A202,RaceResults!$D:$D,D202))</f>
        <v>26</v>
      </c>
      <c r="M202" s="11">
        <f>IF(E202="","",SUMIFS(RaceResults!$E:$E,RaceResults!$A:$A,$A202,RaceResults!$D:$D,E202))</f>
        <v>35</v>
      </c>
      <c r="N202" s="11">
        <f>IF(F202="","",SUMIFS(RaceResults!$E:$E,RaceResults!$A:$A,$A202,RaceResults!$D:$D,F202))</f>
        <v>32</v>
      </c>
      <c r="O202" s="11">
        <f t="shared" si="3"/>
        <v>93</v>
      </c>
    </row>
    <row r="203" spans="1:15" x14ac:dyDescent="0.3">
      <c r="A203" s="9">
        <v>21</v>
      </c>
      <c r="B203" s="9" t="s">
        <v>90</v>
      </c>
      <c r="C203" s="10" t="s">
        <v>22</v>
      </c>
      <c r="D203" s="3">
        <v>11</v>
      </c>
      <c r="E203" s="3">
        <v>77</v>
      </c>
      <c r="F203" s="3">
        <v>45</v>
      </c>
      <c r="G203" s="3"/>
      <c r="H203" s="3"/>
      <c r="I203" s="11">
        <f>IF(D203="","",SUMIFS(RaceResults!$C:$C,RaceResults!$A:$A,$A203,RaceResults!$D:$D,D203))</f>
        <v>2</v>
      </c>
      <c r="J203" s="11">
        <f>IF(E203="","",SUMIFS(RaceResults!$C:$C,RaceResults!$A:$A,$A203,RaceResults!$D:$D,E203))</f>
        <v>13</v>
      </c>
      <c r="K203" s="11">
        <f>IF(F203="","",SUMIFS(RaceResults!$C:$C,RaceResults!$A:$A,$A203,RaceResults!$D:$D,F203))</f>
        <v>30</v>
      </c>
      <c r="L203" s="11">
        <f>IF(D203="","",SUMIFS(RaceResults!$E:$E,RaceResults!$A:$A,$A203,RaceResults!$D:$D,D203))</f>
        <v>35</v>
      </c>
      <c r="M203" s="11">
        <f>IF(E203="","",SUMIFS(RaceResults!$E:$E,RaceResults!$A:$A,$A203,RaceResults!$D:$D,E203))</f>
        <v>24</v>
      </c>
      <c r="N203" s="11">
        <f>IF(F203="","",SUMIFS(RaceResults!$E:$E,RaceResults!$A:$A,$A203,RaceResults!$D:$D,F203))</f>
        <v>7</v>
      </c>
      <c r="O203" s="11">
        <f t="shared" si="3"/>
        <v>66</v>
      </c>
    </row>
    <row r="204" spans="1:15" x14ac:dyDescent="0.3">
      <c r="A204" s="9">
        <v>21</v>
      </c>
      <c r="B204" s="9" t="s">
        <v>90</v>
      </c>
      <c r="C204" s="10" t="s">
        <v>25</v>
      </c>
      <c r="D204" s="3">
        <v>20</v>
      </c>
      <c r="E204" s="3">
        <v>9</v>
      </c>
      <c r="F204" s="3">
        <v>24</v>
      </c>
      <c r="G204" s="3"/>
      <c r="H204" s="3"/>
      <c r="I204" s="11">
        <f>IF(D204="","",SUMIFS(RaceResults!$C:$C,RaceResults!$A:$A,$A204,RaceResults!$D:$D,D204))</f>
        <v>19</v>
      </c>
      <c r="J204" s="11">
        <f>IF(E204="","",SUMIFS(RaceResults!$C:$C,RaceResults!$A:$A,$A204,RaceResults!$D:$D,E204))</f>
        <v>17</v>
      </c>
      <c r="K204" s="11">
        <f>IF(F204="","",SUMIFS(RaceResults!$C:$C,RaceResults!$A:$A,$A204,RaceResults!$D:$D,F204))</f>
        <v>12</v>
      </c>
      <c r="L204" s="11">
        <f>IF(D204="","",SUMIFS(RaceResults!$E:$E,RaceResults!$A:$A,$A204,RaceResults!$D:$D,D204))</f>
        <v>18</v>
      </c>
      <c r="M204" s="11">
        <f>IF(E204="","",SUMIFS(RaceResults!$E:$E,RaceResults!$A:$A,$A204,RaceResults!$D:$D,E204))</f>
        <v>20</v>
      </c>
      <c r="N204" s="11">
        <f>IF(F204="","",SUMIFS(RaceResults!$E:$E,RaceResults!$A:$A,$A204,RaceResults!$D:$D,F204))</f>
        <v>25</v>
      </c>
      <c r="O204" s="11">
        <f t="shared" si="3"/>
        <v>63</v>
      </c>
    </row>
    <row r="205" spans="1:15" x14ac:dyDescent="0.3">
      <c r="A205" s="9">
        <v>21</v>
      </c>
      <c r="B205" s="9" t="s">
        <v>90</v>
      </c>
      <c r="C205" s="10" t="s">
        <v>26</v>
      </c>
      <c r="D205" s="3">
        <v>11</v>
      </c>
      <c r="E205" s="3">
        <v>12</v>
      </c>
      <c r="F205" s="3">
        <v>20</v>
      </c>
      <c r="G205" s="3"/>
      <c r="H205" s="3"/>
      <c r="I205" s="11">
        <f>IF(D205="","",SUMIFS(RaceResults!$C:$C,RaceResults!$A:$A,$A205,RaceResults!$D:$D,D205))</f>
        <v>2</v>
      </c>
      <c r="J205" s="11">
        <f>IF(E205="","",SUMIFS(RaceResults!$C:$C,RaceResults!$A:$A,$A205,RaceResults!$D:$D,E205))</f>
        <v>11</v>
      </c>
      <c r="K205" s="11">
        <f>IF(F205="","",SUMIFS(RaceResults!$C:$C,RaceResults!$A:$A,$A205,RaceResults!$D:$D,F205))</f>
        <v>19</v>
      </c>
      <c r="L205" s="11">
        <f>IF(D205="","",SUMIFS(RaceResults!$E:$E,RaceResults!$A:$A,$A205,RaceResults!$D:$D,D205))</f>
        <v>35</v>
      </c>
      <c r="M205" s="11">
        <f>IF(E205="","",SUMIFS(RaceResults!$E:$E,RaceResults!$A:$A,$A205,RaceResults!$D:$D,E205))</f>
        <v>26</v>
      </c>
      <c r="N205" s="11">
        <f>IF(F205="","",SUMIFS(RaceResults!$E:$E,RaceResults!$A:$A,$A205,RaceResults!$D:$D,F205))</f>
        <v>18</v>
      </c>
      <c r="O205" s="11">
        <f t="shared" si="3"/>
        <v>79</v>
      </c>
    </row>
    <row r="206" spans="1:15" x14ac:dyDescent="0.3">
      <c r="A206" s="9">
        <v>21</v>
      </c>
      <c r="B206" s="9" t="s">
        <v>90</v>
      </c>
      <c r="C206" s="10" t="s">
        <v>27</v>
      </c>
      <c r="D206" s="3">
        <v>12</v>
      </c>
      <c r="E206" s="3">
        <v>20</v>
      </c>
      <c r="F206" s="3">
        <v>22</v>
      </c>
      <c r="G206" s="3"/>
      <c r="H206" s="3"/>
      <c r="I206" s="11">
        <f>IF(D206="","",SUMIFS(RaceResults!$C:$C,RaceResults!$A:$A,$A206,RaceResults!$D:$D,D206))</f>
        <v>11</v>
      </c>
      <c r="J206" s="11">
        <f>IF(E206="","",SUMIFS(RaceResults!$C:$C,RaceResults!$A:$A,$A206,RaceResults!$D:$D,E206))</f>
        <v>19</v>
      </c>
      <c r="K206" s="11">
        <f>IF(F206="","",SUMIFS(RaceResults!$C:$C,RaceResults!$A:$A,$A206,RaceResults!$D:$D,F206))</f>
        <v>1</v>
      </c>
      <c r="L206" s="11">
        <f>IF(D206="","",SUMIFS(RaceResults!$E:$E,RaceResults!$A:$A,$A206,RaceResults!$D:$D,D206))</f>
        <v>26</v>
      </c>
      <c r="M206" s="11">
        <f>IF(E206="","",SUMIFS(RaceResults!$E:$E,RaceResults!$A:$A,$A206,RaceResults!$D:$D,E206))</f>
        <v>18</v>
      </c>
      <c r="N206" s="11">
        <f>IF(F206="","",SUMIFS(RaceResults!$E:$E,RaceResults!$A:$A,$A206,RaceResults!$D:$D,F206))</f>
        <v>55</v>
      </c>
      <c r="O206" s="11">
        <f t="shared" si="3"/>
        <v>99</v>
      </c>
    </row>
    <row r="207" spans="1:15" x14ac:dyDescent="0.3">
      <c r="A207" s="9">
        <v>21</v>
      </c>
      <c r="B207" s="9" t="s">
        <v>90</v>
      </c>
      <c r="C207" s="10" t="s">
        <v>28</v>
      </c>
      <c r="D207" s="3">
        <v>20</v>
      </c>
      <c r="E207" s="3">
        <v>12</v>
      </c>
      <c r="F207" s="3">
        <v>54</v>
      </c>
      <c r="G207" s="3"/>
      <c r="H207" s="3"/>
      <c r="I207" s="11">
        <f>IF(D207="","",SUMIFS(RaceResults!$C:$C,RaceResults!$A:$A,$A207,RaceResults!$D:$D,D207))</f>
        <v>19</v>
      </c>
      <c r="J207" s="11">
        <f>IF(E207="","",SUMIFS(RaceResults!$C:$C,RaceResults!$A:$A,$A207,RaceResults!$D:$D,E207))</f>
        <v>11</v>
      </c>
      <c r="K207" s="11">
        <f>IF(F207="","",SUMIFS(RaceResults!$C:$C,RaceResults!$A:$A,$A207,RaceResults!$D:$D,F207))</f>
        <v>4</v>
      </c>
      <c r="L207" s="11">
        <f>IF(D207="","",SUMIFS(RaceResults!$E:$E,RaceResults!$A:$A,$A207,RaceResults!$D:$D,D207))</f>
        <v>18</v>
      </c>
      <c r="M207" s="11">
        <f>IF(E207="","",SUMIFS(RaceResults!$E:$E,RaceResults!$A:$A,$A207,RaceResults!$D:$D,E207))</f>
        <v>26</v>
      </c>
      <c r="N207" s="11">
        <f>IF(F207="","",SUMIFS(RaceResults!$E:$E,RaceResults!$A:$A,$A207,RaceResults!$D:$D,F207))</f>
        <v>33</v>
      </c>
      <c r="O207" s="11">
        <f t="shared" si="3"/>
        <v>77</v>
      </c>
    </row>
    <row r="208" spans="1:15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3"/>
      <c r="H208" s="3"/>
      <c r="I208" s="11" t="str">
        <f>IF(D208="","",SUMIFS(RaceResults!$C:$C,RaceResults!$A:$A,$A208,RaceResults!$D:$D,D208))</f>
        <v/>
      </c>
      <c r="J208" s="11" t="str">
        <f>IF(E208="","",SUMIFS(RaceResults!$C:$C,RaceResults!$A:$A,$A208,RaceResults!$D:$D,E208))</f>
        <v/>
      </c>
      <c r="K208" s="11" t="str">
        <f>IF(F208="","",SUMIFS(RaceResults!$C:$C,RaceResults!$A:$A,$A208,RaceResults!$D:$D,F208))</f>
        <v/>
      </c>
      <c r="L208" s="11" t="str">
        <f>IF(D208="","",SUMIFS(RaceResults!$E:$E,RaceResults!$A:$A,$A208,RaceResults!$D:$D,D208))</f>
        <v/>
      </c>
      <c r="M208" s="11" t="str">
        <f>IF(E208="","",SUMIFS(RaceResults!$E:$E,RaceResults!$A:$A,$A208,RaceResults!$D:$D,E208))</f>
        <v/>
      </c>
      <c r="N208" s="11" t="str">
        <f>IF(F208="","",SUMIFS(RaceResults!$E:$E,RaceResults!$A:$A,$A208,RaceResults!$D:$D,F208))</f>
        <v/>
      </c>
      <c r="O208" s="11">
        <f t="shared" si="3"/>
        <v>0</v>
      </c>
    </row>
    <row r="209" spans="1:15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3"/>
      <c r="H209" s="3"/>
      <c r="I209" s="11" t="str">
        <f>IF(D209="","",SUMIFS(RaceResults!$C:$C,RaceResults!$A:$A,$A209,RaceResults!$D:$D,D209))</f>
        <v/>
      </c>
      <c r="J209" s="11" t="str">
        <f>IF(E209="","",SUMIFS(RaceResults!$C:$C,RaceResults!$A:$A,$A209,RaceResults!$D:$D,E209))</f>
        <v/>
      </c>
      <c r="K209" s="11" t="str">
        <f>IF(F209="","",SUMIFS(RaceResults!$C:$C,RaceResults!$A:$A,$A209,RaceResults!$D:$D,F209))</f>
        <v/>
      </c>
      <c r="L209" s="11" t="str">
        <f>IF(D209="","",SUMIFS(RaceResults!$E:$E,RaceResults!$A:$A,$A209,RaceResults!$D:$D,D209))</f>
        <v/>
      </c>
      <c r="M209" s="11" t="str">
        <f>IF(E209="","",SUMIFS(RaceResults!$E:$E,RaceResults!$A:$A,$A209,RaceResults!$D:$D,E209))</f>
        <v/>
      </c>
      <c r="N209" s="11" t="str">
        <f>IF(F209="","",SUMIFS(RaceResults!$E:$E,RaceResults!$A:$A,$A209,RaceResults!$D:$D,F209))</f>
        <v/>
      </c>
      <c r="O209" s="11">
        <f t="shared" si="3"/>
        <v>0</v>
      </c>
    </row>
    <row r="210" spans="1:15" x14ac:dyDescent="0.3">
      <c r="A210" s="9">
        <v>21</v>
      </c>
      <c r="B210" s="9" t="s">
        <v>90</v>
      </c>
      <c r="C210" s="10" t="s">
        <v>31</v>
      </c>
      <c r="D210" s="3">
        <v>20</v>
      </c>
      <c r="E210" s="3">
        <v>54</v>
      </c>
      <c r="F210" s="3">
        <v>12</v>
      </c>
      <c r="G210" s="3"/>
      <c r="H210" s="3"/>
      <c r="I210" s="11">
        <f>IF(D210="","",SUMIFS(RaceResults!$C:$C,RaceResults!$A:$A,$A210,RaceResults!$D:$D,D210))</f>
        <v>19</v>
      </c>
      <c r="J210" s="11">
        <f>IF(E210="","",SUMIFS(RaceResults!$C:$C,RaceResults!$A:$A,$A210,RaceResults!$D:$D,E210))</f>
        <v>4</v>
      </c>
      <c r="K210" s="11">
        <f>IF(F210="","",SUMIFS(RaceResults!$C:$C,RaceResults!$A:$A,$A210,RaceResults!$D:$D,F210))</f>
        <v>11</v>
      </c>
      <c r="L210" s="11">
        <f>IF(D210="","",SUMIFS(RaceResults!$E:$E,RaceResults!$A:$A,$A210,RaceResults!$D:$D,D210))</f>
        <v>18</v>
      </c>
      <c r="M210" s="11">
        <f>IF(E210="","",SUMIFS(RaceResults!$E:$E,RaceResults!$A:$A,$A210,RaceResults!$D:$D,E210))</f>
        <v>33</v>
      </c>
      <c r="N210" s="11">
        <f>IF(F210="","",SUMIFS(RaceResults!$E:$E,RaceResults!$A:$A,$A210,RaceResults!$D:$D,F210))</f>
        <v>26</v>
      </c>
      <c r="O210" s="11">
        <f t="shared" si="3"/>
        <v>77</v>
      </c>
    </row>
    <row r="211" spans="1:15" x14ac:dyDescent="0.3">
      <c r="A211" s="9">
        <v>21</v>
      </c>
      <c r="B211" s="9" t="s">
        <v>90</v>
      </c>
      <c r="C211" s="10" t="s">
        <v>32</v>
      </c>
      <c r="D211" s="3">
        <v>54</v>
      </c>
      <c r="E211" s="3">
        <v>45</v>
      </c>
      <c r="F211" s="3">
        <v>11</v>
      </c>
      <c r="G211" s="3"/>
      <c r="H211" s="3"/>
      <c r="I211" s="11">
        <f>IF(D211="","",SUMIFS(RaceResults!$C:$C,RaceResults!$A:$A,$A211,RaceResults!$D:$D,D211))</f>
        <v>4</v>
      </c>
      <c r="J211" s="11">
        <f>IF(E211="","",SUMIFS(RaceResults!$C:$C,RaceResults!$A:$A,$A211,RaceResults!$D:$D,E211))</f>
        <v>30</v>
      </c>
      <c r="K211" s="11">
        <f>IF(F211="","",SUMIFS(RaceResults!$C:$C,RaceResults!$A:$A,$A211,RaceResults!$D:$D,F211))</f>
        <v>2</v>
      </c>
      <c r="L211" s="11">
        <f>IF(D211="","",SUMIFS(RaceResults!$E:$E,RaceResults!$A:$A,$A211,RaceResults!$D:$D,D211))</f>
        <v>33</v>
      </c>
      <c r="M211" s="11">
        <f>IF(E211="","",SUMIFS(RaceResults!$E:$E,RaceResults!$A:$A,$A211,RaceResults!$D:$D,E211))</f>
        <v>7</v>
      </c>
      <c r="N211" s="11">
        <f>IF(F211="","",SUMIFS(RaceResults!$E:$E,RaceResults!$A:$A,$A211,RaceResults!$D:$D,F211))</f>
        <v>35</v>
      </c>
      <c r="O211" s="11">
        <f t="shared" si="3"/>
        <v>75</v>
      </c>
    </row>
    <row r="212" spans="1:15" x14ac:dyDescent="0.3">
      <c r="A212" s="9">
        <v>22</v>
      </c>
      <c r="B212" s="9" t="s">
        <v>92</v>
      </c>
      <c r="C212" s="10" t="s">
        <v>21</v>
      </c>
      <c r="D212" s="3">
        <v>77</v>
      </c>
      <c r="E212" s="3">
        <v>5</v>
      </c>
      <c r="F212" s="3">
        <v>45</v>
      </c>
      <c r="G212" s="3"/>
      <c r="H212" s="3"/>
      <c r="I212" s="11">
        <f>IF(D212="","",SUMIFS(RaceResults!$C:$C,RaceResults!$A:$A,$A212,RaceResults!$D:$D,D212))</f>
        <v>9</v>
      </c>
      <c r="J212" s="11">
        <f>IF(E212="","",SUMIFS(RaceResults!$C:$C,RaceResults!$A:$A,$A212,RaceResults!$D:$D,E212))</f>
        <v>39</v>
      </c>
      <c r="K212" s="11">
        <f>IF(F212="","",SUMIFS(RaceResults!$C:$C,RaceResults!$A:$A,$A212,RaceResults!$D:$D,F212))</f>
        <v>10</v>
      </c>
      <c r="L212" s="11">
        <f>IF(D212="","",SUMIFS(RaceResults!$E:$E,RaceResults!$A:$A,$A212,RaceResults!$D:$D,D212))</f>
        <v>28</v>
      </c>
      <c r="M212" s="11">
        <f>IF(E212="","",SUMIFS(RaceResults!$E:$E,RaceResults!$A:$A,$A212,RaceResults!$D:$D,E212))</f>
        <v>1</v>
      </c>
      <c r="N212" s="11">
        <f>IF(F212="","",SUMIFS(RaceResults!$E:$E,RaceResults!$A:$A,$A212,RaceResults!$D:$D,F212))</f>
        <v>27</v>
      </c>
      <c r="O212" s="11">
        <f t="shared" si="3"/>
        <v>56</v>
      </c>
    </row>
    <row r="213" spans="1:15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3"/>
      <c r="H213" s="3"/>
      <c r="I213" s="11" t="str">
        <f>IF(D213="","",SUMIFS(RaceResults!$C:$C,RaceResults!$A:$A,$A213,RaceResults!$D:$D,D213))</f>
        <v/>
      </c>
      <c r="J213" s="11" t="str">
        <f>IF(E213="","",SUMIFS(RaceResults!$C:$C,RaceResults!$A:$A,$A213,RaceResults!$D:$D,E213))</f>
        <v/>
      </c>
      <c r="K213" s="11" t="str">
        <f>IF(F213="","",SUMIFS(RaceResults!$C:$C,RaceResults!$A:$A,$A213,RaceResults!$D:$D,F213))</f>
        <v/>
      </c>
      <c r="L213" s="11" t="str">
        <f>IF(D213="","",SUMIFS(RaceResults!$E:$E,RaceResults!$A:$A,$A213,RaceResults!$D:$D,D213))</f>
        <v/>
      </c>
      <c r="M213" s="11" t="str">
        <f>IF(E213="","",SUMIFS(RaceResults!$E:$E,RaceResults!$A:$A,$A213,RaceResults!$D:$D,E213))</f>
        <v/>
      </c>
      <c r="N213" s="11" t="str">
        <f>IF(F213="","",SUMIFS(RaceResults!$E:$E,RaceResults!$A:$A,$A213,RaceResults!$D:$D,F213))</f>
        <v/>
      </c>
      <c r="O213" s="11">
        <f t="shared" si="3"/>
        <v>0</v>
      </c>
    </row>
    <row r="214" spans="1:15" x14ac:dyDescent="0.3">
      <c r="A214" s="9">
        <v>22</v>
      </c>
      <c r="B214" s="9" t="s">
        <v>92</v>
      </c>
      <c r="C214" s="10" t="s">
        <v>25</v>
      </c>
      <c r="D214" s="3">
        <v>11</v>
      </c>
      <c r="E214" s="3">
        <v>54</v>
      </c>
      <c r="F214" s="3">
        <v>19</v>
      </c>
      <c r="G214" s="3"/>
      <c r="H214" s="3"/>
      <c r="I214" s="11">
        <f>IF(D214="","",SUMIFS(RaceResults!$C:$C,RaceResults!$A:$A,$A214,RaceResults!$D:$D,D214))</f>
        <v>5</v>
      </c>
      <c r="J214" s="11">
        <f>IF(E214="","",SUMIFS(RaceResults!$C:$C,RaceResults!$A:$A,$A214,RaceResults!$D:$D,E214))</f>
        <v>12</v>
      </c>
      <c r="K214" s="11">
        <f>IF(F214="","",SUMIFS(RaceResults!$C:$C,RaceResults!$A:$A,$A214,RaceResults!$D:$D,F214))</f>
        <v>4</v>
      </c>
      <c r="L214" s="11">
        <f>IF(D214="","",SUMIFS(RaceResults!$E:$E,RaceResults!$A:$A,$A214,RaceResults!$D:$D,D214))</f>
        <v>32</v>
      </c>
      <c r="M214" s="11">
        <f>IF(E214="","",SUMIFS(RaceResults!$E:$E,RaceResults!$A:$A,$A214,RaceResults!$D:$D,E214))</f>
        <v>25</v>
      </c>
      <c r="N214" s="11">
        <f>IF(F214="","",SUMIFS(RaceResults!$E:$E,RaceResults!$A:$A,$A214,RaceResults!$D:$D,F214))</f>
        <v>33</v>
      </c>
      <c r="O214" s="11">
        <f t="shared" si="3"/>
        <v>90</v>
      </c>
    </row>
    <row r="215" spans="1:15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3"/>
      <c r="H215" s="3"/>
      <c r="I215" s="11" t="str">
        <f>IF(D215="","",SUMIFS(RaceResults!$C:$C,RaceResults!$A:$A,$A215,RaceResults!$D:$D,D215))</f>
        <v/>
      </c>
      <c r="J215" s="11" t="str">
        <f>IF(E215="","",SUMIFS(RaceResults!$C:$C,RaceResults!$A:$A,$A215,RaceResults!$D:$D,E215))</f>
        <v/>
      </c>
      <c r="K215" s="11" t="str">
        <f>IF(F215="","",SUMIFS(RaceResults!$C:$C,RaceResults!$A:$A,$A215,RaceResults!$D:$D,F215))</f>
        <v/>
      </c>
      <c r="L215" s="11" t="str">
        <f>IF(D215="","",SUMIFS(RaceResults!$E:$E,RaceResults!$A:$A,$A215,RaceResults!$D:$D,D215))</f>
        <v/>
      </c>
      <c r="M215" s="11" t="str">
        <f>IF(E215="","",SUMIFS(RaceResults!$E:$E,RaceResults!$A:$A,$A215,RaceResults!$D:$D,E215))</f>
        <v/>
      </c>
      <c r="N215" s="11" t="str">
        <f>IF(F215="","",SUMIFS(RaceResults!$E:$E,RaceResults!$A:$A,$A215,RaceResults!$D:$D,F215))</f>
        <v/>
      </c>
      <c r="O215" s="11">
        <f t="shared" si="3"/>
        <v>0</v>
      </c>
    </row>
    <row r="216" spans="1:15" x14ac:dyDescent="0.3">
      <c r="A216" s="9">
        <v>22</v>
      </c>
      <c r="B216" s="9" t="s">
        <v>92</v>
      </c>
      <c r="C216" s="10" t="s">
        <v>27</v>
      </c>
      <c r="D216" s="3">
        <v>7</v>
      </c>
      <c r="E216" s="3">
        <v>11</v>
      </c>
      <c r="F216" s="3">
        <v>12</v>
      </c>
      <c r="G216" s="3"/>
      <c r="H216" s="3"/>
      <c r="I216" s="11">
        <f>IF(D216="","",SUMIFS(RaceResults!$C:$C,RaceResults!$A:$A,$A216,RaceResults!$D:$D,D216))</f>
        <v>17</v>
      </c>
      <c r="J216" s="11">
        <f>IF(E216="","",SUMIFS(RaceResults!$C:$C,RaceResults!$A:$A,$A216,RaceResults!$D:$D,E216))</f>
        <v>5</v>
      </c>
      <c r="K216" s="11">
        <f>IF(F216="","",SUMIFS(RaceResults!$C:$C,RaceResults!$A:$A,$A216,RaceResults!$D:$D,F216))</f>
        <v>26</v>
      </c>
      <c r="L216" s="11">
        <f>IF(D216="","",SUMIFS(RaceResults!$E:$E,RaceResults!$A:$A,$A216,RaceResults!$D:$D,D216))</f>
        <v>20</v>
      </c>
      <c r="M216" s="11">
        <f>IF(E216="","",SUMIFS(RaceResults!$E:$E,RaceResults!$A:$A,$A216,RaceResults!$D:$D,E216))</f>
        <v>32</v>
      </c>
      <c r="N216" s="11">
        <f>IF(F216="","",SUMIFS(RaceResults!$E:$E,RaceResults!$A:$A,$A216,RaceResults!$D:$D,F216))</f>
        <v>11</v>
      </c>
      <c r="O216" s="11">
        <f t="shared" si="3"/>
        <v>63</v>
      </c>
    </row>
    <row r="217" spans="1:15" x14ac:dyDescent="0.3">
      <c r="A217" s="9">
        <v>22</v>
      </c>
      <c r="B217" s="9" t="s">
        <v>92</v>
      </c>
      <c r="C217" s="10" t="s">
        <v>28</v>
      </c>
      <c r="D217" s="3">
        <v>20</v>
      </c>
      <c r="E217" s="3">
        <v>11</v>
      </c>
      <c r="F217" s="3">
        <v>45</v>
      </c>
      <c r="G217" s="3"/>
      <c r="H217" s="3"/>
      <c r="I217" s="11">
        <f>IF(D217="","",SUMIFS(RaceResults!$C:$C,RaceResults!$A:$A,$A217,RaceResults!$D:$D,D217))</f>
        <v>2</v>
      </c>
      <c r="J217" s="11">
        <f>IF(E217="","",SUMIFS(RaceResults!$C:$C,RaceResults!$A:$A,$A217,RaceResults!$D:$D,E217))</f>
        <v>5</v>
      </c>
      <c r="K217" s="11">
        <f>IF(F217="","",SUMIFS(RaceResults!$C:$C,RaceResults!$A:$A,$A217,RaceResults!$D:$D,F217))</f>
        <v>10</v>
      </c>
      <c r="L217" s="11">
        <f>IF(D217="","",SUMIFS(RaceResults!$E:$E,RaceResults!$A:$A,$A217,RaceResults!$D:$D,D217))</f>
        <v>35</v>
      </c>
      <c r="M217" s="11">
        <f>IF(E217="","",SUMIFS(RaceResults!$E:$E,RaceResults!$A:$A,$A217,RaceResults!$D:$D,E217))</f>
        <v>32</v>
      </c>
      <c r="N217" s="11">
        <f>IF(F217="","",SUMIFS(RaceResults!$E:$E,RaceResults!$A:$A,$A217,RaceResults!$D:$D,F217))</f>
        <v>27</v>
      </c>
      <c r="O217" s="11">
        <f t="shared" si="3"/>
        <v>94</v>
      </c>
    </row>
    <row r="218" spans="1:15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3"/>
      <c r="H218" s="3"/>
      <c r="I218" s="11" t="str">
        <f>IF(D218="","",SUMIFS(RaceResults!$C:$C,RaceResults!$A:$A,$A218,RaceResults!$D:$D,D218))</f>
        <v/>
      </c>
      <c r="J218" s="11" t="str">
        <f>IF(E218="","",SUMIFS(RaceResults!$C:$C,RaceResults!$A:$A,$A218,RaceResults!$D:$D,E218))</f>
        <v/>
      </c>
      <c r="K218" s="11" t="str">
        <f>IF(F218="","",SUMIFS(RaceResults!$C:$C,RaceResults!$A:$A,$A218,RaceResults!$D:$D,F218))</f>
        <v/>
      </c>
      <c r="L218" s="11" t="str">
        <f>IF(D218="","",SUMIFS(RaceResults!$E:$E,RaceResults!$A:$A,$A218,RaceResults!$D:$D,D218))</f>
        <v/>
      </c>
      <c r="M218" s="11" t="str">
        <f>IF(E218="","",SUMIFS(RaceResults!$E:$E,RaceResults!$A:$A,$A218,RaceResults!$D:$D,E218))</f>
        <v/>
      </c>
      <c r="N218" s="11" t="str">
        <f>IF(F218="","",SUMIFS(RaceResults!$E:$E,RaceResults!$A:$A,$A218,RaceResults!$D:$D,F218))</f>
        <v/>
      </c>
      <c r="O218" s="11">
        <f t="shared" si="3"/>
        <v>0</v>
      </c>
    </row>
    <row r="219" spans="1:15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3"/>
      <c r="H219" s="3"/>
      <c r="I219" s="11" t="str">
        <f>IF(D219="","",SUMIFS(RaceResults!$C:$C,RaceResults!$A:$A,$A219,RaceResults!$D:$D,D219))</f>
        <v/>
      </c>
      <c r="J219" s="11" t="str">
        <f>IF(E219="","",SUMIFS(RaceResults!$C:$C,RaceResults!$A:$A,$A219,RaceResults!$D:$D,E219))</f>
        <v/>
      </c>
      <c r="K219" s="11" t="str">
        <f>IF(F219="","",SUMIFS(RaceResults!$C:$C,RaceResults!$A:$A,$A219,RaceResults!$D:$D,F219))</f>
        <v/>
      </c>
      <c r="L219" s="11" t="str">
        <f>IF(D219="","",SUMIFS(RaceResults!$E:$E,RaceResults!$A:$A,$A219,RaceResults!$D:$D,D219))</f>
        <v/>
      </c>
      <c r="M219" s="11" t="str">
        <f>IF(E219="","",SUMIFS(RaceResults!$E:$E,RaceResults!$A:$A,$A219,RaceResults!$D:$D,E219))</f>
        <v/>
      </c>
      <c r="N219" s="11" t="str">
        <f>IF(F219="","",SUMIFS(RaceResults!$E:$E,RaceResults!$A:$A,$A219,RaceResults!$D:$D,F219))</f>
        <v/>
      </c>
      <c r="O219" s="11">
        <f t="shared" si="3"/>
        <v>0</v>
      </c>
    </row>
    <row r="220" spans="1:15" x14ac:dyDescent="0.3">
      <c r="A220" s="9">
        <v>22</v>
      </c>
      <c r="B220" s="9" t="s">
        <v>92</v>
      </c>
      <c r="C220" s="10" t="s">
        <v>31</v>
      </c>
      <c r="D220" s="3">
        <v>54</v>
      </c>
      <c r="E220" s="3">
        <v>20</v>
      </c>
      <c r="F220" s="3">
        <v>11</v>
      </c>
      <c r="G220" s="3"/>
      <c r="H220" s="3"/>
      <c r="I220" s="11">
        <f>IF(D220="","",SUMIFS(RaceResults!$C:$C,RaceResults!$A:$A,$A220,RaceResults!$D:$D,D220))</f>
        <v>12</v>
      </c>
      <c r="J220" s="11">
        <f>IF(E220="","",SUMIFS(RaceResults!$C:$C,RaceResults!$A:$A,$A220,RaceResults!$D:$D,E220))</f>
        <v>2</v>
      </c>
      <c r="K220" s="11">
        <f>IF(F220="","",SUMIFS(RaceResults!$C:$C,RaceResults!$A:$A,$A220,RaceResults!$D:$D,F220))</f>
        <v>5</v>
      </c>
      <c r="L220" s="11">
        <f>IF(D220="","",SUMIFS(RaceResults!$E:$E,RaceResults!$A:$A,$A220,RaceResults!$D:$D,D220))</f>
        <v>25</v>
      </c>
      <c r="M220" s="11">
        <f>IF(E220="","",SUMIFS(RaceResults!$E:$E,RaceResults!$A:$A,$A220,RaceResults!$D:$D,E220))</f>
        <v>35</v>
      </c>
      <c r="N220" s="11">
        <f>IF(F220="","",SUMIFS(RaceResults!$E:$E,RaceResults!$A:$A,$A220,RaceResults!$D:$D,F220))</f>
        <v>32</v>
      </c>
      <c r="O220" s="11">
        <f t="shared" si="3"/>
        <v>92</v>
      </c>
    </row>
    <row r="221" spans="1:15" x14ac:dyDescent="0.3">
      <c r="A221" s="9">
        <v>22</v>
      </c>
      <c r="B221" s="9" t="s">
        <v>92</v>
      </c>
      <c r="C221" s="10" t="s">
        <v>32</v>
      </c>
      <c r="D221" s="3">
        <v>54</v>
      </c>
      <c r="E221" s="3">
        <v>11</v>
      </c>
      <c r="F221" s="3">
        <v>45</v>
      </c>
      <c r="G221" s="3"/>
      <c r="H221" s="3"/>
      <c r="I221" s="11">
        <f>IF(D221="","",SUMIFS(RaceResults!$C:$C,RaceResults!$A:$A,$A221,RaceResults!$D:$D,D221))</f>
        <v>12</v>
      </c>
      <c r="J221" s="11">
        <f>IF(E221="","",SUMIFS(RaceResults!$C:$C,RaceResults!$A:$A,$A221,RaceResults!$D:$D,E221))</f>
        <v>5</v>
      </c>
      <c r="K221" s="11">
        <f>IF(F221="","",SUMIFS(RaceResults!$C:$C,RaceResults!$A:$A,$A221,RaceResults!$D:$D,F221))</f>
        <v>10</v>
      </c>
      <c r="L221" s="11">
        <f>IF(D221="","",SUMIFS(RaceResults!$E:$E,RaceResults!$A:$A,$A221,RaceResults!$D:$D,D221))</f>
        <v>25</v>
      </c>
      <c r="M221" s="11">
        <f>IF(E221="","",SUMIFS(RaceResults!$E:$E,RaceResults!$A:$A,$A221,RaceResults!$D:$D,E221))</f>
        <v>32</v>
      </c>
      <c r="N221" s="11">
        <f>IF(F221="","",SUMIFS(RaceResults!$E:$E,RaceResults!$A:$A,$A221,RaceResults!$D:$D,F221))</f>
        <v>27</v>
      </c>
      <c r="O221" s="11">
        <f t="shared" si="3"/>
        <v>84</v>
      </c>
    </row>
    <row r="222" spans="1:15" x14ac:dyDescent="0.3">
      <c r="A222" s="9">
        <v>23</v>
      </c>
      <c r="B222" s="9" t="s">
        <v>94</v>
      </c>
      <c r="C222" s="10" t="s">
        <v>21</v>
      </c>
      <c r="D222" s="3">
        <v>12</v>
      </c>
      <c r="E222" s="3">
        <v>5</v>
      </c>
      <c r="F222" s="3">
        <v>45</v>
      </c>
      <c r="G222" s="3"/>
      <c r="H222" s="3"/>
      <c r="I222" s="11">
        <f>IF(D222="","",SUMIFS(RaceResults!$C:$C,RaceResults!$A:$A,$A222,RaceResults!$D:$D,D222))</f>
        <v>3</v>
      </c>
      <c r="J222" s="11">
        <f>IF(E222="","",SUMIFS(RaceResults!$C:$C,RaceResults!$A:$A,$A222,RaceResults!$D:$D,E222))</f>
        <v>33</v>
      </c>
      <c r="K222" s="11">
        <f>IF(F222="","",SUMIFS(RaceResults!$C:$C,RaceResults!$A:$A,$A222,RaceResults!$D:$D,F222))</f>
        <v>36</v>
      </c>
      <c r="L222" s="11">
        <f>IF(D222="","",SUMIFS(RaceResults!$E:$E,RaceResults!$A:$A,$A222,RaceResults!$D:$D,D222))</f>
        <v>34</v>
      </c>
      <c r="M222" s="11">
        <f>IF(E222="","",SUMIFS(RaceResults!$E:$E,RaceResults!$A:$A,$A222,RaceResults!$D:$D,E222))</f>
        <v>4</v>
      </c>
      <c r="N222" s="11">
        <f>IF(F222="","",SUMIFS(RaceResults!$E:$E,RaceResults!$A:$A,$A222,RaceResults!$D:$D,F222))</f>
        <v>1</v>
      </c>
      <c r="O222" s="11">
        <f t="shared" si="3"/>
        <v>39</v>
      </c>
    </row>
    <row r="223" spans="1:15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3"/>
      <c r="H223" s="3"/>
      <c r="I223" s="11" t="str">
        <f>IF(D223="","",SUMIFS(RaceResults!$C:$C,RaceResults!$A:$A,$A223,RaceResults!$D:$D,D223))</f>
        <v/>
      </c>
      <c r="J223" s="11" t="str">
        <f>IF(E223="","",SUMIFS(RaceResults!$C:$C,RaceResults!$A:$A,$A223,RaceResults!$D:$D,E223))</f>
        <v/>
      </c>
      <c r="K223" s="11" t="str">
        <f>IF(F223="","",SUMIFS(RaceResults!$C:$C,RaceResults!$A:$A,$A223,RaceResults!$D:$D,F223))</f>
        <v/>
      </c>
      <c r="L223" s="11" t="str">
        <f>IF(D223="","",SUMIFS(RaceResults!$E:$E,RaceResults!$A:$A,$A223,RaceResults!$D:$D,D223))</f>
        <v/>
      </c>
      <c r="M223" s="11" t="str">
        <f>IF(E223="","",SUMIFS(RaceResults!$E:$E,RaceResults!$A:$A,$A223,RaceResults!$D:$D,E223))</f>
        <v/>
      </c>
      <c r="N223" s="11" t="str">
        <f>IF(F223="","",SUMIFS(RaceResults!$E:$E,RaceResults!$A:$A,$A223,RaceResults!$D:$D,F223))</f>
        <v/>
      </c>
      <c r="O223" s="11">
        <f t="shared" si="3"/>
        <v>0</v>
      </c>
    </row>
    <row r="224" spans="1:15" x14ac:dyDescent="0.3">
      <c r="A224" s="9">
        <v>23</v>
      </c>
      <c r="B224" s="9" t="s">
        <v>94</v>
      </c>
      <c r="C224" s="10" t="s">
        <v>25</v>
      </c>
      <c r="D224" s="3">
        <v>12</v>
      </c>
      <c r="E224" s="3">
        <v>5</v>
      </c>
      <c r="F224" s="3">
        <v>54</v>
      </c>
      <c r="G224" s="3"/>
      <c r="H224" s="3"/>
      <c r="I224" s="11">
        <f>IF(D224="","",SUMIFS(RaceResults!$C:$C,RaceResults!$A:$A,$A224,RaceResults!$D:$D,D224))</f>
        <v>3</v>
      </c>
      <c r="J224" s="11">
        <f>IF(E224="","",SUMIFS(RaceResults!$C:$C,RaceResults!$A:$A,$A224,RaceResults!$D:$D,E224))</f>
        <v>33</v>
      </c>
      <c r="K224" s="11">
        <f>IF(F224="","",SUMIFS(RaceResults!$C:$C,RaceResults!$A:$A,$A224,RaceResults!$D:$D,F224))</f>
        <v>1</v>
      </c>
      <c r="L224" s="11">
        <f>IF(D224="","",SUMIFS(RaceResults!$E:$E,RaceResults!$A:$A,$A224,RaceResults!$D:$D,D224))</f>
        <v>34</v>
      </c>
      <c r="M224" s="11">
        <f>IF(E224="","",SUMIFS(RaceResults!$E:$E,RaceResults!$A:$A,$A224,RaceResults!$D:$D,E224))</f>
        <v>4</v>
      </c>
      <c r="N224" s="11">
        <f>IF(F224="","",SUMIFS(RaceResults!$E:$E,RaceResults!$A:$A,$A224,RaceResults!$D:$D,F224))</f>
        <v>55</v>
      </c>
      <c r="O224" s="11">
        <f t="shared" si="3"/>
        <v>93</v>
      </c>
    </row>
    <row r="225" spans="1:15" x14ac:dyDescent="0.3">
      <c r="A225" s="9">
        <v>23</v>
      </c>
      <c r="B225" s="9" t="s">
        <v>94</v>
      </c>
      <c r="C225" s="10" t="s">
        <v>26</v>
      </c>
      <c r="D225" s="3">
        <v>12</v>
      </c>
      <c r="E225" s="3">
        <v>45</v>
      </c>
      <c r="F225" s="3">
        <v>54</v>
      </c>
      <c r="G225" s="3"/>
      <c r="H225" s="3"/>
      <c r="I225" s="11">
        <f>IF(D225="","",SUMIFS(RaceResults!$C:$C,RaceResults!$A:$A,$A225,RaceResults!$D:$D,D225))</f>
        <v>3</v>
      </c>
      <c r="J225" s="11">
        <f>IF(E225="","",SUMIFS(RaceResults!$C:$C,RaceResults!$A:$A,$A225,RaceResults!$D:$D,E225))</f>
        <v>36</v>
      </c>
      <c r="K225" s="11">
        <f>IF(F225="","",SUMIFS(RaceResults!$C:$C,RaceResults!$A:$A,$A225,RaceResults!$D:$D,F225))</f>
        <v>1</v>
      </c>
      <c r="L225" s="11">
        <f>IF(D225="","",SUMIFS(RaceResults!$E:$E,RaceResults!$A:$A,$A225,RaceResults!$D:$D,D225))</f>
        <v>34</v>
      </c>
      <c r="M225" s="11">
        <f>IF(E225="","",SUMIFS(RaceResults!$E:$E,RaceResults!$A:$A,$A225,RaceResults!$D:$D,E225))</f>
        <v>1</v>
      </c>
      <c r="N225" s="11">
        <f>IF(F225="","",SUMIFS(RaceResults!$E:$E,RaceResults!$A:$A,$A225,RaceResults!$D:$D,F225))</f>
        <v>55</v>
      </c>
      <c r="O225" s="11">
        <f t="shared" si="3"/>
        <v>90</v>
      </c>
    </row>
    <row r="226" spans="1:15" x14ac:dyDescent="0.3">
      <c r="A226" s="9">
        <v>23</v>
      </c>
      <c r="B226" s="9" t="s">
        <v>94</v>
      </c>
      <c r="C226" s="10" t="s">
        <v>27</v>
      </c>
      <c r="D226" s="3">
        <v>12</v>
      </c>
      <c r="E226" s="3">
        <v>22</v>
      </c>
      <c r="F226" s="3">
        <v>2</v>
      </c>
      <c r="G226" s="3"/>
      <c r="H226" s="3"/>
      <c r="I226" s="11">
        <f>IF(D226="","",SUMIFS(RaceResults!$C:$C,RaceResults!$A:$A,$A226,RaceResults!$D:$D,D226))</f>
        <v>3</v>
      </c>
      <c r="J226" s="11">
        <f>IF(E226="","",SUMIFS(RaceResults!$C:$C,RaceResults!$A:$A,$A226,RaceResults!$D:$D,E226))</f>
        <v>14</v>
      </c>
      <c r="K226" s="11">
        <f>IF(F226="","",SUMIFS(RaceResults!$C:$C,RaceResults!$A:$A,$A226,RaceResults!$D:$D,F226))</f>
        <v>29</v>
      </c>
      <c r="L226" s="11">
        <f>IF(D226="","",SUMIFS(RaceResults!$E:$E,RaceResults!$A:$A,$A226,RaceResults!$D:$D,D226))</f>
        <v>34</v>
      </c>
      <c r="M226" s="11">
        <f>IF(E226="","",SUMIFS(RaceResults!$E:$E,RaceResults!$A:$A,$A226,RaceResults!$D:$D,E226))</f>
        <v>23</v>
      </c>
      <c r="N226" s="11">
        <f>IF(F226="","",SUMIFS(RaceResults!$E:$E,RaceResults!$A:$A,$A226,RaceResults!$D:$D,F226))</f>
        <v>8</v>
      </c>
      <c r="O226" s="11">
        <f t="shared" si="3"/>
        <v>65</v>
      </c>
    </row>
    <row r="227" spans="1:15" x14ac:dyDescent="0.3">
      <c r="A227" s="9">
        <v>23</v>
      </c>
      <c r="B227" s="9" t="s">
        <v>94</v>
      </c>
      <c r="C227" s="10" t="s">
        <v>28</v>
      </c>
      <c r="D227" s="3">
        <v>11</v>
      </c>
      <c r="E227" s="3">
        <v>12</v>
      </c>
      <c r="F227" s="3">
        <v>20</v>
      </c>
      <c r="G227" s="3"/>
      <c r="H227" s="3"/>
      <c r="I227" s="11">
        <f>IF(D227="","",SUMIFS(RaceResults!$C:$C,RaceResults!$A:$A,$A227,RaceResults!$D:$D,D227))</f>
        <v>5</v>
      </c>
      <c r="J227" s="11">
        <f>IF(E227="","",SUMIFS(RaceResults!$C:$C,RaceResults!$A:$A,$A227,RaceResults!$D:$D,E227))</f>
        <v>3</v>
      </c>
      <c r="K227" s="11">
        <f>IF(F227="","",SUMIFS(RaceResults!$C:$C,RaceResults!$A:$A,$A227,RaceResults!$D:$D,F227))</f>
        <v>2</v>
      </c>
      <c r="L227" s="11">
        <f>IF(D227="","",SUMIFS(RaceResults!$E:$E,RaceResults!$A:$A,$A227,RaceResults!$D:$D,D227))</f>
        <v>32</v>
      </c>
      <c r="M227" s="11">
        <f>IF(E227="","",SUMIFS(RaceResults!$E:$E,RaceResults!$A:$A,$A227,RaceResults!$D:$D,E227))</f>
        <v>34</v>
      </c>
      <c r="N227" s="11">
        <f>IF(F227="","",SUMIFS(RaceResults!$E:$E,RaceResults!$A:$A,$A227,RaceResults!$D:$D,F227))</f>
        <v>35</v>
      </c>
      <c r="O227" s="11">
        <f t="shared" si="3"/>
        <v>101</v>
      </c>
    </row>
    <row r="228" spans="1:15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3"/>
      <c r="H228" s="3"/>
      <c r="I228" s="11" t="str">
        <f>IF(D228="","",SUMIFS(RaceResults!$C:$C,RaceResults!$A:$A,$A228,RaceResults!$D:$D,D228))</f>
        <v/>
      </c>
      <c r="J228" s="11" t="str">
        <f>IF(E228="","",SUMIFS(RaceResults!$C:$C,RaceResults!$A:$A,$A228,RaceResults!$D:$D,E228))</f>
        <v/>
      </c>
      <c r="K228" s="11" t="str">
        <f>IF(F228="","",SUMIFS(RaceResults!$C:$C,RaceResults!$A:$A,$A228,RaceResults!$D:$D,F228))</f>
        <v/>
      </c>
      <c r="L228" s="11" t="str">
        <f>IF(D228="","",SUMIFS(RaceResults!$E:$E,RaceResults!$A:$A,$A228,RaceResults!$D:$D,D228))</f>
        <v/>
      </c>
      <c r="M228" s="11" t="str">
        <f>IF(E228="","",SUMIFS(RaceResults!$E:$E,RaceResults!$A:$A,$A228,RaceResults!$D:$D,E228))</f>
        <v/>
      </c>
      <c r="N228" s="11" t="str">
        <f>IF(F228="","",SUMIFS(RaceResults!$E:$E,RaceResults!$A:$A,$A228,RaceResults!$D:$D,F228))</f>
        <v/>
      </c>
      <c r="O228" s="11">
        <f t="shared" si="3"/>
        <v>0</v>
      </c>
    </row>
    <row r="229" spans="1:15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3"/>
      <c r="H229" s="3"/>
      <c r="I229" s="11" t="str">
        <f>IF(D229="","",SUMIFS(RaceResults!$C:$C,RaceResults!$A:$A,$A229,RaceResults!$D:$D,D229))</f>
        <v/>
      </c>
      <c r="J229" s="11" t="str">
        <f>IF(E229="","",SUMIFS(RaceResults!$C:$C,RaceResults!$A:$A,$A229,RaceResults!$D:$D,E229))</f>
        <v/>
      </c>
      <c r="K229" s="11" t="str">
        <f>IF(F229="","",SUMIFS(RaceResults!$C:$C,RaceResults!$A:$A,$A229,RaceResults!$D:$D,F229))</f>
        <v/>
      </c>
      <c r="L229" s="11" t="str">
        <f>IF(D229="","",SUMIFS(RaceResults!$E:$E,RaceResults!$A:$A,$A229,RaceResults!$D:$D,D229))</f>
        <v/>
      </c>
      <c r="M229" s="11" t="str">
        <f>IF(E229="","",SUMIFS(RaceResults!$E:$E,RaceResults!$A:$A,$A229,RaceResults!$D:$D,E229))</f>
        <v/>
      </c>
      <c r="N229" s="11" t="str">
        <f>IF(F229="","",SUMIFS(RaceResults!$E:$E,RaceResults!$A:$A,$A229,RaceResults!$D:$D,F229))</f>
        <v/>
      </c>
      <c r="O229" s="11">
        <f t="shared" si="3"/>
        <v>0</v>
      </c>
    </row>
    <row r="230" spans="1:15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3"/>
      <c r="H230" s="3"/>
      <c r="I230" s="11" t="str">
        <f>IF(D230="","",SUMIFS(RaceResults!$C:$C,RaceResults!$A:$A,$A230,RaceResults!$D:$D,D230))</f>
        <v/>
      </c>
      <c r="J230" s="11" t="str">
        <f>IF(E230="","",SUMIFS(RaceResults!$C:$C,RaceResults!$A:$A,$A230,RaceResults!$D:$D,E230))</f>
        <v/>
      </c>
      <c r="K230" s="11" t="str">
        <f>IF(F230="","",SUMIFS(RaceResults!$C:$C,RaceResults!$A:$A,$A230,RaceResults!$D:$D,F230))</f>
        <v/>
      </c>
      <c r="L230" s="11" t="str">
        <f>IF(D230="","",SUMIFS(RaceResults!$E:$E,RaceResults!$A:$A,$A230,RaceResults!$D:$D,D230))</f>
        <v/>
      </c>
      <c r="M230" s="11" t="str">
        <f>IF(E230="","",SUMIFS(RaceResults!$E:$E,RaceResults!$A:$A,$A230,RaceResults!$D:$D,E230))</f>
        <v/>
      </c>
      <c r="N230" s="11" t="str">
        <f>IF(F230="","",SUMIFS(RaceResults!$E:$E,RaceResults!$A:$A,$A230,RaceResults!$D:$D,F230))</f>
        <v/>
      </c>
      <c r="O230" s="11">
        <f t="shared" si="3"/>
        <v>0</v>
      </c>
    </row>
    <row r="231" spans="1:15" x14ac:dyDescent="0.3">
      <c r="A231" s="9">
        <v>23</v>
      </c>
      <c r="B231" s="9" t="s">
        <v>94</v>
      </c>
      <c r="C231" s="10" t="s">
        <v>32</v>
      </c>
      <c r="D231" s="3">
        <v>5</v>
      </c>
      <c r="E231" s="3">
        <v>12</v>
      </c>
      <c r="F231" s="3">
        <v>54</v>
      </c>
      <c r="G231" s="3"/>
      <c r="H231" s="3"/>
      <c r="I231" s="11">
        <f>IF(D231="","",SUMIFS(RaceResults!$C:$C,RaceResults!$A:$A,$A231,RaceResults!$D:$D,D231))</f>
        <v>33</v>
      </c>
      <c r="J231" s="11">
        <f>IF(E231="","",SUMIFS(RaceResults!$C:$C,RaceResults!$A:$A,$A231,RaceResults!$D:$D,E231))</f>
        <v>3</v>
      </c>
      <c r="K231" s="11">
        <f>IF(F231="","",SUMIFS(RaceResults!$C:$C,RaceResults!$A:$A,$A231,RaceResults!$D:$D,F231))</f>
        <v>1</v>
      </c>
      <c r="L231" s="11">
        <f>IF(D231="","",SUMIFS(RaceResults!$E:$E,RaceResults!$A:$A,$A231,RaceResults!$D:$D,D231))</f>
        <v>4</v>
      </c>
      <c r="M231" s="11">
        <f>IF(E231="","",SUMIFS(RaceResults!$E:$E,RaceResults!$A:$A,$A231,RaceResults!$D:$D,E231))</f>
        <v>34</v>
      </c>
      <c r="N231" s="11">
        <f>IF(F231="","",SUMIFS(RaceResults!$E:$E,RaceResults!$A:$A,$A231,RaceResults!$D:$D,F231))</f>
        <v>55</v>
      </c>
      <c r="O231" s="11">
        <f t="shared" si="3"/>
        <v>93</v>
      </c>
    </row>
    <row r="232" spans="1:15" x14ac:dyDescent="0.3">
      <c r="A232" s="9">
        <v>24</v>
      </c>
      <c r="B232" s="9" t="s">
        <v>97</v>
      </c>
      <c r="C232" s="10" t="s">
        <v>21</v>
      </c>
      <c r="D232" s="3">
        <v>12</v>
      </c>
      <c r="E232" s="3">
        <v>24</v>
      </c>
      <c r="F232" s="3">
        <v>11</v>
      </c>
      <c r="G232" s="3"/>
      <c r="H232" s="3"/>
      <c r="I232" s="11">
        <f>IF(D232="","",SUMIFS(RaceResults!$C:$C,RaceResults!$A:$A,$A232,RaceResults!$D:$D,D232))</f>
        <v>13</v>
      </c>
      <c r="J232" s="11">
        <f>IF(E232="","",SUMIFS(RaceResults!$C:$C,RaceResults!$A:$A,$A232,RaceResults!$D:$D,E232))</f>
        <v>9</v>
      </c>
      <c r="K232" s="11">
        <f>IF(F232="","",SUMIFS(RaceResults!$C:$C,RaceResults!$A:$A,$A232,RaceResults!$D:$D,F232))</f>
        <v>4</v>
      </c>
      <c r="L232" s="11">
        <f>IF(D232="","",SUMIFS(RaceResults!$E:$E,RaceResults!$A:$A,$A232,RaceResults!$D:$D,D232))</f>
        <v>24</v>
      </c>
      <c r="M232" s="11">
        <f>IF(E232="","",SUMIFS(RaceResults!$E:$E,RaceResults!$A:$A,$A232,RaceResults!$D:$D,E232))</f>
        <v>28</v>
      </c>
      <c r="N232" s="11">
        <f>IF(F232="","",SUMIFS(RaceResults!$E:$E,RaceResults!$A:$A,$A232,RaceResults!$D:$D,F232))</f>
        <v>33</v>
      </c>
      <c r="O232" s="11">
        <f t="shared" si="3"/>
        <v>85</v>
      </c>
    </row>
    <row r="233" spans="1:15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3"/>
      <c r="H233" s="3"/>
      <c r="I233" s="11" t="str">
        <f>IF(D233="","",SUMIFS(RaceResults!$C:$C,RaceResults!$A:$A,$A233,RaceResults!$D:$D,D233))</f>
        <v/>
      </c>
      <c r="J233" s="11" t="str">
        <f>IF(E233="","",SUMIFS(RaceResults!$C:$C,RaceResults!$A:$A,$A233,RaceResults!$D:$D,E233))</f>
        <v/>
      </c>
      <c r="K233" s="11" t="str">
        <f>IF(F233="","",SUMIFS(RaceResults!$C:$C,RaceResults!$A:$A,$A233,RaceResults!$D:$D,F233))</f>
        <v/>
      </c>
      <c r="L233" s="11" t="str">
        <f>IF(D233="","",SUMIFS(RaceResults!$E:$E,RaceResults!$A:$A,$A233,RaceResults!$D:$D,D233))</f>
        <v/>
      </c>
      <c r="M233" s="11" t="str">
        <f>IF(E233="","",SUMIFS(RaceResults!$E:$E,RaceResults!$A:$A,$A233,RaceResults!$D:$D,E233))</f>
        <v/>
      </c>
      <c r="N233" s="11" t="str">
        <f>IF(F233="","",SUMIFS(RaceResults!$E:$E,RaceResults!$A:$A,$A233,RaceResults!$D:$D,F233))</f>
        <v/>
      </c>
      <c r="O233" s="11">
        <f t="shared" si="3"/>
        <v>0</v>
      </c>
    </row>
    <row r="234" spans="1:15" x14ac:dyDescent="0.3">
      <c r="A234" s="9">
        <v>24</v>
      </c>
      <c r="B234" s="9" t="s">
        <v>97</v>
      </c>
      <c r="C234" s="10" t="s">
        <v>25</v>
      </c>
      <c r="D234" s="3">
        <v>12</v>
      </c>
      <c r="E234" s="3">
        <v>19</v>
      </c>
      <c r="F234" s="3">
        <v>20</v>
      </c>
      <c r="G234" s="3"/>
      <c r="H234" s="3"/>
      <c r="I234" s="11">
        <f>IF(D234="","",SUMIFS(RaceResults!$C:$C,RaceResults!$A:$A,$A234,RaceResults!$D:$D,D234))</f>
        <v>13</v>
      </c>
      <c r="J234" s="11">
        <f>IF(E234="","",SUMIFS(RaceResults!$C:$C,RaceResults!$A:$A,$A234,RaceResults!$D:$D,E234))</f>
        <v>2</v>
      </c>
      <c r="K234" s="11">
        <f>IF(F234="","",SUMIFS(RaceResults!$C:$C,RaceResults!$A:$A,$A234,RaceResults!$D:$D,F234))</f>
        <v>7</v>
      </c>
      <c r="L234" s="11">
        <f>IF(D234="","",SUMIFS(RaceResults!$E:$E,RaceResults!$A:$A,$A234,RaceResults!$D:$D,D234))</f>
        <v>24</v>
      </c>
      <c r="M234" s="11">
        <f>IF(E234="","",SUMIFS(RaceResults!$E:$E,RaceResults!$A:$A,$A234,RaceResults!$D:$D,E234))</f>
        <v>35</v>
      </c>
      <c r="N234" s="11">
        <f>IF(F234="","",SUMIFS(RaceResults!$E:$E,RaceResults!$A:$A,$A234,RaceResults!$D:$D,F234))</f>
        <v>30</v>
      </c>
      <c r="O234" s="11">
        <f t="shared" si="3"/>
        <v>89</v>
      </c>
    </row>
    <row r="235" spans="1:15" x14ac:dyDescent="0.3">
      <c r="A235" s="9">
        <v>24</v>
      </c>
      <c r="B235" s="9" t="s">
        <v>97</v>
      </c>
      <c r="C235" s="10" t="s">
        <v>26</v>
      </c>
      <c r="D235" s="3">
        <v>11</v>
      </c>
      <c r="E235" s="3">
        <v>12</v>
      </c>
      <c r="F235" s="3">
        <v>22</v>
      </c>
      <c r="G235" s="3"/>
      <c r="H235" s="3"/>
      <c r="I235" s="11">
        <f>IF(D235="","",SUMIFS(RaceResults!$C:$C,RaceResults!$A:$A,$A235,RaceResults!$D:$D,D235))</f>
        <v>4</v>
      </c>
      <c r="J235" s="11">
        <f>IF(E235="","",SUMIFS(RaceResults!$C:$C,RaceResults!$A:$A,$A235,RaceResults!$D:$D,E235))</f>
        <v>13</v>
      </c>
      <c r="K235" s="11">
        <f>IF(F235="","",SUMIFS(RaceResults!$C:$C,RaceResults!$A:$A,$A235,RaceResults!$D:$D,F235))</f>
        <v>1</v>
      </c>
      <c r="L235" s="11">
        <f>IF(D235="","",SUMIFS(RaceResults!$E:$E,RaceResults!$A:$A,$A235,RaceResults!$D:$D,D235))</f>
        <v>33</v>
      </c>
      <c r="M235" s="11">
        <f>IF(E235="","",SUMIFS(RaceResults!$E:$E,RaceResults!$A:$A,$A235,RaceResults!$D:$D,E235))</f>
        <v>24</v>
      </c>
      <c r="N235" s="11">
        <f>IF(F235="","",SUMIFS(RaceResults!$E:$E,RaceResults!$A:$A,$A235,RaceResults!$D:$D,F235))</f>
        <v>55</v>
      </c>
      <c r="O235" s="11">
        <f t="shared" si="3"/>
        <v>112</v>
      </c>
    </row>
    <row r="236" spans="1:15" x14ac:dyDescent="0.3">
      <c r="A236" s="9">
        <v>24</v>
      </c>
      <c r="B236" s="9" t="s">
        <v>97</v>
      </c>
      <c r="C236" s="10" t="s">
        <v>27</v>
      </c>
      <c r="D236" s="3">
        <v>12</v>
      </c>
      <c r="E236" s="3">
        <v>20</v>
      </c>
      <c r="F236" s="3">
        <v>22</v>
      </c>
      <c r="G236" s="3"/>
      <c r="H236" s="3"/>
      <c r="I236" s="11">
        <f>IF(D236="","",SUMIFS(RaceResults!$C:$C,RaceResults!$A:$A,$A236,RaceResults!$D:$D,D236))</f>
        <v>13</v>
      </c>
      <c r="J236" s="11">
        <f>IF(E236="","",SUMIFS(RaceResults!$C:$C,RaceResults!$A:$A,$A236,RaceResults!$D:$D,E236))</f>
        <v>7</v>
      </c>
      <c r="K236" s="11">
        <f>IF(F236="","",SUMIFS(RaceResults!$C:$C,RaceResults!$A:$A,$A236,RaceResults!$D:$D,F236))</f>
        <v>1</v>
      </c>
      <c r="L236" s="11">
        <f>IF(D236="","",SUMIFS(RaceResults!$E:$E,RaceResults!$A:$A,$A236,RaceResults!$D:$D,D236))</f>
        <v>24</v>
      </c>
      <c r="M236" s="11">
        <f>IF(E236="","",SUMIFS(RaceResults!$E:$E,RaceResults!$A:$A,$A236,RaceResults!$D:$D,E236))</f>
        <v>30</v>
      </c>
      <c r="N236" s="11">
        <f>IF(F236="","",SUMIFS(RaceResults!$E:$E,RaceResults!$A:$A,$A236,RaceResults!$D:$D,F236))</f>
        <v>55</v>
      </c>
      <c r="O236" s="11">
        <f t="shared" si="3"/>
        <v>109</v>
      </c>
    </row>
    <row r="237" spans="1:15" x14ac:dyDescent="0.3">
      <c r="A237" s="9">
        <v>24</v>
      </c>
      <c r="B237" s="9" t="s">
        <v>97</v>
      </c>
      <c r="C237" s="10" t="s">
        <v>28</v>
      </c>
      <c r="D237" s="3">
        <v>12</v>
      </c>
      <c r="E237" s="3">
        <v>20</v>
      </c>
      <c r="F237" s="3">
        <v>22</v>
      </c>
      <c r="G237" s="3"/>
      <c r="H237" s="3"/>
      <c r="I237" s="11">
        <f>IF(D237="","",SUMIFS(RaceResults!$C:$C,RaceResults!$A:$A,$A237,RaceResults!$D:$D,D237))</f>
        <v>13</v>
      </c>
      <c r="J237" s="11">
        <f>IF(E237="","",SUMIFS(RaceResults!$C:$C,RaceResults!$A:$A,$A237,RaceResults!$D:$D,E237))</f>
        <v>7</v>
      </c>
      <c r="K237" s="11">
        <f>IF(F237="","",SUMIFS(RaceResults!$C:$C,RaceResults!$A:$A,$A237,RaceResults!$D:$D,F237))</f>
        <v>1</v>
      </c>
      <c r="L237" s="11">
        <f>IF(D237="","",SUMIFS(RaceResults!$E:$E,RaceResults!$A:$A,$A237,RaceResults!$D:$D,D237))</f>
        <v>24</v>
      </c>
      <c r="M237" s="11">
        <f>IF(E237="","",SUMIFS(RaceResults!$E:$E,RaceResults!$A:$A,$A237,RaceResults!$D:$D,E237))</f>
        <v>30</v>
      </c>
      <c r="N237" s="11">
        <f>IF(F237="","",SUMIFS(RaceResults!$E:$E,RaceResults!$A:$A,$A237,RaceResults!$D:$D,F237))</f>
        <v>55</v>
      </c>
      <c r="O237" s="11">
        <f t="shared" si="3"/>
        <v>109</v>
      </c>
    </row>
    <row r="238" spans="1:15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3"/>
      <c r="H238" s="3"/>
      <c r="I238" s="11" t="str">
        <f>IF(D238="","",SUMIFS(RaceResults!$C:$C,RaceResults!$A:$A,$A238,RaceResults!$D:$D,D238))</f>
        <v/>
      </c>
      <c r="J238" s="11" t="str">
        <f>IF(E238="","",SUMIFS(RaceResults!$C:$C,RaceResults!$A:$A,$A238,RaceResults!$D:$D,E238))</f>
        <v/>
      </c>
      <c r="K238" s="11" t="str">
        <f>IF(F238="","",SUMIFS(RaceResults!$C:$C,RaceResults!$A:$A,$A238,RaceResults!$D:$D,F238))</f>
        <v/>
      </c>
      <c r="L238" s="11" t="str">
        <f>IF(D238="","",SUMIFS(RaceResults!$E:$E,RaceResults!$A:$A,$A238,RaceResults!$D:$D,D238))</f>
        <v/>
      </c>
      <c r="M238" s="11" t="str">
        <f>IF(E238="","",SUMIFS(RaceResults!$E:$E,RaceResults!$A:$A,$A238,RaceResults!$D:$D,E238))</f>
        <v/>
      </c>
      <c r="N238" s="11" t="str">
        <f>IF(F238="","",SUMIFS(RaceResults!$E:$E,RaceResults!$A:$A,$A238,RaceResults!$D:$D,F238))</f>
        <v/>
      </c>
      <c r="O238" s="11">
        <f t="shared" si="3"/>
        <v>0</v>
      </c>
    </row>
    <row r="239" spans="1:15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3"/>
      <c r="H239" s="3"/>
      <c r="I239" s="11" t="str">
        <f>IF(D239="","",SUMIFS(RaceResults!$C:$C,RaceResults!$A:$A,$A239,RaceResults!$D:$D,D239))</f>
        <v/>
      </c>
      <c r="J239" s="11" t="str">
        <f>IF(E239="","",SUMIFS(RaceResults!$C:$C,RaceResults!$A:$A,$A239,RaceResults!$D:$D,E239))</f>
        <v/>
      </c>
      <c r="K239" s="11" t="str">
        <f>IF(F239="","",SUMIFS(RaceResults!$C:$C,RaceResults!$A:$A,$A239,RaceResults!$D:$D,F239))</f>
        <v/>
      </c>
      <c r="L239" s="11" t="str">
        <f>IF(D239="","",SUMIFS(RaceResults!$E:$E,RaceResults!$A:$A,$A239,RaceResults!$D:$D,D239))</f>
        <v/>
      </c>
      <c r="M239" s="11" t="str">
        <f>IF(E239="","",SUMIFS(RaceResults!$E:$E,RaceResults!$A:$A,$A239,RaceResults!$D:$D,E239))</f>
        <v/>
      </c>
      <c r="N239" s="11" t="str">
        <f>IF(F239="","",SUMIFS(RaceResults!$E:$E,RaceResults!$A:$A,$A239,RaceResults!$D:$D,F239))</f>
        <v/>
      </c>
      <c r="O239" s="11">
        <f t="shared" si="3"/>
        <v>0</v>
      </c>
    </row>
    <row r="240" spans="1:15" x14ac:dyDescent="0.3">
      <c r="A240" s="9">
        <v>24</v>
      </c>
      <c r="B240" s="9" t="s">
        <v>97</v>
      </c>
      <c r="C240" s="10" t="s">
        <v>31</v>
      </c>
      <c r="D240" s="3">
        <v>20</v>
      </c>
      <c r="E240" s="3">
        <v>12</v>
      </c>
      <c r="F240" s="3">
        <v>54</v>
      </c>
      <c r="G240" s="3"/>
      <c r="H240" s="3"/>
      <c r="I240" s="11">
        <f>IF(D240="","",SUMIFS(RaceResults!$C:$C,RaceResults!$A:$A,$A240,RaceResults!$D:$D,D240))</f>
        <v>7</v>
      </c>
      <c r="J240" s="11">
        <f>IF(E240="","",SUMIFS(RaceResults!$C:$C,RaceResults!$A:$A,$A240,RaceResults!$D:$D,E240))</f>
        <v>13</v>
      </c>
      <c r="K240" s="11">
        <f>IF(F240="","",SUMIFS(RaceResults!$C:$C,RaceResults!$A:$A,$A240,RaceResults!$D:$D,F240))</f>
        <v>15</v>
      </c>
      <c r="L240" s="11">
        <f>IF(D240="","",SUMIFS(RaceResults!$E:$E,RaceResults!$A:$A,$A240,RaceResults!$D:$D,D240))</f>
        <v>30</v>
      </c>
      <c r="M240" s="11">
        <f>IF(E240="","",SUMIFS(RaceResults!$E:$E,RaceResults!$A:$A,$A240,RaceResults!$D:$D,E240))</f>
        <v>24</v>
      </c>
      <c r="N240" s="11">
        <f>IF(F240="","",SUMIFS(RaceResults!$E:$E,RaceResults!$A:$A,$A240,RaceResults!$D:$D,F240))</f>
        <v>22</v>
      </c>
      <c r="O240" s="11">
        <f t="shared" si="3"/>
        <v>76</v>
      </c>
    </row>
    <row r="241" spans="1:15" x14ac:dyDescent="0.3">
      <c r="A241" s="9">
        <v>24</v>
      </c>
      <c r="B241" s="9" t="s">
        <v>97</v>
      </c>
      <c r="C241" s="10" t="s">
        <v>32</v>
      </c>
      <c r="D241" s="3">
        <v>54</v>
      </c>
      <c r="E241" s="3">
        <v>12</v>
      </c>
      <c r="F241" s="3">
        <v>24</v>
      </c>
      <c r="G241" s="3"/>
      <c r="H241" s="3"/>
      <c r="I241" s="11">
        <f>IF(D241="","",SUMIFS(RaceResults!$C:$C,RaceResults!$A:$A,$A241,RaceResults!$D:$D,D241))</f>
        <v>15</v>
      </c>
      <c r="J241" s="11">
        <f>IF(E241="","",SUMIFS(RaceResults!$C:$C,RaceResults!$A:$A,$A241,RaceResults!$D:$D,E241))</f>
        <v>13</v>
      </c>
      <c r="K241" s="11">
        <f>IF(F241="","",SUMIFS(RaceResults!$C:$C,RaceResults!$A:$A,$A241,RaceResults!$D:$D,F241))</f>
        <v>9</v>
      </c>
      <c r="L241" s="11">
        <f>IF(D241="","",SUMIFS(RaceResults!$E:$E,RaceResults!$A:$A,$A241,RaceResults!$D:$D,D241))</f>
        <v>22</v>
      </c>
      <c r="M241" s="11">
        <f>IF(E241="","",SUMIFS(RaceResults!$E:$E,RaceResults!$A:$A,$A241,RaceResults!$D:$D,E241))</f>
        <v>24</v>
      </c>
      <c r="N241" s="11">
        <f>IF(F241="","",SUMIFS(RaceResults!$E:$E,RaceResults!$A:$A,$A241,RaceResults!$D:$D,F241))</f>
        <v>28</v>
      </c>
      <c r="O241" s="11">
        <f t="shared" si="3"/>
        <v>74</v>
      </c>
    </row>
    <row r="242" spans="1:15" x14ac:dyDescent="0.3">
      <c r="A242" s="9">
        <v>25</v>
      </c>
      <c r="B242" s="9" t="s">
        <v>99</v>
      </c>
      <c r="C242" s="10" t="s">
        <v>21</v>
      </c>
      <c r="D242" s="3">
        <v>11</v>
      </c>
      <c r="E242" s="3">
        <v>54</v>
      </c>
      <c r="F242" s="3">
        <v>5</v>
      </c>
      <c r="G242" s="3"/>
      <c r="H242" s="3"/>
      <c r="I242" s="11">
        <f>IF(D242="","",SUMIFS(RaceResults!$C:$C,RaceResults!$A:$A,$A242,RaceResults!$D:$D,D242))</f>
        <v>7</v>
      </c>
      <c r="J242" s="11">
        <f>IF(E242="","",SUMIFS(RaceResults!$C:$C,RaceResults!$A:$A,$A242,RaceResults!$D:$D,E242))</f>
        <v>6</v>
      </c>
      <c r="K242" s="11">
        <f>IF(F242="","",SUMIFS(RaceResults!$C:$C,RaceResults!$A:$A,$A242,RaceResults!$D:$D,F242))</f>
        <v>5</v>
      </c>
      <c r="L242" s="11">
        <f>IF(D242="","",SUMIFS(RaceResults!$E:$E,RaceResults!$A:$A,$A242,RaceResults!$D:$D,D242))</f>
        <v>30</v>
      </c>
      <c r="M242" s="11">
        <f>IF(E242="","",SUMIFS(RaceResults!$E:$E,RaceResults!$A:$A,$A242,RaceResults!$D:$D,E242))</f>
        <v>31</v>
      </c>
      <c r="N242" s="11">
        <f>IF(F242="","",SUMIFS(RaceResults!$E:$E,RaceResults!$A:$A,$A242,RaceResults!$D:$D,F242))</f>
        <v>32</v>
      </c>
      <c r="O242" s="11">
        <f t="shared" si="3"/>
        <v>93</v>
      </c>
    </row>
    <row r="243" spans="1:15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3"/>
      <c r="H243" s="3"/>
      <c r="I243" s="11" t="str">
        <f>IF(D243="","",SUMIFS(RaceResults!$C:$C,RaceResults!$A:$A,$A243,RaceResults!$D:$D,D243))</f>
        <v/>
      </c>
      <c r="J243" s="11" t="str">
        <f>IF(E243="","",SUMIFS(RaceResults!$C:$C,RaceResults!$A:$A,$A243,RaceResults!$D:$D,E243))</f>
        <v/>
      </c>
      <c r="K243" s="11" t="str">
        <f>IF(F243="","",SUMIFS(RaceResults!$C:$C,RaceResults!$A:$A,$A243,RaceResults!$D:$D,F243))</f>
        <v/>
      </c>
      <c r="L243" s="11" t="str">
        <f>IF(D243="","",SUMIFS(RaceResults!$E:$E,RaceResults!$A:$A,$A243,RaceResults!$D:$D,D243))</f>
        <v/>
      </c>
      <c r="M243" s="11" t="str">
        <f>IF(E243="","",SUMIFS(RaceResults!$E:$E,RaceResults!$A:$A,$A243,RaceResults!$D:$D,E243))</f>
        <v/>
      </c>
      <c r="N243" s="11" t="str">
        <f>IF(F243="","",SUMIFS(RaceResults!$E:$E,RaceResults!$A:$A,$A243,RaceResults!$D:$D,F243))</f>
        <v/>
      </c>
      <c r="O243" s="11">
        <f t="shared" si="3"/>
        <v>0</v>
      </c>
    </row>
    <row r="244" spans="1:15" x14ac:dyDescent="0.3">
      <c r="A244" s="9">
        <v>25</v>
      </c>
      <c r="B244" s="9" t="s">
        <v>99</v>
      </c>
      <c r="C244" s="10" t="s">
        <v>25</v>
      </c>
      <c r="D244" s="3">
        <v>11</v>
      </c>
      <c r="E244" s="3">
        <v>12</v>
      </c>
      <c r="F244" s="3">
        <v>20</v>
      </c>
      <c r="G244" s="3"/>
      <c r="H244" s="3"/>
      <c r="I244" s="11">
        <f>IF(D244="","",SUMIFS(RaceResults!$C:$C,RaceResults!$A:$A,$A244,RaceResults!$D:$D,D244))</f>
        <v>7</v>
      </c>
      <c r="J244" s="11">
        <f>IF(E244="","",SUMIFS(RaceResults!$C:$C,RaceResults!$A:$A,$A244,RaceResults!$D:$D,E244))</f>
        <v>1</v>
      </c>
      <c r="K244" s="11">
        <f>IF(F244="","",SUMIFS(RaceResults!$C:$C,RaceResults!$A:$A,$A244,RaceResults!$D:$D,F244))</f>
        <v>4</v>
      </c>
      <c r="L244" s="11">
        <f>IF(D244="","",SUMIFS(RaceResults!$E:$E,RaceResults!$A:$A,$A244,RaceResults!$D:$D,D244))</f>
        <v>30</v>
      </c>
      <c r="M244" s="11">
        <f>IF(E244="","",SUMIFS(RaceResults!$E:$E,RaceResults!$A:$A,$A244,RaceResults!$D:$D,E244))</f>
        <v>55</v>
      </c>
      <c r="N244" s="11">
        <f>IF(F244="","",SUMIFS(RaceResults!$E:$E,RaceResults!$A:$A,$A244,RaceResults!$D:$D,F244))</f>
        <v>33</v>
      </c>
      <c r="O244" s="11">
        <f t="shared" si="3"/>
        <v>118</v>
      </c>
    </row>
    <row r="245" spans="1:15" x14ac:dyDescent="0.3">
      <c r="A245" s="9">
        <v>25</v>
      </c>
      <c r="B245" s="9" t="s">
        <v>99</v>
      </c>
      <c r="C245" s="10" t="s">
        <v>26</v>
      </c>
      <c r="D245" s="3">
        <v>12</v>
      </c>
      <c r="E245" s="3">
        <v>11</v>
      </c>
      <c r="F245" s="3">
        <v>22</v>
      </c>
      <c r="G245" s="3"/>
      <c r="H245" s="3"/>
      <c r="I245" s="11">
        <f>IF(D245="","",SUMIFS(RaceResults!$C:$C,RaceResults!$A:$A,$A245,RaceResults!$D:$D,D245))</f>
        <v>1</v>
      </c>
      <c r="J245" s="11">
        <f>IF(E245="","",SUMIFS(RaceResults!$C:$C,RaceResults!$A:$A,$A245,RaceResults!$D:$D,E245))</f>
        <v>7</v>
      </c>
      <c r="K245" s="11">
        <f>IF(F245="","",SUMIFS(RaceResults!$C:$C,RaceResults!$A:$A,$A245,RaceResults!$D:$D,F245))</f>
        <v>14</v>
      </c>
      <c r="L245" s="11">
        <f>IF(D245="","",SUMIFS(RaceResults!$E:$E,RaceResults!$A:$A,$A245,RaceResults!$D:$D,D245))</f>
        <v>55</v>
      </c>
      <c r="M245" s="11">
        <f>IF(E245="","",SUMIFS(RaceResults!$E:$E,RaceResults!$A:$A,$A245,RaceResults!$D:$D,E245))</f>
        <v>30</v>
      </c>
      <c r="N245" s="11">
        <f>IF(F245="","",SUMIFS(RaceResults!$E:$E,RaceResults!$A:$A,$A245,RaceResults!$D:$D,F245))</f>
        <v>23</v>
      </c>
      <c r="O245" s="11">
        <f t="shared" si="3"/>
        <v>108</v>
      </c>
    </row>
    <row r="246" spans="1:15" x14ac:dyDescent="0.3">
      <c r="A246" s="9">
        <v>25</v>
      </c>
      <c r="B246" s="9" t="s">
        <v>99</v>
      </c>
      <c r="C246" s="10" t="s">
        <v>27</v>
      </c>
      <c r="D246" s="3">
        <v>11</v>
      </c>
      <c r="E246" s="3">
        <v>12</v>
      </c>
      <c r="F246" s="3">
        <v>20</v>
      </c>
      <c r="G246" s="3"/>
      <c r="H246" s="3"/>
      <c r="I246" s="11">
        <f>IF(D246="","",SUMIFS(RaceResults!$C:$C,RaceResults!$A:$A,$A246,RaceResults!$D:$D,D246))</f>
        <v>7</v>
      </c>
      <c r="J246" s="11">
        <f>IF(E246="","",SUMIFS(RaceResults!$C:$C,RaceResults!$A:$A,$A246,RaceResults!$D:$D,E246))</f>
        <v>1</v>
      </c>
      <c r="K246" s="11">
        <f>IF(F246="","",SUMIFS(RaceResults!$C:$C,RaceResults!$A:$A,$A246,RaceResults!$D:$D,F246))</f>
        <v>4</v>
      </c>
      <c r="L246" s="11">
        <f>IF(D246="","",SUMIFS(RaceResults!$E:$E,RaceResults!$A:$A,$A246,RaceResults!$D:$D,D246))</f>
        <v>30</v>
      </c>
      <c r="M246" s="11">
        <f>IF(E246="","",SUMIFS(RaceResults!$E:$E,RaceResults!$A:$A,$A246,RaceResults!$D:$D,E246))</f>
        <v>55</v>
      </c>
      <c r="N246" s="11">
        <f>IF(F246="","",SUMIFS(RaceResults!$E:$E,RaceResults!$A:$A,$A246,RaceResults!$D:$D,F246))</f>
        <v>33</v>
      </c>
      <c r="O246" s="11">
        <f t="shared" si="3"/>
        <v>118</v>
      </c>
    </row>
    <row r="247" spans="1:15" x14ac:dyDescent="0.3">
      <c r="A247" s="9">
        <v>25</v>
      </c>
      <c r="B247" s="9" t="s">
        <v>99</v>
      </c>
      <c r="C247" s="10" t="s">
        <v>28</v>
      </c>
      <c r="D247" s="3">
        <v>20</v>
      </c>
      <c r="E247" s="3">
        <v>12</v>
      </c>
      <c r="F247" s="3">
        <v>11</v>
      </c>
      <c r="G247" s="3"/>
      <c r="H247" s="3"/>
      <c r="I247" s="11">
        <f>IF(D247="","",SUMIFS(RaceResults!$C:$C,RaceResults!$A:$A,$A247,RaceResults!$D:$D,D247))</f>
        <v>4</v>
      </c>
      <c r="J247" s="11">
        <f>IF(E247="","",SUMIFS(RaceResults!$C:$C,RaceResults!$A:$A,$A247,RaceResults!$D:$D,E247))</f>
        <v>1</v>
      </c>
      <c r="K247" s="11">
        <f>IF(F247="","",SUMIFS(RaceResults!$C:$C,RaceResults!$A:$A,$A247,RaceResults!$D:$D,F247))</f>
        <v>7</v>
      </c>
      <c r="L247" s="11">
        <f>IF(D247="","",SUMIFS(RaceResults!$E:$E,RaceResults!$A:$A,$A247,RaceResults!$D:$D,D247))</f>
        <v>33</v>
      </c>
      <c r="M247" s="11">
        <f>IF(E247="","",SUMIFS(RaceResults!$E:$E,RaceResults!$A:$A,$A247,RaceResults!$D:$D,E247))</f>
        <v>55</v>
      </c>
      <c r="N247" s="11">
        <f>IF(F247="","",SUMIFS(RaceResults!$E:$E,RaceResults!$A:$A,$A247,RaceResults!$D:$D,F247))</f>
        <v>30</v>
      </c>
      <c r="O247" s="11">
        <f t="shared" si="3"/>
        <v>118</v>
      </c>
    </row>
    <row r="248" spans="1:15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3"/>
      <c r="H248" s="3"/>
      <c r="I248" s="11" t="str">
        <f>IF(D248="","",SUMIFS(RaceResults!$C:$C,RaceResults!$A:$A,$A248,RaceResults!$D:$D,D248))</f>
        <v/>
      </c>
      <c r="J248" s="11" t="str">
        <f>IF(E248="","",SUMIFS(RaceResults!$C:$C,RaceResults!$A:$A,$A248,RaceResults!$D:$D,E248))</f>
        <v/>
      </c>
      <c r="K248" s="11" t="str">
        <f>IF(F248="","",SUMIFS(RaceResults!$C:$C,RaceResults!$A:$A,$A248,RaceResults!$D:$D,F248))</f>
        <v/>
      </c>
      <c r="L248" s="11" t="str">
        <f>IF(D248="","",SUMIFS(RaceResults!$E:$E,RaceResults!$A:$A,$A248,RaceResults!$D:$D,D248))</f>
        <v/>
      </c>
      <c r="M248" s="11" t="str">
        <f>IF(E248="","",SUMIFS(RaceResults!$E:$E,RaceResults!$A:$A,$A248,RaceResults!$D:$D,E248))</f>
        <v/>
      </c>
      <c r="N248" s="11" t="str">
        <f>IF(F248="","",SUMIFS(RaceResults!$E:$E,RaceResults!$A:$A,$A248,RaceResults!$D:$D,F248))</f>
        <v/>
      </c>
      <c r="O248" s="11">
        <f t="shared" si="3"/>
        <v>0</v>
      </c>
    </row>
    <row r="249" spans="1:15" x14ac:dyDescent="0.3">
      <c r="A249" s="9">
        <v>25</v>
      </c>
      <c r="B249" s="9" t="s">
        <v>99</v>
      </c>
      <c r="C249" s="10" t="s">
        <v>163</v>
      </c>
      <c r="D249" s="3">
        <v>45</v>
      </c>
      <c r="E249" s="3">
        <v>21</v>
      </c>
      <c r="F249" s="3">
        <v>12</v>
      </c>
      <c r="G249" s="3"/>
      <c r="H249" s="3"/>
      <c r="I249" s="11">
        <f>IF(D249="","",SUMIFS(RaceResults!$C:$C,RaceResults!$A:$A,$A249,RaceResults!$D:$D,D249))</f>
        <v>8</v>
      </c>
      <c r="J249" s="11">
        <f>IF(E249="","",SUMIFS(RaceResults!$C:$C,RaceResults!$A:$A,$A249,RaceResults!$D:$D,E249))</f>
        <v>3</v>
      </c>
      <c r="K249" s="11">
        <f>IF(F249="","",SUMIFS(RaceResults!$C:$C,RaceResults!$A:$A,$A249,RaceResults!$D:$D,F249))</f>
        <v>1</v>
      </c>
      <c r="L249" s="11">
        <f>IF(D249="","",SUMIFS(RaceResults!$E:$E,RaceResults!$A:$A,$A249,RaceResults!$D:$D,D249))</f>
        <v>29</v>
      </c>
      <c r="M249" s="11">
        <f>IF(E249="","",SUMIFS(RaceResults!$E:$E,RaceResults!$A:$A,$A249,RaceResults!$D:$D,E249))</f>
        <v>34</v>
      </c>
      <c r="N249" s="11">
        <f>IF(F249="","",SUMIFS(RaceResults!$E:$E,RaceResults!$A:$A,$A249,RaceResults!$D:$D,F249))</f>
        <v>55</v>
      </c>
      <c r="O249" s="11">
        <f t="shared" si="3"/>
        <v>118</v>
      </c>
    </row>
    <row r="250" spans="1:15" x14ac:dyDescent="0.3">
      <c r="A250" s="9">
        <v>25</v>
      </c>
      <c r="B250" s="9" t="s">
        <v>99</v>
      </c>
      <c r="C250" s="10" t="s">
        <v>31</v>
      </c>
      <c r="D250" s="3">
        <v>20</v>
      </c>
      <c r="E250" s="3">
        <v>54</v>
      </c>
      <c r="F250" s="3">
        <v>12</v>
      </c>
      <c r="G250" s="3"/>
      <c r="H250" s="3"/>
      <c r="I250" s="11">
        <f>IF(D250="","",SUMIFS(RaceResults!$C:$C,RaceResults!$A:$A,$A250,RaceResults!$D:$D,D250))</f>
        <v>4</v>
      </c>
      <c r="J250" s="11">
        <f>IF(E250="","",SUMIFS(RaceResults!$C:$C,RaceResults!$A:$A,$A250,RaceResults!$D:$D,E250))</f>
        <v>6</v>
      </c>
      <c r="K250" s="11">
        <f>IF(F250="","",SUMIFS(RaceResults!$C:$C,RaceResults!$A:$A,$A250,RaceResults!$D:$D,F250))</f>
        <v>1</v>
      </c>
      <c r="L250" s="11">
        <f>IF(D250="","",SUMIFS(RaceResults!$E:$E,RaceResults!$A:$A,$A250,RaceResults!$D:$D,D250))</f>
        <v>33</v>
      </c>
      <c r="M250" s="11">
        <f>IF(E250="","",SUMIFS(RaceResults!$E:$E,RaceResults!$A:$A,$A250,RaceResults!$D:$D,E250))</f>
        <v>31</v>
      </c>
      <c r="N250" s="11">
        <f>IF(F250="","",SUMIFS(RaceResults!$E:$E,RaceResults!$A:$A,$A250,RaceResults!$D:$D,F250))</f>
        <v>55</v>
      </c>
      <c r="O250" s="11">
        <f t="shared" si="3"/>
        <v>119</v>
      </c>
    </row>
    <row r="251" spans="1:15" x14ac:dyDescent="0.3">
      <c r="A251" s="9">
        <v>25</v>
      </c>
      <c r="B251" s="9" t="s">
        <v>99</v>
      </c>
      <c r="C251" s="10" t="s">
        <v>32</v>
      </c>
      <c r="D251" s="3">
        <v>54</v>
      </c>
      <c r="E251" s="3">
        <v>12</v>
      </c>
      <c r="F251" s="3">
        <v>24</v>
      </c>
      <c r="G251" s="3"/>
      <c r="H251" s="3"/>
      <c r="I251" s="11">
        <f>IF(D251="","",SUMIFS(RaceResults!$C:$C,RaceResults!$A:$A,$A251,RaceResults!$D:$D,D251))</f>
        <v>6</v>
      </c>
      <c r="J251" s="11">
        <f>IF(E251="","",SUMIFS(RaceResults!$C:$C,RaceResults!$A:$A,$A251,RaceResults!$D:$D,E251))</f>
        <v>1</v>
      </c>
      <c r="K251" s="11">
        <f>IF(F251="","",SUMIFS(RaceResults!$C:$C,RaceResults!$A:$A,$A251,RaceResults!$D:$D,F251))</f>
        <v>30</v>
      </c>
      <c r="L251" s="11">
        <f>IF(D251="","",SUMIFS(RaceResults!$E:$E,RaceResults!$A:$A,$A251,RaceResults!$D:$D,D251))</f>
        <v>31</v>
      </c>
      <c r="M251" s="11">
        <f>IF(E251="","",SUMIFS(RaceResults!$E:$E,RaceResults!$A:$A,$A251,RaceResults!$D:$D,E251))</f>
        <v>55</v>
      </c>
      <c r="N251" s="11">
        <f>IF(F251="","",SUMIFS(RaceResults!$E:$E,RaceResults!$A:$A,$A251,RaceResults!$D:$D,F251))</f>
        <v>7</v>
      </c>
      <c r="O251" s="11">
        <f t="shared" si="3"/>
        <v>93</v>
      </c>
    </row>
    <row r="252" spans="1:15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3"/>
      <c r="H252" s="3"/>
      <c r="I252" s="11" t="str">
        <f>IF(D252="","",SUMIFS(RaceResults!$C:$C,RaceResults!$A:$A,$A252,RaceResults!$D:$D,D252))</f>
        <v/>
      </c>
      <c r="J252" s="11" t="str">
        <f>IF(E252="","",SUMIFS(RaceResults!$C:$C,RaceResults!$A:$A,$A252,RaceResults!$D:$D,E252))</f>
        <v/>
      </c>
      <c r="K252" s="11" t="str">
        <f>IF(F252="","",SUMIFS(RaceResults!$C:$C,RaceResults!$A:$A,$A252,RaceResults!$D:$D,F252))</f>
        <v/>
      </c>
      <c r="L252" s="11" t="str">
        <f>IF(D252="","",SUMIFS(RaceResults!$E:$E,RaceResults!$A:$A,$A252,RaceResults!$D:$D,D252))</f>
        <v/>
      </c>
      <c r="M252" s="11" t="str">
        <f>IF(E252="","",SUMIFS(RaceResults!$E:$E,RaceResults!$A:$A,$A252,RaceResults!$D:$D,E252))</f>
        <v/>
      </c>
      <c r="N252" s="11" t="str">
        <f>IF(F252="","",SUMIFS(RaceResults!$E:$E,RaceResults!$A:$A,$A252,RaceResults!$D:$D,F252))</f>
        <v/>
      </c>
      <c r="O252" s="11">
        <f t="shared" si="3"/>
        <v>0</v>
      </c>
    </row>
    <row r="253" spans="1:15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3"/>
      <c r="H253" s="3"/>
      <c r="I253" s="11" t="str">
        <f>IF(D253="","",SUMIFS(RaceResults!$C:$C,RaceResults!$A:$A,$A253,RaceResults!$D:$D,D253))</f>
        <v/>
      </c>
      <c r="J253" s="11" t="str">
        <f>IF(E253="","",SUMIFS(RaceResults!$C:$C,RaceResults!$A:$A,$A253,RaceResults!$D:$D,E253))</f>
        <v/>
      </c>
      <c r="K253" s="11" t="str">
        <f>IF(F253="","",SUMIFS(RaceResults!$C:$C,RaceResults!$A:$A,$A253,RaceResults!$D:$D,F253))</f>
        <v/>
      </c>
      <c r="L253" s="11" t="str">
        <f>IF(D253="","",SUMIFS(RaceResults!$E:$E,RaceResults!$A:$A,$A253,RaceResults!$D:$D,D253))</f>
        <v/>
      </c>
      <c r="M253" s="11" t="str">
        <f>IF(E253="","",SUMIFS(RaceResults!$E:$E,RaceResults!$A:$A,$A253,RaceResults!$D:$D,E253))</f>
        <v/>
      </c>
      <c r="N253" s="11" t="str">
        <f>IF(F253="","",SUMIFS(RaceResults!$E:$E,RaceResults!$A:$A,$A253,RaceResults!$D:$D,F253))</f>
        <v/>
      </c>
      <c r="O253" s="11">
        <f t="shared" si="3"/>
        <v>0</v>
      </c>
    </row>
    <row r="254" spans="1:15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3"/>
      <c r="H254" s="3"/>
      <c r="I254" s="11" t="str">
        <f>IF(D254="","",SUMIFS(RaceResults!$C:$C,RaceResults!$A:$A,$A254,RaceResults!$D:$D,D254))</f>
        <v/>
      </c>
      <c r="J254" s="11" t="str">
        <f>IF(E254="","",SUMIFS(RaceResults!$C:$C,RaceResults!$A:$A,$A254,RaceResults!$D:$D,E254))</f>
        <v/>
      </c>
      <c r="K254" s="11" t="str">
        <f>IF(F254="","",SUMIFS(RaceResults!$C:$C,RaceResults!$A:$A,$A254,RaceResults!$D:$D,F254))</f>
        <v/>
      </c>
      <c r="L254" s="11" t="str">
        <f>IF(D254="","",SUMIFS(RaceResults!$E:$E,RaceResults!$A:$A,$A254,RaceResults!$D:$D,D254))</f>
        <v/>
      </c>
      <c r="M254" s="11" t="str">
        <f>IF(E254="","",SUMIFS(RaceResults!$E:$E,RaceResults!$A:$A,$A254,RaceResults!$D:$D,E254))</f>
        <v/>
      </c>
      <c r="N254" s="11" t="str">
        <f>IF(F254="","",SUMIFS(RaceResults!$E:$E,RaceResults!$A:$A,$A254,RaceResults!$D:$D,F254))</f>
        <v/>
      </c>
      <c r="O254" s="11">
        <f t="shared" si="3"/>
        <v>0</v>
      </c>
    </row>
    <row r="255" spans="1:15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3"/>
      <c r="H255" s="3"/>
      <c r="I255" s="11" t="str">
        <f>IF(D255="","",SUMIFS(RaceResults!$C:$C,RaceResults!$A:$A,$A255,RaceResults!$D:$D,D255))</f>
        <v/>
      </c>
      <c r="J255" s="11" t="str">
        <f>IF(E255="","",SUMIFS(RaceResults!$C:$C,RaceResults!$A:$A,$A255,RaceResults!$D:$D,E255))</f>
        <v/>
      </c>
      <c r="K255" s="11" t="str">
        <f>IF(F255="","",SUMIFS(RaceResults!$C:$C,RaceResults!$A:$A,$A255,RaceResults!$D:$D,F255))</f>
        <v/>
      </c>
      <c r="L255" s="11" t="str">
        <f>IF(D255="","",SUMIFS(RaceResults!$E:$E,RaceResults!$A:$A,$A255,RaceResults!$D:$D,D255))</f>
        <v/>
      </c>
      <c r="M255" s="11" t="str">
        <f>IF(E255="","",SUMIFS(RaceResults!$E:$E,RaceResults!$A:$A,$A255,RaceResults!$D:$D,E255))</f>
        <v/>
      </c>
      <c r="N255" s="11" t="str">
        <f>IF(F255="","",SUMIFS(RaceResults!$E:$E,RaceResults!$A:$A,$A255,RaceResults!$D:$D,F255))</f>
        <v/>
      </c>
      <c r="O255" s="11">
        <f t="shared" si="3"/>
        <v>0</v>
      </c>
    </row>
    <row r="256" spans="1:15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3"/>
      <c r="H256" s="3"/>
      <c r="I256" s="11" t="str">
        <f>IF(D256="","",SUMIFS(RaceResults!$C:$C,RaceResults!$A:$A,$A256,RaceResults!$D:$D,D256))</f>
        <v/>
      </c>
      <c r="J256" s="11" t="str">
        <f>IF(E256="","",SUMIFS(RaceResults!$C:$C,RaceResults!$A:$A,$A256,RaceResults!$D:$D,E256))</f>
        <v/>
      </c>
      <c r="K256" s="11" t="str">
        <f>IF(F256="","",SUMIFS(RaceResults!$C:$C,RaceResults!$A:$A,$A256,RaceResults!$D:$D,F256))</f>
        <v/>
      </c>
      <c r="L256" s="11" t="str">
        <f>IF(D256="","",SUMIFS(RaceResults!$E:$E,RaceResults!$A:$A,$A256,RaceResults!$D:$D,D256))</f>
        <v/>
      </c>
      <c r="M256" s="11" t="str">
        <f>IF(E256="","",SUMIFS(RaceResults!$E:$E,RaceResults!$A:$A,$A256,RaceResults!$D:$D,E256))</f>
        <v/>
      </c>
      <c r="N256" s="11" t="str">
        <f>IF(F256="","",SUMIFS(RaceResults!$E:$E,RaceResults!$A:$A,$A256,RaceResults!$D:$D,F256))</f>
        <v/>
      </c>
      <c r="O256" s="11">
        <f t="shared" si="3"/>
        <v>0</v>
      </c>
    </row>
    <row r="257" spans="1:15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3"/>
      <c r="H257" s="3"/>
      <c r="I257" s="11" t="str">
        <f>IF(D257="","",SUMIFS(RaceResults!$C:$C,RaceResults!$A:$A,$A257,RaceResults!$D:$D,D257))</f>
        <v/>
      </c>
      <c r="J257" s="11" t="str">
        <f>IF(E257="","",SUMIFS(RaceResults!$C:$C,RaceResults!$A:$A,$A257,RaceResults!$D:$D,E257))</f>
        <v/>
      </c>
      <c r="K257" s="11" t="str">
        <f>IF(F257="","",SUMIFS(RaceResults!$C:$C,RaceResults!$A:$A,$A257,RaceResults!$D:$D,F257))</f>
        <v/>
      </c>
      <c r="L257" s="11" t="str">
        <f>IF(D257="","",SUMIFS(RaceResults!$E:$E,RaceResults!$A:$A,$A257,RaceResults!$D:$D,D257))</f>
        <v/>
      </c>
      <c r="M257" s="11" t="str">
        <f>IF(E257="","",SUMIFS(RaceResults!$E:$E,RaceResults!$A:$A,$A257,RaceResults!$D:$D,E257))</f>
        <v/>
      </c>
      <c r="N257" s="11" t="str">
        <f>IF(F257="","",SUMIFS(RaceResults!$E:$E,RaceResults!$A:$A,$A257,RaceResults!$D:$D,F257))</f>
        <v/>
      </c>
      <c r="O257" s="11">
        <f t="shared" si="3"/>
        <v>0</v>
      </c>
    </row>
    <row r="258" spans="1:15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3"/>
      <c r="H258" s="3"/>
      <c r="I258" s="11" t="str">
        <f>IF(D258="","",SUMIFS(RaceResults!$C:$C,RaceResults!$A:$A,$A258,RaceResults!$D:$D,D258))</f>
        <v/>
      </c>
      <c r="J258" s="11" t="str">
        <f>IF(E258="","",SUMIFS(RaceResults!$C:$C,RaceResults!$A:$A,$A258,RaceResults!$D:$D,E258))</f>
        <v/>
      </c>
      <c r="K258" s="11" t="str">
        <f>IF(F258="","",SUMIFS(RaceResults!$C:$C,RaceResults!$A:$A,$A258,RaceResults!$D:$D,F258))</f>
        <v/>
      </c>
      <c r="L258" s="11" t="str">
        <f>IF(D258="","",SUMIFS(RaceResults!$E:$E,RaceResults!$A:$A,$A258,RaceResults!$D:$D,D258))</f>
        <v/>
      </c>
      <c r="M258" s="11" t="str">
        <f>IF(E258="","",SUMIFS(RaceResults!$E:$E,RaceResults!$A:$A,$A258,RaceResults!$D:$D,E258))</f>
        <v/>
      </c>
      <c r="N258" s="11" t="str">
        <f>IF(F258="","",SUMIFS(RaceResults!$E:$E,RaceResults!$A:$A,$A258,RaceResults!$D:$D,F258))</f>
        <v/>
      </c>
      <c r="O258" s="11">
        <f t="shared" ref="O258:O321" si="4">SUM(L258:N258)</f>
        <v>0</v>
      </c>
    </row>
    <row r="259" spans="1:15" x14ac:dyDescent="0.3">
      <c r="A259" s="9">
        <v>26</v>
      </c>
      <c r="B259" s="9" t="s">
        <v>101</v>
      </c>
      <c r="C259" s="10" t="s">
        <v>163</v>
      </c>
      <c r="D259" s="3"/>
      <c r="E259" s="3"/>
      <c r="F259" s="3"/>
      <c r="G259" s="3"/>
      <c r="H259" s="3"/>
      <c r="I259" s="11" t="str">
        <f>IF(D259="","",SUMIFS(RaceResults!$C:$C,RaceResults!$A:$A,$A259,RaceResults!$D:$D,D259))</f>
        <v/>
      </c>
      <c r="J259" s="11" t="str">
        <f>IF(E259="","",SUMIFS(RaceResults!$C:$C,RaceResults!$A:$A,$A259,RaceResults!$D:$D,E259))</f>
        <v/>
      </c>
      <c r="K259" s="11" t="str">
        <f>IF(F259="","",SUMIFS(RaceResults!$C:$C,RaceResults!$A:$A,$A259,RaceResults!$D:$D,F259))</f>
        <v/>
      </c>
      <c r="L259" s="11" t="str">
        <f>IF(D259="","",SUMIFS(RaceResults!$E:$E,RaceResults!$A:$A,$A259,RaceResults!$D:$D,D259))</f>
        <v/>
      </c>
      <c r="M259" s="11" t="str">
        <f>IF(E259="","",SUMIFS(RaceResults!$E:$E,RaceResults!$A:$A,$A259,RaceResults!$D:$D,E259))</f>
        <v/>
      </c>
      <c r="N259" s="11" t="str">
        <f>IF(F259="","",SUMIFS(RaceResults!$E:$E,RaceResults!$A:$A,$A259,RaceResults!$D:$D,F259))</f>
        <v/>
      </c>
      <c r="O259" s="11">
        <f t="shared" si="4"/>
        <v>0</v>
      </c>
    </row>
    <row r="260" spans="1:15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3"/>
      <c r="H260" s="3"/>
      <c r="I260" s="11" t="str">
        <f>IF(D260="","",SUMIFS(RaceResults!$C:$C,RaceResults!$A:$A,$A260,RaceResults!$D:$D,D260))</f>
        <v/>
      </c>
      <c r="J260" s="11" t="str">
        <f>IF(E260="","",SUMIFS(RaceResults!$C:$C,RaceResults!$A:$A,$A260,RaceResults!$D:$D,E260))</f>
        <v/>
      </c>
      <c r="K260" s="11" t="str">
        <f>IF(F260="","",SUMIFS(RaceResults!$C:$C,RaceResults!$A:$A,$A260,RaceResults!$D:$D,F260))</f>
        <v/>
      </c>
      <c r="L260" s="11" t="str">
        <f>IF(D260="","",SUMIFS(RaceResults!$E:$E,RaceResults!$A:$A,$A260,RaceResults!$D:$D,D260))</f>
        <v/>
      </c>
      <c r="M260" s="11" t="str">
        <f>IF(E260="","",SUMIFS(RaceResults!$E:$E,RaceResults!$A:$A,$A260,RaceResults!$D:$D,E260))</f>
        <v/>
      </c>
      <c r="N260" s="11" t="str">
        <f>IF(F260="","",SUMIFS(RaceResults!$E:$E,RaceResults!$A:$A,$A260,RaceResults!$D:$D,F260))</f>
        <v/>
      </c>
      <c r="O260" s="11">
        <f t="shared" si="4"/>
        <v>0</v>
      </c>
    </row>
    <row r="261" spans="1:15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3"/>
      <c r="H261" s="3"/>
      <c r="I261" s="11" t="str">
        <f>IF(D261="","",SUMIFS(RaceResults!$C:$C,RaceResults!$A:$A,$A261,RaceResults!$D:$D,D261))</f>
        <v/>
      </c>
      <c r="J261" s="11" t="str">
        <f>IF(E261="","",SUMIFS(RaceResults!$C:$C,RaceResults!$A:$A,$A261,RaceResults!$D:$D,E261))</f>
        <v/>
      </c>
      <c r="K261" s="11" t="str">
        <f>IF(F261="","",SUMIFS(RaceResults!$C:$C,RaceResults!$A:$A,$A261,RaceResults!$D:$D,F261))</f>
        <v/>
      </c>
      <c r="L261" s="11" t="str">
        <f>IF(D261="","",SUMIFS(RaceResults!$E:$E,RaceResults!$A:$A,$A261,RaceResults!$D:$D,D261))</f>
        <v/>
      </c>
      <c r="M261" s="11" t="str">
        <f>IF(E261="","",SUMIFS(RaceResults!$E:$E,RaceResults!$A:$A,$A261,RaceResults!$D:$D,E261))</f>
        <v/>
      </c>
      <c r="N261" s="11" t="str">
        <f>IF(F261="","",SUMIFS(RaceResults!$E:$E,RaceResults!$A:$A,$A261,RaceResults!$D:$D,F261))</f>
        <v/>
      </c>
      <c r="O261" s="11">
        <f t="shared" si="4"/>
        <v>0</v>
      </c>
    </row>
    <row r="262" spans="1:15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3"/>
      <c r="H262" s="3"/>
      <c r="I262" s="11" t="str">
        <f>IF(D262="","",SUMIFS(RaceResults!$C:$C,RaceResults!$A:$A,$A262,RaceResults!$D:$D,D262))</f>
        <v/>
      </c>
      <c r="J262" s="11" t="str">
        <f>IF(E262="","",SUMIFS(RaceResults!$C:$C,RaceResults!$A:$A,$A262,RaceResults!$D:$D,E262))</f>
        <v/>
      </c>
      <c r="K262" s="11" t="str">
        <f>IF(F262="","",SUMIFS(RaceResults!$C:$C,RaceResults!$A:$A,$A262,RaceResults!$D:$D,F262))</f>
        <v/>
      </c>
      <c r="L262" s="11" t="str">
        <f>IF(D262="","",SUMIFS(RaceResults!$E:$E,RaceResults!$A:$A,$A262,RaceResults!$D:$D,D262))</f>
        <v/>
      </c>
      <c r="M262" s="11" t="str">
        <f>IF(E262="","",SUMIFS(RaceResults!$E:$E,RaceResults!$A:$A,$A262,RaceResults!$D:$D,E262))</f>
        <v/>
      </c>
      <c r="N262" s="11" t="str">
        <f>IF(F262="","",SUMIFS(RaceResults!$E:$E,RaceResults!$A:$A,$A262,RaceResults!$D:$D,F262))</f>
        <v/>
      </c>
      <c r="O262" s="11">
        <f t="shared" si="4"/>
        <v>0</v>
      </c>
    </row>
    <row r="263" spans="1:15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3"/>
      <c r="H263" s="3"/>
      <c r="I263" s="11" t="str">
        <f>IF(D263="","",SUMIFS(RaceResults!$C:$C,RaceResults!$A:$A,$A263,RaceResults!$D:$D,D263))</f>
        <v/>
      </c>
      <c r="J263" s="11" t="str">
        <f>IF(E263="","",SUMIFS(RaceResults!$C:$C,RaceResults!$A:$A,$A263,RaceResults!$D:$D,E263))</f>
        <v/>
      </c>
      <c r="K263" s="11" t="str">
        <f>IF(F263="","",SUMIFS(RaceResults!$C:$C,RaceResults!$A:$A,$A263,RaceResults!$D:$D,F263))</f>
        <v/>
      </c>
      <c r="L263" s="11" t="str">
        <f>IF(D263="","",SUMIFS(RaceResults!$E:$E,RaceResults!$A:$A,$A263,RaceResults!$D:$D,D263))</f>
        <v/>
      </c>
      <c r="M263" s="11" t="str">
        <f>IF(E263="","",SUMIFS(RaceResults!$E:$E,RaceResults!$A:$A,$A263,RaceResults!$D:$D,E263))</f>
        <v/>
      </c>
      <c r="N263" s="11" t="str">
        <f>IF(F263="","",SUMIFS(RaceResults!$E:$E,RaceResults!$A:$A,$A263,RaceResults!$D:$D,F263))</f>
        <v/>
      </c>
      <c r="O263" s="11">
        <f t="shared" si="4"/>
        <v>0</v>
      </c>
    </row>
    <row r="264" spans="1:15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3"/>
      <c r="H264" s="3"/>
      <c r="I264" s="11" t="str">
        <f>IF(D264="","",SUMIFS(RaceResults!$C:$C,RaceResults!$A:$A,$A264,RaceResults!$D:$D,D264))</f>
        <v/>
      </c>
      <c r="J264" s="11" t="str">
        <f>IF(E264="","",SUMIFS(RaceResults!$C:$C,RaceResults!$A:$A,$A264,RaceResults!$D:$D,E264))</f>
        <v/>
      </c>
      <c r="K264" s="11" t="str">
        <f>IF(F264="","",SUMIFS(RaceResults!$C:$C,RaceResults!$A:$A,$A264,RaceResults!$D:$D,F264))</f>
        <v/>
      </c>
      <c r="L264" s="11" t="str">
        <f>IF(D264="","",SUMIFS(RaceResults!$E:$E,RaceResults!$A:$A,$A264,RaceResults!$D:$D,D264))</f>
        <v/>
      </c>
      <c r="M264" s="11" t="str">
        <f>IF(E264="","",SUMIFS(RaceResults!$E:$E,RaceResults!$A:$A,$A264,RaceResults!$D:$D,E264))</f>
        <v/>
      </c>
      <c r="N264" s="11" t="str">
        <f>IF(F264="","",SUMIFS(RaceResults!$E:$E,RaceResults!$A:$A,$A264,RaceResults!$D:$D,F264))</f>
        <v/>
      </c>
      <c r="O264" s="11">
        <f t="shared" si="4"/>
        <v>0</v>
      </c>
    </row>
    <row r="265" spans="1:15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3"/>
      <c r="H265" s="3"/>
      <c r="I265" s="11" t="str">
        <f>IF(D265="","",SUMIFS(RaceResults!$C:$C,RaceResults!$A:$A,$A265,RaceResults!$D:$D,D265))</f>
        <v/>
      </c>
      <c r="J265" s="11" t="str">
        <f>IF(E265="","",SUMIFS(RaceResults!$C:$C,RaceResults!$A:$A,$A265,RaceResults!$D:$D,E265))</f>
        <v/>
      </c>
      <c r="K265" s="11" t="str">
        <f>IF(F265="","",SUMIFS(RaceResults!$C:$C,RaceResults!$A:$A,$A265,RaceResults!$D:$D,F265))</f>
        <v/>
      </c>
      <c r="L265" s="11" t="str">
        <f>IF(D265="","",SUMIFS(RaceResults!$E:$E,RaceResults!$A:$A,$A265,RaceResults!$D:$D,D265))</f>
        <v/>
      </c>
      <c r="M265" s="11" t="str">
        <f>IF(E265="","",SUMIFS(RaceResults!$E:$E,RaceResults!$A:$A,$A265,RaceResults!$D:$D,E265))</f>
        <v/>
      </c>
      <c r="N265" s="11" t="str">
        <f>IF(F265="","",SUMIFS(RaceResults!$E:$E,RaceResults!$A:$A,$A265,RaceResults!$D:$D,F265))</f>
        <v/>
      </c>
      <c r="O265" s="11">
        <f t="shared" si="4"/>
        <v>0</v>
      </c>
    </row>
    <row r="266" spans="1:15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3"/>
      <c r="H266" s="3"/>
      <c r="I266" s="11" t="str">
        <f>IF(D266="","",SUMIFS(RaceResults!$C:$C,RaceResults!$A:$A,$A266,RaceResults!$D:$D,D266))</f>
        <v/>
      </c>
      <c r="J266" s="11" t="str">
        <f>IF(E266="","",SUMIFS(RaceResults!$C:$C,RaceResults!$A:$A,$A266,RaceResults!$D:$D,E266))</f>
        <v/>
      </c>
      <c r="K266" s="11" t="str">
        <f>IF(F266="","",SUMIFS(RaceResults!$C:$C,RaceResults!$A:$A,$A266,RaceResults!$D:$D,F266))</f>
        <v/>
      </c>
      <c r="L266" s="11" t="str">
        <f>IF(D266="","",SUMIFS(RaceResults!$E:$E,RaceResults!$A:$A,$A266,RaceResults!$D:$D,D266))</f>
        <v/>
      </c>
      <c r="M266" s="11" t="str">
        <f>IF(E266="","",SUMIFS(RaceResults!$E:$E,RaceResults!$A:$A,$A266,RaceResults!$D:$D,E266))</f>
        <v/>
      </c>
      <c r="N266" s="11" t="str">
        <f>IF(F266="","",SUMIFS(RaceResults!$E:$E,RaceResults!$A:$A,$A266,RaceResults!$D:$D,F266))</f>
        <v/>
      </c>
      <c r="O266" s="11">
        <f t="shared" si="4"/>
        <v>0</v>
      </c>
    </row>
    <row r="267" spans="1:15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3"/>
      <c r="H267" s="3"/>
      <c r="I267" s="11" t="str">
        <f>IF(D267="","",SUMIFS(RaceResults!$C:$C,RaceResults!$A:$A,$A267,RaceResults!$D:$D,D267))</f>
        <v/>
      </c>
      <c r="J267" s="11" t="str">
        <f>IF(E267="","",SUMIFS(RaceResults!$C:$C,RaceResults!$A:$A,$A267,RaceResults!$D:$D,E267))</f>
        <v/>
      </c>
      <c r="K267" s="11" t="str">
        <f>IF(F267="","",SUMIFS(RaceResults!$C:$C,RaceResults!$A:$A,$A267,RaceResults!$D:$D,F267))</f>
        <v/>
      </c>
      <c r="L267" s="11" t="str">
        <f>IF(D267="","",SUMIFS(RaceResults!$E:$E,RaceResults!$A:$A,$A267,RaceResults!$D:$D,D267))</f>
        <v/>
      </c>
      <c r="M267" s="11" t="str">
        <f>IF(E267="","",SUMIFS(RaceResults!$E:$E,RaceResults!$A:$A,$A267,RaceResults!$D:$D,E267))</f>
        <v/>
      </c>
      <c r="N267" s="11" t="str">
        <f>IF(F267="","",SUMIFS(RaceResults!$E:$E,RaceResults!$A:$A,$A267,RaceResults!$D:$D,F267))</f>
        <v/>
      </c>
      <c r="O267" s="11">
        <f t="shared" si="4"/>
        <v>0</v>
      </c>
    </row>
    <row r="268" spans="1:15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3"/>
      <c r="H268" s="3"/>
      <c r="I268" s="11" t="str">
        <f>IF(D268="","",SUMIFS(RaceResults!$C:$C,RaceResults!$A:$A,$A268,RaceResults!$D:$D,D268))</f>
        <v/>
      </c>
      <c r="J268" s="11" t="str">
        <f>IF(E268="","",SUMIFS(RaceResults!$C:$C,RaceResults!$A:$A,$A268,RaceResults!$D:$D,E268))</f>
        <v/>
      </c>
      <c r="K268" s="11" t="str">
        <f>IF(F268="","",SUMIFS(RaceResults!$C:$C,RaceResults!$A:$A,$A268,RaceResults!$D:$D,F268))</f>
        <v/>
      </c>
      <c r="L268" s="11" t="str">
        <f>IF(D268="","",SUMIFS(RaceResults!$E:$E,RaceResults!$A:$A,$A268,RaceResults!$D:$D,D268))</f>
        <v/>
      </c>
      <c r="M268" s="11" t="str">
        <f>IF(E268="","",SUMIFS(RaceResults!$E:$E,RaceResults!$A:$A,$A268,RaceResults!$D:$D,E268))</f>
        <v/>
      </c>
      <c r="N268" s="11" t="str">
        <f>IF(F268="","",SUMIFS(RaceResults!$E:$E,RaceResults!$A:$A,$A268,RaceResults!$D:$D,F268))</f>
        <v/>
      </c>
      <c r="O268" s="11">
        <f t="shared" si="4"/>
        <v>0</v>
      </c>
    </row>
    <row r="269" spans="1:15" x14ac:dyDescent="0.3">
      <c r="A269" s="9">
        <v>27</v>
      </c>
      <c r="B269" s="9" t="s">
        <v>59</v>
      </c>
      <c r="C269" s="10" t="s">
        <v>163</v>
      </c>
      <c r="D269" s="3"/>
      <c r="E269" s="3"/>
      <c r="F269" s="3"/>
      <c r="G269" s="3"/>
      <c r="H269" s="3"/>
      <c r="I269" s="11" t="str">
        <f>IF(D269="","",SUMIFS(RaceResults!$C:$C,RaceResults!$A:$A,$A269,RaceResults!$D:$D,D269))</f>
        <v/>
      </c>
      <c r="J269" s="11" t="str">
        <f>IF(E269="","",SUMIFS(RaceResults!$C:$C,RaceResults!$A:$A,$A269,RaceResults!$D:$D,E269))</f>
        <v/>
      </c>
      <c r="K269" s="11" t="str">
        <f>IF(F269="","",SUMIFS(RaceResults!$C:$C,RaceResults!$A:$A,$A269,RaceResults!$D:$D,F269))</f>
        <v/>
      </c>
      <c r="L269" s="11" t="str">
        <f>IF(D269="","",SUMIFS(RaceResults!$E:$E,RaceResults!$A:$A,$A269,RaceResults!$D:$D,D269))</f>
        <v/>
      </c>
      <c r="M269" s="11" t="str">
        <f>IF(E269="","",SUMIFS(RaceResults!$E:$E,RaceResults!$A:$A,$A269,RaceResults!$D:$D,E269))</f>
        <v/>
      </c>
      <c r="N269" s="11" t="str">
        <f>IF(F269="","",SUMIFS(RaceResults!$E:$E,RaceResults!$A:$A,$A269,RaceResults!$D:$D,F269))</f>
        <v/>
      </c>
      <c r="O269" s="11">
        <f t="shared" si="4"/>
        <v>0</v>
      </c>
    </row>
    <row r="270" spans="1:15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3"/>
      <c r="H270" s="3"/>
      <c r="I270" s="11" t="str">
        <f>IF(D270="","",SUMIFS(RaceResults!$C:$C,RaceResults!$A:$A,$A270,RaceResults!$D:$D,D270))</f>
        <v/>
      </c>
      <c r="J270" s="11" t="str">
        <f>IF(E270="","",SUMIFS(RaceResults!$C:$C,RaceResults!$A:$A,$A270,RaceResults!$D:$D,E270))</f>
        <v/>
      </c>
      <c r="K270" s="11" t="str">
        <f>IF(F270="","",SUMIFS(RaceResults!$C:$C,RaceResults!$A:$A,$A270,RaceResults!$D:$D,F270))</f>
        <v/>
      </c>
      <c r="L270" s="11" t="str">
        <f>IF(D270="","",SUMIFS(RaceResults!$E:$E,RaceResults!$A:$A,$A270,RaceResults!$D:$D,D270))</f>
        <v/>
      </c>
      <c r="M270" s="11" t="str">
        <f>IF(E270="","",SUMIFS(RaceResults!$E:$E,RaceResults!$A:$A,$A270,RaceResults!$D:$D,E270))</f>
        <v/>
      </c>
      <c r="N270" s="11" t="str">
        <f>IF(F270="","",SUMIFS(RaceResults!$E:$E,RaceResults!$A:$A,$A270,RaceResults!$D:$D,F270))</f>
        <v/>
      </c>
      <c r="O270" s="11">
        <f t="shared" si="4"/>
        <v>0</v>
      </c>
    </row>
    <row r="271" spans="1:15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3"/>
      <c r="H271" s="3"/>
      <c r="I271" s="11" t="str">
        <f>IF(D271="","",SUMIFS(RaceResults!$C:$C,RaceResults!$A:$A,$A271,RaceResults!$D:$D,D271))</f>
        <v/>
      </c>
      <c r="J271" s="11" t="str">
        <f>IF(E271="","",SUMIFS(RaceResults!$C:$C,RaceResults!$A:$A,$A271,RaceResults!$D:$D,E271))</f>
        <v/>
      </c>
      <c r="K271" s="11" t="str">
        <f>IF(F271="","",SUMIFS(RaceResults!$C:$C,RaceResults!$A:$A,$A271,RaceResults!$D:$D,F271))</f>
        <v/>
      </c>
      <c r="L271" s="11" t="str">
        <f>IF(D271="","",SUMIFS(RaceResults!$E:$E,RaceResults!$A:$A,$A271,RaceResults!$D:$D,D271))</f>
        <v/>
      </c>
      <c r="M271" s="11" t="str">
        <f>IF(E271="","",SUMIFS(RaceResults!$E:$E,RaceResults!$A:$A,$A271,RaceResults!$D:$D,E271))</f>
        <v/>
      </c>
      <c r="N271" s="11" t="str">
        <f>IF(F271="","",SUMIFS(RaceResults!$E:$E,RaceResults!$A:$A,$A271,RaceResults!$D:$D,F271))</f>
        <v/>
      </c>
      <c r="O271" s="11">
        <f t="shared" si="4"/>
        <v>0</v>
      </c>
    </row>
    <row r="272" spans="1:15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3"/>
      <c r="H272" s="3"/>
      <c r="I272" s="11" t="str">
        <f>IF(D272="","",SUMIFS(RaceResults!$C:$C,RaceResults!$A:$A,$A272,RaceResults!$D:$D,D272))</f>
        <v/>
      </c>
      <c r="J272" s="11" t="str">
        <f>IF(E272="","",SUMIFS(RaceResults!$C:$C,RaceResults!$A:$A,$A272,RaceResults!$D:$D,E272))</f>
        <v/>
      </c>
      <c r="K272" s="11" t="str">
        <f>IF(F272="","",SUMIFS(RaceResults!$C:$C,RaceResults!$A:$A,$A272,RaceResults!$D:$D,F272))</f>
        <v/>
      </c>
      <c r="L272" s="11" t="str">
        <f>IF(D272="","",SUMIFS(RaceResults!$E:$E,RaceResults!$A:$A,$A272,RaceResults!$D:$D,D272))</f>
        <v/>
      </c>
      <c r="M272" s="11" t="str">
        <f>IF(E272="","",SUMIFS(RaceResults!$E:$E,RaceResults!$A:$A,$A272,RaceResults!$D:$D,E272))</f>
        <v/>
      </c>
      <c r="N272" s="11" t="str">
        <f>IF(F272="","",SUMIFS(RaceResults!$E:$E,RaceResults!$A:$A,$A272,RaceResults!$D:$D,F272))</f>
        <v/>
      </c>
      <c r="O272" s="11">
        <f t="shared" si="4"/>
        <v>0</v>
      </c>
    </row>
    <row r="273" spans="1:15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3"/>
      <c r="H273" s="3"/>
      <c r="I273" s="11" t="str">
        <f>IF(D273="","",SUMIFS(RaceResults!$C:$C,RaceResults!$A:$A,$A273,RaceResults!$D:$D,D273))</f>
        <v/>
      </c>
      <c r="J273" s="11" t="str">
        <f>IF(E273="","",SUMIFS(RaceResults!$C:$C,RaceResults!$A:$A,$A273,RaceResults!$D:$D,E273))</f>
        <v/>
      </c>
      <c r="K273" s="11" t="str">
        <f>IF(F273="","",SUMIFS(RaceResults!$C:$C,RaceResults!$A:$A,$A273,RaceResults!$D:$D,F273))</f>
        <v/>
      </c>
      <c r="L273" s="11" t="str">
        <f>IF(D273="","",SUMIFS(RaceResults!$E:$E,RaceResults!$A:$A,$A273,RaceResults!$D:$D,D273))</f>
        <v/>
      </c>
      <c r="M273" s="11" t="str">
        <f>IF(E273="","",SUMIFS(RaceResults!$E:$E,RaceResults!$A:$A,$A273,RaceResults!$D:$D,E273))</f>
        <v/>
      </c>
      <c r="N273" s="11" t="str">
        <f>IF(F273="","",SUMIFS(RaceResults!$E:$E,RaceResults!$A:$A,$A273,RaceResults!$D:$D,F273))</f>
        <v/>
      </c>
      <c r="O273" s="11">
        <f t="shared" si="4"/>
        <v>0</v>
      </c>
    </row>
    <row r="274" spans="1:15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3"/>
      <c r="H274" s="3"/>
      <c r="I274" s="11" t="str">
        <f>IF(D274="","",SUMIFS(RaceResults!$C:$C,RaceResults!$A:$A,$A274,RaceResults!$D:$D,D274))</f>
        <v/>
      </c>
      <c r="J274" s="11" t="str">
        <f>IF(E274="","",SUMIFS(RaceResults!$C:$C,RaceResults!$A:$A,$A274,RaceResults!$D:$D,E274))</f>
        <v/>
      </c>
      <c r="K274" s="11" t="str">
        <f>IF(F274="","",SUMIFS(RaceResults!$C:$C,RaceResults!$A:$A,$A274,RaceResults!$D:$D,F274))</f>
        <v/>
      </c>
      <c r="L274" s="11" t="str">
        <f>IF(D274="","",SUMIFS(RaceResults!$E:$E,RaceResults!$A:$A,$A274,RaceResults!$D:$D,D274))</f>
        <v/>
      </c>
      <c r="M274" s="11" t="str">
        <f>IF(E274="","",SUMIFS(RaceResults!$E:$E,RaceResults!$A:$A,$A274,RaceResults!$D:$D,E274))</f>
        <v/>
      </c>
      <c r="N274" s="11" t="str">
        <f>IF(F274="","",SUMIFS(RaceResults!$E:$E,RaceResults!$A:$A,$A274,RaceResults!$D:$D,F274))</f>
        <v/>
      </c>
      <c r="O274" s="11">
        <f t="shared" si="4"/>
        <v>0</v>
      </c>
    </row>
    <row r="275" spans="1:15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3"/>
      <c r="H275" s="3"/>
      <c r="I275" s="11" t="str">
        <f>IF(D275="","",SUMIFS(RaceResults!$C:$C,RaceResults!$A:$A,$A275,RaceResults!$D:$D,D275))</f>
        <v/>
      </c>
      <c r="J275" s="11" t="str">
        <f>IF(E275="","",SUMIFS(RaceResults!$C:$C,RaceResults!$A:$A,$A275,RaceResults!$D:$D,E275))</f>
        <v/>
      </c>
      <c r="K275" s="11" t="str">
        <f>IF(F275="","",SUMIFS(RaceResults!$C:$C,RaceResults!$A:$A,$A275,RaceResults!$D:$D,F275))</f>
        <v/>
      </c>
      <c r="L275" s="11" t="str">
        <f>IF(D275="","",SUMIFS(RaceResults!$E:$E,RaceResults!$A:$A,$A275,RaceResults!$D:$D,D275))</f>
        <v/>
      </c>
      <c r="M275" s="11" t="str">
        <f>IF(E275="","",SUMIFS(RaceResults!$E:$E,RaceResults!$A:$A,$A275,RaceResults!$D:$D,E275))</f>
        <v/>
      </c>
      <c r="N275" s="11" t="str">
        <f>IF(F275="","",SUMIFS(RaceResults!$E:$E,RaceResults!$A:$A,$A275,RaceResults!$D:$D,F275))</f>
        <v/>
      </c>
      <c r="O275" s="11">
        <f t="shared" si="4"/>
        <v>0</v>
      </c>
    </row>
    <row r="276" spans="1:15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3"/>
      <c r="H276" s="3"/>
      <c r="I276" s="11" t="str">
        <f>IF(D276="","",SUMIFS(RaceResults!$C:$C,RaceResults!$A:$A,$A276,RaceResults!$D:$D,D276))</f>
        <v/>
      </c>
      <c r="J276" s="11" t="str">
        <f>IF(E276="","",SUMIFS(RaceResults!$C:$C,RaceResults!$A:$A,$A276,RaceResults!$D:$D,E276))</f>
        <v/>
      </c>
      <c r="K276" s="11" t="str">
        <f>IF(F276="","",SUMIFS(RaceResults!$C:$C,RaceResults!$A:$A,$A276,RaceResults!$D:$D,F276))</f>
        <v/>
      </c>
      <c r="L276" s="11" t="str">
        <f>IF(D276="","",SUMIFS(RaceResults!$E:$E,RaceResults!$A:$A,$A276,RaceResults!$D:$D,D276))</f>
        <v/>
      </c>
      <c r="M276" s="11" t="str">
        <f>IF(E276="","",SUMIFS(RaceResults!$E:$E,RaceResults!$A:$A,$A276,RaceResults!$D:$D,E276))</f>
        <v/>
      </c>
      <c r="N276" s="11" t="str">
        <f>IF(F276="","",SUMIFS(RaceResults!$E:$E,RaceResults!$A:$A,$A276,RaceResults!$D:$D,F276))</f>
        <v/>
      </c>
      <c r="O276" s="11">
        <f t="shared" si="4"/>
        <v>0</v>
      </c>
    </row>
    <row r="277" spans="1:15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3"/>
      <c r="H277" s="3"/>
      <c r="I277" s="11" t="str">
        <f>IF(D277="","",SUMIFS(RaceResults!$C:$C,RaceResults!$A:$A,$A277,RaceResults!$D:$D,D277))</f>
        <v/>
      </c>
      <c r="J277" s="11" t="str">
        <f>IF(E277="","",SUMIFS(RaceResults!$C:$C,RaceResults!$A:$A,$A277,RaceResults!$D:$D,E277))</f>
        <v/>
      </c>
      <c r="K277" s="11" t="str">
        <f>IF(F277="","",SUMIFS(RaceResults!$C:$C,RaceResults!$A:$A,$A277,RaceResults!$D:$D,F277))</f>
        <v/>
      </c>
      <c r="L277" s="11" t="str">
        <f>IF(D277="","",SUMIFS(RaceResults!$E:$E,RaceResults!$A:$A,$A277,RaceResults!$D:$D,D277))</f>
        <v/>
      </c>
      <c r="M277" s="11" t="str">
        <f>IF(E277="","",SUMIFS(RaceResults!$E:$E,RaceResults!$A:$A,$A277,RaceResults!$D:$D,E277))</f>
        <v/>
      </c>
      <c r="N277" s="11" t="str">
        <f>IF(F277="","",SUMIFS(RaceResults!$E:$E,RaceResults!$A:$A,$A277,RaceResults!$D:$D,F277))</f>
        <v/>
      </c>
      <c r="O277" s="11">
        <f t="shared" si="4"/>
        <v>0</v>
      </c>
    </row>
    <row r="278" spans="1:15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3"/>
      <c r="H278" s="3"/>
      <c r="I278" s="11" t="str">
        <f>IF(D278="","",SUMIFS(RaceResults!$C:$C,RaceResults!$A:$A,$A278,RaceResults!$D:$D,D278))</f>
        <v/>
      </c>
      <c r="J278" s="11" t="str">
        <f>IF(E278="","",SUMIFS(RaceResults!$C:$C,RaceResults!$A:$A,$A278,RaceResults!$D:$D,E278))</f>
        <v/>
      </c>
      <c r="K278" s="11" t="str">
        <f>IF(F278="","",SUMIFS(RaceResults!$C:$C,RaceResults!$A:$A,$A278,RaceResults!$D:$D,F278))</f>
        <v/>
      </c>
      <c r="L278" s="11" t="str">
        <f>IF(D278="","",SUMIFS(RaceResults!$E:$E,RaceResults!$A:$A,$A278,RaceResults!$D:$D,D278))</f>
        <v/>
      </c>
      <c r="M278" s="11" t="str">
        <f>IF(E278="","",SUMIFS(RaceResults!$E:$E,RaceResults!$A:$A,$A278,RaceResults!$D:$D,E278))</f>
        <v/>
      </c>
      <c r="N278" s="11" t="str">
        <f>IF(F278="","",SUMIFS(RaceResults!$E:$E,RaceResults!$A:$A,$A278,RaceResults!$D:$D,F278))</f>
        <v/>
      </c>
      <c r="O278" s="11">
        <f t="shared" si="4"/>
        <v>0</v>
      </c>
    </row>
    <row r="279" spans="1:15" x14ac:dyDescent="0.3">
      <c r="A279" s="9">
        <v>28</v>
      </c>
      <c r="B279" s="9" t="s">
        <v>106</v>
      </c>
      <c r="C279" s="10" t="s">
        <v>163</v>
      </c>
      <c r="D279" s="3"/>
      <c r="E279" s="3"/>
      <c r="F279" s="3"/>
      <c r="G279" s="3"/>
      <c r="H279" s="3"/>
      <c r="I279" s="11" t="str">
        <f>IF(D279="","",SUMIFS(RaceResults!$C:$C,RaceResults!$A:$A,$A279,RaceResults!$D:$D,D279))</f>
        <v/>
      </c>
      <c r="J279" s="11" t="str">
        <f>IF(E279="","",SUMIFS(RaceResults!$C:$C,RaceResults!$A:$A,$A279,RaceResults!$D:$D,E279))</f>
        <v/>
      </c>
      <c r="K279" s="11" t="str">
        <f>IF(F279="","",SUMIFS(RaceResults!$C:$C,RaceResults!$A:$A,$A279,RaceResults!$D:$D,F279))</f>
        <v/>
      </c>
      <c r="L279" s="11" t="str">
        <f>IF(D279="","",SUMIFS(RaceResults!$E:$E,RaceResults!$A:$A,$A279,RaceResults!$D:$D,D279))</f>
        <v/>
      </c>
      <c r="M279" s="11" t="str">
        <f>IF(E279="","",SUMIFS(RaceResults!$E:$E,RaceResults!$A:$A,$A279,RaceResults!$D:$D,E279))</f>
        <v/>
      </c>
      <c r="N279" s="11" t="str">
        <f>IF(F279="","",SUMIFS(RaceResults!$E:$E,RaceResults!$A:$A,$A279,RaceResults!$D:$D,F279))</f>
        <v/>
      </c>
      <c r="O279" s="11">
        <f t="shared" si="4"/>
        <v>0</v>
      </c>
    </row>
    <row r="280" spans="1:15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3"/>
      <c r="H280" s="3"/>
      <c r="I280" s="11" t="str">
        <f>IF(D280="","",SUMIFS(RaceResults!$C:$C,RaceResults!$A:$A,$A280,RaceResults!$D:$D,D280))</f>
        <v/>
      </c>
      <c r="J280" s="11" t="str">
        <f>IF(E280="","",SUMIFS(RaceResults!$C:$C,RaceResults!$A:$A,$A280,RaceResults!$D:$D,E280))</f>
        <v/>
      </c>
      <c r="K280" s="11" t="str">
        <f>IF(F280="","",SUMIFS(RaceResults!$C:$C,RaceResults!$A:$A,$A280,RaceResults!$D:$D,F280))</f>
        <v/>
      </c>
      <c r="L280" s="11" t="str">
        <f>IF(D280="","",SUMIFS(RaceResults!$E:$E,RaceResults!$A:$A,$A280,RaceResults!$D:$D,D280))</f>
        <v/>
      </c>
      <c r="M280" s="11" t="str">
        <f>IF(E280="","",SUMIFS(RaceResults!$E:$E,RaceResults!$A:$A,$A280,RaceResults!$D:$D,E280))</f>
        <v/>
      </c>
      <c r="N280" s="11" t="str">
        <f>IF(F280="","",SUMIFS(RaceResults!$E:$E,RaceResults!$A:$A,$A280,RaceResults!$D:$D,F280))</f>
        <v/>
      </c>
      <c r="O280" s="11">
        <f t="shared" si="4"/>
        <v>0</v>
      </c>
    </row>
    <row r="281" spans="1:15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3"/>
      <c r="H281" s="3"/>
      <c r="I281" s="11" t="str">
        <f>IF(D281="","",SUMIFS(RaceResults!$C:$C,RaceResults!$A:$A,$A281,RaceResults!$D:$D,D281))</f>
        <v/>
      </c>
      <c r="J281" s="11" t="str">
        <f>IF(E281="","",SUMIFS(RaceResults!$C:$C,RaceResults!$A:$A,$A281,RaceResults!$D:$D,E281))</f>
        <v/>
      </c>
      <c r="K281" s="11" t="str">
        <f>IF(F281="","",SUMIFS(RaceResults!$C:$C,RaceResults!$A:$A,$A281,RaceResults!$D:$D,F281))</f>
        <v/>
      </c>
      <c r="L281" s="11" t="str">
        <f>IF(D281="","",SUMIFS(RaceResults!$E:$E,RaceResults!$A:$A,$A281,RaceResults!$D:$D,D281))</f>
        <v/>
      </c>
      <c r="M281" s="11" t="str">
        <f>IF(E281="","",SUMIFS(RaceResults!$E:$E,RaceResults!$A:$A,$A281,RaceResults!$D:$D,E281))</f>
        <v/>
      </c>
      <c r="N281" s="11" t="str">
        <f>IF(F281="","",SUMIFS(RaceResults!$E:$E,RaceResults!$A:$A,$A281,RaceResults!$D:$D,F281))</f>
        <v/>
      </c>
      <c r="O281" s="11">
        <f t="shared" si="4"/>
        <v>0</v>
      </c>
    </row>
    <row r="282" spans="1:15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3"/>
      <c r="H282" s="3"/>
      <c r="I282" s="11" t="str">
        <f>IF(D282="","",SUMIFS(RaceResults!$C:$C,RaceResults!$A:$A,$A282,RaceResults!$D:$D,D282))</f>
        <v/>
      </c>
      <c r="J282" s="11" t="str">
        <f>IF(E282="","",SUMIFS(RaceResults!$C:$C,RaceResults!$A:$A,$A282,RaceResults!$D:$D,E282))</f>
        <v/>
      </c>
      <c r="K282" s="11" t="str">
        <f>IF(F282="","",SUMIFS(RaceResults!$C:$C,RaceResults!$A:$A,$A282,RaceResults!$D:$D,F282))</f>
        <v/>
      </c>
      <c r="L282" s="11" t="str">
        <f>IF(D282="","",SUMIFS(RaceResults!$E:$E,RaceResults!$A:$A,$A282,RaceResults!$D:$D,D282))</f>
        <v/>
      </c>
      <c r="M282" s="11" t="str">
        <f>IF(E282="","",SUMIFS(RaceResults!$E:$E,RaceResults!$A:$A,$A282,RaceResults!$D:$D,E282))</f>
        <v/>
      </c>
      <c r="N282" s="11" t="str">
        <f>IF(F282="","",SUMIFS(RaceResults!$E:$E,RaceResults!$A:$A,$A282,RaceResults!$D:$D,F282))</f>
        <v/>
      </c>
      <c r="O282" s="11">
        <f t="shared" si="4"/>
        <v>0</v>
      </c>
    </row>
    <row r="283" spans="1:15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3"/>
      <c r="H283" s="3"/>
      <c r="I283" s="11" t="str">
        <f>IF(D283="","",SUMIFS(RaceResults!$C:$C,RaceResults!$A:$A,$A283,RaceResults!$D:$D,D283))</f>
        <v/>
      </c>
      <c r="J283" s="11" t="str">
        <f>IF(E283="","",SUMIFS(RaceResults!$C:$C,RaceResults!$A:$A,$A283,RaceResults!$D:$D,E283))</f>
        <v/>
      </c>
      <c r="K283" s="11" t="str">
        <f>IF(F283="","",SUMIFS(RaceResults!$C:$C,RaceResults!$A:$A,$A283,RaceResults!$D:$D,F283))</f>
        <v/>
      </c>
      <c r="L283" s="11" t="str">
        <f>IF(D283="","",SUMIFS(RaceResults!$E:$E,RaceResults!$A:$A,$A283,RaceResults!$D:$D,D283))</f>
        <v/>
      </c>
      <c r="M283" s="11" t="str">
        <f>IF(E283="","",SUMIFS(RaceResults!$E:$E,RaceResults!$A:$A,$A283,RaceResults!$D:$D,E283))</f>
        <v/>
      </c>
      <c r="N283" s="11" t="str">
        <f>IF(F283="","",SUMIFS(RaceResults!$E:$E,RaceResults!$A:$A,$A283,RaceResults!$D:$D,F283))</f>
        <v/>
      </c>
      <c r="O283" s="11">
        <f t="shared" si="4"/>
        <v>0</v>
      </c>
    </row>
    <row r="284" spans="1:15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3"/>
      <c r="H284" s="3"/>
      <c r="I284" s="11" t="str">
        <f>IF(D284="","",SUMIFS(RaceResults!$C:$C,RaceResults!$A:$A,$A284,RaceResults!$D:$D,D284))</f>
        <v/>
      </c>
      <c r="J284" s="11" t="str">
        <f>IF(E284="","",SUMIFS(RaceResults!$C:$C,RaceResults!$A:$A,$A284,RaceResults!$D:$D,E284))</f>
        <v/>
      </c>
      <c r="K284" s="11" t="str">
        <f>IF(F284="","",SUMIFS(RaceResults!$C:$C,RaceResults!$A:$A,$A284,RaceResults!$D:$D,F284))</f>
        <v/>
      </c>
      <c r="L284" s="11" t="str">
        <f>IF(D284="","",SUMIFS(RaceResults!$E:$E,RaceResults!$A:$A,$A284,RaceResults!$D:$D,D284))</f>
        <v/>
      </c>
      <c r="M284" s="11" t="str">
        <f>IF(E284="","",SUMIFS(RaceResults!$E:$E,RaceResults!$A:$A,$A284,RaceResults!$D:$D,E284))</f>
        <v/>
      </c>
      <c r="N284" s="11" t="str">
        <f>IF(F284="","",SUMIFS(RaceResults!$E:$E,RaceResults!$A:$A,$A284,RaceResults!$D:$D,F284))</f>
        <v/>
      </c>
      <c r="O284" s="11">
        <f t="shared" si="4"/>
        <v>0</v>
      </c>
    </row>
    <row r="285" spans="1:15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3"/>
      <c r="H285" s="3"/>
      <c r="I285" s="11" t="str">
        <f>IF(D285="","",SUMIFS(RaceResults!$C:$C,RaceResults!$A:$A,$A285,RaceResults!$D:$D,D285))</f>
        <v/>
      </c>
      <c r="J285" s="11" t="str">
        <f>IF(E285="","",SUMIFS(RaceResults!$C:$C,RaceResults!$A:$A,$A285,RaceResults!$D:$D,E285))</f>
        <v/>
      </c>
      <c r="K285" s="11" t="str">
        <f>IF(F285="","",SUMIFS(RaceResults!$C:$C,RaceResults!$A:$A,$A285,RaceResults!$D:$D,F285))</f>
        <v/>
      </c>
      <c r="L285" s="11" t="str">
        <f>IF(D285="","",SUMIFS(RaceResults!$E:$E,RaceResults!$A:$A,$A285,RaceResults!$D:$D,D285))</f>
        <v/>
      </c>
      <c r="M285" s="11" t="str">
        <f>IF(E285="","",SUMIFS(RaceResults!$E:$E,RaceResults!$A:$A,$A285,RaceResults!$D:$D,E285))</f>
        <v/>
      </c>
      <c r="N285" s="11" t="str">
        <f>IF(F285="","",SUMIFS(RaceResults!$E:$E,RaceResults!$A:$A,$A285,RaceResults!$D:$D,F285))</f>
        <v/>
      </c>
      <c r="O285" s="11">
        <f t="shared" si="4"/>
        <v>0</v>
      </c>
    </row>
    <row r="286" spans="1:15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3"/>
      <c r="H286" s="3"/>
      <c r="I286" s="11" t="str">
        <f>IF(D286="","",SUMIFS(RaceResults!$C:$C,RaceResults!$A:$A,$A286,RaceResults!$D:$D,D286))</f>
        <v/>
      </c>
      <c r="J286" s="11" t="str">
        <f>IF(E286="","",SUMIFS(RaceResults!$C:$C,RaceResults!$A:$A,$A286,RaceResults!$D:$D,E286))</f>
        <v/>
      </c>
      <c r="K286" s="11" t="str">
        <f>IF(F286="","",SUMIFS(RaceResults!$C:$C,RaceResults!$A:$A,$A286,RaceResults!$D:$D,F286))</f>
        <v/>
      </c>
      <c r="L286" s="11" t="str">
        <f>IF(D286="","",SUMIFS(RaceResults!$E:$E,RaceResults!$A:$A,$A286,RaceResults!$D:$D,D286))</f>
        <v/>
      </c>
      <c r="M286" s="11" t="str">
        <f>IF(E286="","",SUMIFS(RaceResults!$E:$E,RaceResults!$A:$A,$A286,RaceResults!$D:$D,E286))</f>
        <v/>
      </c>
      <c r="N286" s="11" t="str">
        <f>IF(F286="","",SUMIFS(RaceResults!$E:$E,RaceResults!$A:$A,$A286,RaceResults!$D:$D,F286))</f>
        <v/>
      </c>
      <c r="O286" s="11">
        <f t="shared" si="4"/>
        <v>0</v>
      </c>
    </row>
    <row r="287" spans="1:15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3"/>
      <c r="H287" s="3"/>
      <c r="I287" s="11" t="str">
        <f>IF(D287="","",SUMIFS(RaceResults!$C:$C,RaceResults!$A:$A,$A287,RaceResults!$D:$D,D287))</f>
        <v/>
      </c>
      <c r="J287" s="11" t="str">
        <f>IF(E287="","",SUMIFS(RaceResults!$C:$C,RaceResults!$A:$A,$A287,RaceResults!$D:$D,E287))</f>
        <v/>
      </c>
      <c r="K287" s="11" t="str">
        <f>IF(F287="","",SUMIFS(RaceResults!$C:$C,RaceResults!$A:$A,$A287,RaceResults!$D:$D,F287))</f>
        <v/>
      </c>
      <c r="L287" s="11" t="str">
        <f>IF(D287="","",SUMIFS(RaceResults!$E:$E,RaceResults!$A:$A,$A287,RaceResults!$D:$D,D287))</f>
        <v/>
      </c>
      <c r="M287" s="11" t="str">
        <f>IF(E287="","",SUMIFS(RaceResults!$E:$E,RaceResults!$A:$A,$A287,RaceResults!$D:$D,E287))</f>
        <v/>
      </c>
      <c r="N287" s="11" t="str">
        <f>IF(F287="","",SUMIFS(RaceResults!$E:$E,RaceResults!$A:$A,$A287,RaceResults!$D:$D,F287))</f>
        <v/>
      </c>
      <c r="O287" s="11">
        <f t="shared" si="4"/>
        <v>0</v>
      </c>
    </row>
    <row r="288" spans="1:15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3"/>
      <c r="H288" s="3"/>
      <c r="I288" s="11" t="str">
        <f>IF(D288="","",SUMIFS(RaceResults!$C:$C,RaceResults!$A:$A,$A288,RaceResults!$D:$D,D288))</f>
        <v/>
      </c>
      <c r="J288" s="11" t="str">
        <f>IF(E288="","",SUMIFS(RaceResults!$C:$C,RaceResults!$A:$A,$A288,RaceResults!$D:$D,E288))</f>
        <v/>
      </c>
      <c r="K288" s="11" t="str">
        <f>IF(F288="","",SUMIFS(RaceResults!$C:$C,RaceResults!$A:$A,$A288,RaceResults!$D:$D,F288))</f>
        <v/>
      </c>
      <c r="L288" s="11" t="str">
        <f>IF(D288="","",SUMIFS(RaceResults!$E:$E,RaceResults!$A:$A,$A288,RaceResults!$D:$D,D288))</f>
        <v/>
      </c>
      <c r="M288" s="11" t="str">
        <f>IF(E288="","",SUMIFS(RaceResults!$E:$E,RaceResults!$A:$A,$A288,RaceResults!$D:$D,E288))</f>
        <v/>
      </c>
      <c r="N288" s="11" t="str">
        <f>IF(F288="","",SUMIFS(RaceResults!$E:$E,RaceResults!$A:$A,$A288,RaceResults!$D:$D,F288))</f>
        <v/>
      </c>
      <c r="O288" s="11">
        <f t="shared" si="4"/>
        <v>0</v>
      </c>
    </row>
    <row r="289" spans="1:15" x14ac:dyDescent="0.3">
      <c r="A289" s="9">
        <v>29</v>
      </c>
      <c r="B289" s="9" t="s">
        <v>63</v>
      </c>
      <c r="C289" s="10" t="s">
        <v>163</v>
      </c>
      <c r="D289" s="3"/>
      <c r="E289" s="3"/>
      <c r="F289" s="3"/>
      <c r="G289" s="3"/>
      <c r="H289" s="3"/>
      <c r="I289" s="11" t="str">
        <f>IF(D289="","",SUMIFS(RaceResults!$C:$C,RaceResults!$A:$A,$A289,RaceResults!$D:$D,D289))</f>
        <v/>
      </c>
      <c r="J289" s="11" t="str">
        <f>IF(E289="","",SUMIFS(RaceResults!$C:$C,RaceResults!$A:$A,$A289,RaceResults!$D:$D,E289))</f>
        <v/>
      </c>
      <c r="K289" s="11" t="str">
        <f>IF(F289="","",SUMIFS(RaceResults!$C:$C,RaceResults!$A:$A,$A289,RaceResults!$D:$D,F289))</f>
        <v/>
      </c>
      <c r="L289" s="11" t="str">
        <f>IF(D289="","",SUMIFS(RaceResults!$E:$E,RaceResults!$A:$A,$A289,RaceResults!$D:$D,D289))</f>
        <v/>
      </c>
      <c r="M289" s="11" t="str">
        <f>IF(E289="","",SUMIFS(RaceResults!$E:$E,RaceResults!$A:$A,$A289,RaceResults!$D:$D,E289))</f>
        <v/>
      </c>
      <c r="N289" s="11" t="str">
        <f>IF(F289="","",SUMIFS(RaceResults!$E:$E,RaceResults!$A:$A,$A289,RaceResults!$D:$D,F289))</f>
        <v/>
      </c>
      <c r="O289" s="11">
        <f t="shared" si="4"/>
        <v>0</v>
      </c>
    </row>
    <row r="290" spans="1:15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3"/>
      <c r="H290" s="3"/>
      <c r="I290" s="11" t="str">
        <f>IF(D290="","",SUMIFS(RaceResults!$C:$C,RaceResults!$A:$A,$A290,RaceResults!$D:$D,D290))</f>
        <v/>
      </c>
      <c r="J290" s="11" t="str">
        <f>IF(E290="","",SUMIFS(RaceResults!$C:$C,RaceResults!$A:$A,$A290,RaceResults!$D:$D,E290))</f>
        <v/>
      </c>
      <c r="K290" s="11" t="str">
        <f>IF(F290="","",SUMIFS(RaceResults!$C:$C,RaceResults!$A:$A,$A290,RaceResults!$D:$D,F290))</f>
        <v/>
      </c>
      <c r="L290" s="11" t="str">
        <f>IF(D290="","",SUMIFS(RaceResults!$E:$E,RaceResults!$A:$A,$A290,RaceResults!$D:$D,D290))</f>
        <v/>
      </c>
      <c r="M290" s="11" t="str">
        <f>IF(E290="","",SUMIFS(RaceResults!$E:$E,RaceResults!$A:$A,$A290,RaceResults!$D:$D,E290))</f>
        <v/>
      </c>
      <c r="N290" s="11" t="str">
        <f>IF(F290="","",SUMIFS(RaceResults!$E:$E,RaceResults!$A:$A,$A290,RaceResults!$D:$D,F290))</f>
        <v/>
      </c>
      <c r="O290" s="11">
        <f t="shared" si="4"/>
        <v>0</v>
      </c>
    </row>
    <row r="291" spans="1:15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3"/>
      <c r="H291" s="3"/>
      <c r="I291" s="11" t="str">
        <f>IF(D291="","",SUMIFS(RaceResults!$C:$C,RaceResults!$A:$A,$A291,RaceResults!$D:$D,D291))</f>
        <v/>
      </c>
      <c r="J291" s="11" t="str">
        <f>IF(E291="","",SUMIFS(RaceResults!$C:$C,RaceResults!$A:$A,$A291,RaceResults!$D:$D,E291))</f>
        <v/>
      </c>
      <c r="K291" s="11" t="str">
        <f>IF(F291="","",SUMIFS(RaceResults!$C:$C,RaceResults!$A:$A,$A291,RaceResults!$D:$D,F291))</f>
        <v/>
      </c>
      <c r="L291" s="11" t="str">
        <f>IF(D291="","",SUMIFS(RaceResults!$E:$E,RaceResults!$A:$A,$A291,RaceResults!$D:$D,D291))</f>
        <v/>
      </c>
      <c r="M291" s="11" t="str">
        <f>IF(E291="","",SUMIFS(RaceResults!$E:$E,RaceResults!$A:$A,$A291,RaceResults!$D:$D,E291))</f>
        <v/>
      </c>
      <c r="N291" s="11" t="str">
        <f>IF(F291="","",SUMIFS(RaceResults!$E:$E,RaceResults!$A:$A,$A291,RaceResults!$D:$D,F291))</f>
        <v/>
      </c>
      <c r="O291" s="11">
        <f t="shared" si="4"/>
        <v>0</v>
      </c>
    </row>
    <row r="292" spans="1:15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3"/>
      <c r="H292" s="3"/>
      <c r="I292" s="11" t="str">
        <f>IF(D292="","",SUMIFS(RaceResults!$C:$C,RaceResults!$A:$A,$A292,RaceResults!$D:$D,D292))</f>
        <v/>
      </c>
      <c r="J292" s="11" t="str">
        <f>IF(E292="","",SUMIFS(RaceResults!$C:$C,RaceResults!$A:$A,$A292,RaceResults!$D:$D,E292))</f>
        <v/>
      </c>
      <c r="K292" s="11" t="str">
        <f>IF(F292="","",SUMIFS(RaceResults!$C:$C,RaceResults!$A:$A,$A292,RaceResults!$D:$D,F292))</f>
        <v/>
      </c>
      <c r="L292" s="11" t="str">
        <f>IF(D292="","",SUMIFS(RaceResults!$E:$E,RaceResults!$A:$A,$A292,RaceResults!$D:$D,D292))</f>
        <v/>
      </c>
      <c r="M292" s="11" t="str">
        <f>IF(E292="","",SUMIFS(RaceResults!$E:$E,RaceResults!$A:$A,$A292,RaceResults!$D:$D,E292))</f>
        <v/>
      </c>
      <c r="N292" s="11" t="str">
        <f>IF(F292="","",SUMIFS(RaceResults!$E:$E,RaceResults!$A:$A,$A292,RaceResults!$D:$D,F292))</f>
        <v/>
      </c>
      <c r="O292" s="11">
        <f t="shared" si="4"/>
        <v>0</v>
      </c>
    </row>
    <row r="293" spans="1:15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3"/>
      <c r="H293" s="3"/>
      <c r="I293" s="11" t="str">
        <f>IF(D293="","",SUMIFS(RaceResults!$C:$C,RaceResults!$A:$A,$A293,RaceResults!$D:$D,D293))</f>
        <v/>
      </c>
      <c r="J293" s="11" t="str">
        <f>IF(E293="","",SUMIFS(RaceResults!$C:$C,RaceResults!$A:$A,$A293,RaceResults!$D:$D,E293))</f>
        <v/>
      </c>
      <c r="K293" s="11" t="str">
        <f>IF(F293="","",SUMIFS(RaceResults!$C:$C,RaceResults!$A:$A,$A293,RaceResults!$D:$D,F293))</f>
        <v/>
      </c>
      <c r="L293" s="11" t="str">
        <f>IF(D293="","",SUMIFS(RaceResults!$E:$E,RaceResults!$A:$A,$A293,RaceResults!$D:$D,D293))</f>
        <v/>
      </c>
      <c r="M293" s="11" t="str">
        <f>IF(E293="","",SUMIFS(RaceResults!$E:$E,RaceResults!$A:$A,$A293,RaceResults!$D:$D,E293))</f>
        <v/>
      </c>
      <c r="N293" s="11" t="str">
        <f>IF(F293="","",SUMIFS(RaceResults!$E:$E,RaceResults!$A:$A,$A293,RaceResults!$D:$D,F293))</f>
        <v/>
      </c>
      <c r="O293" s="11">
        <f t="shared" si="4"/>
        <v>0</v>
      </c>
    </row>
    <row r="294" spans="1:15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3"/>
      <c r="H294" s="3"/>
      <c r="I294" s="11" t="str">
        <f>IF(D294="","",SUMIFS(RaceResults!$C:$C,RaceResults!$A:$A,$A294,RaceResults!$D:$D,D294))</f>
        <v/>
      </c>
      <c r="J294" s="11" t="str">
        <f>IF(E294="","",SUMIFS(RaceResults!$C:$C,RaceResults!$A:$A,$A294,RaceResults!$D:$D,E294))</f>
        <v/>
      </c>
      <c r="K294" s="11" t="str">
        <f>IF(F294="","",SUMIFS(RaceResults!$C:$C,RaceResults!$A:$A,$A294,RaceResults!$D:$D,F294))</f>
        <v/>
      </c>
      <c r="L294" s="11" t="str">
        <f>IF(D294="","",SUMIFS(RaceResults!$E:$E,RaceResults!$A:$A,$A294,RaceResults!$D:$D,D294))</f>
        <v/>
      </c>
      <c r="M294" s="11" t="str">
        <f>IF(E294="","",SUMIFS(RaceResults!$E:$E,RaceResults!$A:$A,$A294,RaceResults!$D:$D,E294))</f>
        <v/>
      </c>
      <c r="N294" s="11" t="str">
        <f>IF(F294="","",SUMIFS(RaceResults!$E:$E,RaceResults!$A:$A,$A294,RaceResults!$D:$D,F294))</f>
        <v/>
      </c>
      <c r="O294" s="11">
        <f t="shared" si="4"/>
        <v>0</v>
      </c>
    </row>
    <row r="295" spans="1:15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3"/>
      <c r="H295" s="3"/>
      <c r="I295" s="11" t="str">
        <f>IF(D295="","",SUMIFS(RaceResults!$C:$C,RaceResults!$A:$A,$A295,RaceResults!$D:$D,D295))</f>
        <v/>
      </c>
      <c r="J295" s="11" t="str">
        <f>IF(E295="","",SUMIFS(RaceResults!$C:$C,RaceResults!$A:$A,$A295,RaceResults!$D:$D,E295))</f>
        <v/>
      </c>
      <c r="K295" s="11" t="str">
        <f>IF(F295="","",SUMIFS(RaceResults!$C:$C,RaceResults!$A:$A,$A295,RaceResults!$D:$D,F295))</f>
        <v/>
      </c>
      <c r="L295" s="11" t="str">
        <f>IF(D295="","",SUMIFS(RaceResults!$E:$E,RaceResults!$A:$A,$A295,RaceResults!$D:$D,D295))</f>
        <v/>
      </c>
      <c r="M295" s="11" t="str">
        <f>IF(E295="","",SUMIFS(RaceResults!$E:$E,RaceResults!$A:$A,$A295,RaceResults!$D:$D,E295))</f>
        <v/>
      </c>
      <c r="N295" s="11" t="str">
        <f>IF(F295="","",SUMIFS(RaceResults!$E:$E,RaceResults!$A:$A,$A295,RaceResults!$D:$D,F295))</f>
        <v/>
      </c>
      <c r="O295" s="11">
        <f t="shared" si="4"/>
        <v>0</v>
      </c>
    </row>
    <row r="296" spans="1:15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3"/>
      <c r="H296" s="3"/>
      <c r="I296" s="11" t="str">
        <f>IF(D296="","",SUMIFS(RaceResults!$C:$C,RaceResults!$A:$A,$A296,RaceResults!$D:$D,D296))</f>
        <v/>
      </c>
      <c r="J296" s="11" t="str">
        <f>IF(E296="","",SUMIFS(RaceResults!$C:$C,RaceResults!$A:$A,$A296,RaceResults!$D:$D,E296))</f>
        <v/>
      </c>
      <c r="K296" s="11" t="str">
        <f>IF(F296="","",SUMIFS(RaceResults!$C:$C,RaceResults!$A:$A,$A296,RaceResults!$D:$D,F296))</f>
        <v/>
      </c>
      <c r="L296" s="11" t="str">
        <f>IF(D296="","",SUMIFS(RaceResults!$E:$E,RaceResults!$A:$A,$A296,RaceResults!$D:$D,D296))</f>
        <v/>
      </c>
      <c r="M296" s="11" t="str">
        <f>IF(E296="","",SUMIFS(RaceResults!$E:$E,RaceResults!$A:$A,$A296,RaceResults!$D:$D,E296))</f>
        <v/>
      </c>
      <c r="N296" s="11" t="str">
        <f>IF(F296="","",SUMIFS(RaceResults!$E:$E,RaceResults!$A:$A,$A296,RaceResults!$D:$D,F296))</f>
        <v/>
      </c>
      <c r="O296" s="11">
        <f t="shared" si="4"/>
        <v>0</v>
      </c>
    </row>
    <row r="297" spans="1:15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3"/>
      <c r="H297" s="3"/>
      <c r="I297" s="11" t="str">
        <f>IF(D297="","",SUMIFS(RaceResults!$C:$C,RaceResults!$A:$A,$A297,RaceResults!$D:$D,D297))</f>
        <v/>
      </c>
      <c r="J297" s="11" t="str">
        <f>IF(E297="","",SUMIFS(RaceResults!$C:$C,RaceResults!$A:$A,$A297,RaceResults!$D:$D,E297))</f>
        <v/>
      </c>
      <c r="K297" s="11" t="str">
        <f>IF(F297="","",SUMIFS(RaceResults!$C:$C,RaceResults!$A:$A,$A297,RaceResults!$D:$D,F297))</f>
        <v/>
      </c>
      <c r="L297" s="11" t="str">
        <f>IF(D297="","",SUMIFS(RaceResults!$E:$E,RaceResults!$A:$A,$A297,RaceResults!$D:$D,D297))</f>
        <v/>
      </c>
      <c r="M297" s="11" t="str">
        <f>IF(E297="","",SUMIFS(RaceResults!$E:$E,RaceResults!$A:$A,$A297,RaceResults!$D:$D,E297))</f>
        <v/>
      </c>
      <c r="N297" s="11" t="str">
        <f>IF(F297="","",SUMIFS(RaceResults!$E:$E,RaceResults!$A:$A,$A297,RaceResults!$D:$D,F297))</f>
        <v/>
      </c>
      <c r="O297" s="11">
        <f t="shared" si="4"/>
        <v>0</v>
      </c>
    </row>
    <row r="298" spans="1:15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3"/>
      <c r="H298" s="3"/>
      <c r="I298" s="11" t="str">
        <f>IF(D298="","",SUMIFS(RaceResults!$C:$C,RaceResults!$A:$A,$A298,RaceResults!$D:$D,D298))</f>
        <v/>
      </c>
      <c r="J298" s="11" t="str">
        <f>IF(E298="","",SUMIFS(RaceResults!$C:$C,RaceResults!$A:$A,$A298,RaceResults!$D:$D,E298))</f>
        <v/>
      </c>
      <c r="K298" s="11" t="str">
        <f>IF(F298="","",SUMIFS(RaceResults!$C:$C,RaceResults!$A:$A,$A298,RaceResults!$D:$D,F298))</f>
        <v/>
      </c>
      <c r="L298" s="11" t="str">
        <f>IF(D298="","",SUMIFS(RaceResults!$E:$E,RaceResults!$A:$A,$A298,RaceResults!$D:$D,D298))</f>
        <v/>
      </c>
      <c r="M298" s="11" t="str">
        <f>IF(E298="","",SUMIFS(RaceResults!$E:$E,RaceResults!$A:$A,$A298,RaceResults!$D:$D,E298))</f>
        <v/>
      </c>
      <c r="N298" s="11" t="str">
        <f>IF(F298="","",SUMIFS(RaceResults!$E:$E,RaceResults!$A:$A,$A298,RaceResults!$D:$D,F298))</f>
        <v/>
      </c>
      <c r="O298" s="11">
        <f t="shared" si="4"/>
        <v>0</v>
      </c>
    </row>
    <row r="299" spans="1:15" x14ac:dyDescent="0.3">
      <c r="A299" s="9">
        <v>30</v>
      </c>
      <c r="B299" s="9" t="s">
        <v>65</v>
      </c>
      <c r="C299" s="10" t="s">
        <v>163</v>
      </c>
      <c r="D299" s="3"/>
      <c r="E299" s="3"/>
      <c r="F299" s="3"/>
      <c r="G299" s="3"/>
      <c r="H299" s="3"/>
      <c r="I299" s="11" t="str">
        <f>IF(D299="","",SUMIFS(RaceResults!$C:$C,RaceResults!$A:$A,$A299,RaceResults!$D:$D,D299))</f>
        <v/>
      </c>
      <c r="J299" s="11" t="str">
        <f>IF(E299="","",SUMIFS(RaceResults!$C:$C,RaceResults!$A:$A,$A299,RaceResults!$D:$D,E299))</f>
        <v/>
      </c>
      <c r="K299" s="11" t="str">
        <f>IF(F299="","",SUMIFS(RaceResults!$C:$C,RaceResults!$A:$A,$A299,RaceResults!$D:$D,F299))</f>
        <v/>
      </c>
      <c r="L299" s="11" t="str">
        <f>IF(D299="","",SUMIFS(RaceResults!$E:$E,RaceResults!$A:$A,$A299,RaceResults!$D:$D,D299))</f>
        <v/>
      </c>
      <c r="M299" s="11" t="str">
        <f>IF(E299="","",SUMIFS(RaceResults!$E:$E,RaceResults!$A:$A,$A299,RaceResults!$D:$D,E299))</f>
        <v/>
      </c>
      <c r="N299" s="11" t="str">
        <f>IF(F299="","",SUMIFS(RaceResults!$E:$E,RaceResults!$A:$A,$A299,RaceResults!$D:$D,F299))</f>
        <v/>
      </c>
      <c r="O299" s="11">
        <f t="shared" si="4"/>
        <v>0</v>
      </c>
    </row>
    <row r="300" spans="1:15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3"/>
      <c r="H300" s="3"/>
      <c r="I300" s="11" t="str">
        <f>IF(D300="","",SUMIFS(RaceResults!$C:$C,RaceResults!$A:$A,$A300,RaceResults!$D:$D,D300))</f>
        <v/>
      </c>
      <c r="J300" s="11" t="str">
        <f>IF(E300="","",SUMIFS(RaceResults!$C:$C,RaceResults!$A:$A,$A300,RaceResults!$D:$D,E300))</f>
        <v/>
      </c>
      <c r="K300" s="11" t="str">
        <f>IF(F300="","",SUMIFS(RaceResults!$C:$C,RaceResults!$A:$A,$A300,RaceResults!$D:$D,F300))</f>
        <v/>
      </c>
      <c r="L300" s="11" t="str">
        <f>IF(D300="","",SUMIFS(RaceResults!$E:$E,RaceResults!$A:$A,$A300,RaceResults!$D:$D,D300))</f>
        <v/>
      </c>
      <c r="M300" s="11" t="str">
        <f>IF(E300="","",SUMIFS(RaceResults!$E:$E,RaceResults!$A:$A,$A300,RaceResults!$D:$D,E300))</f>
        <v/>
      </c>
      <c r="N300" s="11" t="str">
        <f>IF(F300="","",SUMIFS(RaceResults!$E:$E,RaceResults!$A:$A,$A300,RaceResults!$D:$D,F300))</f>
        <v/>
      </c>
      <c r="O300" s="11">
        <f t="shared" si="4"/>
        <v>0</v>
      </c>
    </row>
    <row r="301" spans="1:15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3"/>
      <c r="H301" s="3"/>
      <c r="I301" s="11" t="str">
        <f>IF(D301="","",SUMIFS(RaceResults!$C:$C,RaceResults!$A:$A,$A301,RaceResults!$D:$D,D301))</f>
        <v/>
      </c>
      <c r="J301" s="11" t="str">
        <f>IF(E301="","",SUMIFS(RaceResults!$C:$C,RaceResults!$A:$A,$A301,RaceResults!$D:$D,E301))</f>
        <v/>
      </c>
      <c r="K301" s="11" t="str">
        <f>IF(F301="","",SUMIFS(RaceResults!$C:$C,RaceResults!$A:$A,$A301,RaceResults!$D:$D,F301))</f>
        <v/>
      </c>
      <c r="L301" s="11" t="str">
        <f>IF(D301="","",SUMIFS(RaceResults!$E:$E,RaceResults!$A:$A,$A301,RaceResults!$D:$D,D301))</f>
        <v/>
      </c>
      <c r="M301" s="11" t="str">
        <f>IF(E301="","",SUMIFS(RaceResults!$E:$E,RaceResults!$A:$A,$A301,RaceResults!$D:$D,E301))</f>
        <v/>
      </c>
      <c r="N301" s="11" t="str">
        <f>IF(F301="","",SUMIFS(RaceResults!$E:$E,RaceResults!$A:$A,$A301,RaceResults!$D:$D,F301))</f>
        <v/>
      </c>
      <c r="O301" s="11">
        <f t="shared" si="4"/>
        <v>0</v>
      </c>
    </row>
    <row r="302" spans="1:15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3"/>
      <c r="H302" s="3"/>
      <c r="I302" s="11" t="str">
        <f>IF(D302="","",SUMIFS(RaceResults!$C:$C,RaceResults!$A:$A,$A302,RaceResults!$D:$D,D302))</f>
        <v/>
      </c>
      <c r="J302" s="11" t="str">
        <f>IF(E302="","",SUMIFS(RaceResults!$C:$C,RaceResults!$A:$A,$A302,RaceResults!$D:$D,E302))</f>
        <v/>
      </c>
      <c r="K302" s="11" t="str">
        <f>IF(F302="","",SUMIFS(RaceResults!$C:$C,RaceResults!$A:$A,$A302,RaceResults!$D:$D,F302))</f>
        <v/>
      </c>
      <c r="L302" s="11" t="str">
        <f>IF(D302="","",SUMIFS(RaceResults!$E:$E,RaceResults!$A:$A,$A302,RaceResults!$D:$D,D302))</f>
        <v/>
      </c>
      <c r="M302" s="11" t="str">
        <f>IF(E302="","",SUMIFS(RaceResults!$E:$E,RaceResults!$A:$A,$A302,RaceResults!$D:$D,E302))</f>
        <v/>
      </c>
      <c r="N302" s="11" t="str">
        <f>IF(F302="","",SUMIFS(RaceResults!$E:$E,RaceResults!$A:$A,$A302,RaceResults!$D:$D,F302))</f>
        <v/>
      </c>
      <c r="O302" s="11">
        <f t="shared" si="4"/>
        <v>0</v>
      </c>
    </row>
    <row r="303" spans="1:15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3"/>
      <c r="H303" s="3"/>
      <c r="I303" s="11" t="str">
        <f>IF(D303="","",SUMIFS(RaceResults!$C:$C,RaceResults!$A:$A,$A303,RaceResults!$D:$D,D303))</f>
        <v/>
      </c>
      <c r="J303" s="11" t="str">
        <f>IF(E303="","",SUMIFS(RaceResults!$C:$C,RaceResults!$A:$A,$A303,RaceResults!$D:$D,E303))</f>
        <v/>
      </c>
      <c r="K303" s="11" t="str">
        <f>IF(F303="","",SUMIFS(RaceResults!$C:$C,RaceResults!$A:$A,$A303,RaceResults!$D:$D,F303))</f>
        <v/>
      </c>
      <c r="L303" s="11" t="str">
        <f>IF(D303="","",SUMIFS(RaceResults!$E:$E,RaceResults!$A:$A,$A303,RaceResults!$D:$D,D303))</f>
        <v/>
      </c>
      <c r="M303" s="11" t="str">
        <f>IF(E303="","",SUMIFS(RaceResults!$E:$E,RaceResults!$A:$A,$A303,RaceResults!$D:$D,E303))</f>
        <v/>
      </c>
      <c r="N303" s="11" t="str">
        <f>IF(F303="","",SUMIFS(RaceResults!$E:$E,RaceResults!$A:$A,$A303,RaceResults!$D:$D,F303))</f>
        <v/>
      </c>
      <c r="O303" s="11">
        <f t="shared" si="4"/>
        <v>0</v>
      </c>
    </row>
    <row r="304" spans="1:15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3"/>
      <c r="H304" s="3"/>
      <c r="I304" s="11" t="str">
        <f>IF(D304="","",SUMIFS(RaceResults!$C:$C,RaceResults!$A:$A,$A304,RaceResults!$D:$D,D304))</f>
        <v/>
      </c>
      <c r="J304" s="11" t="str">
        <f>IF(E304="","",SUMIFS(RaceResults!$C:$C,RaceResults!$A:$A,$A304,RaceResults!$D:$D,E304))</f>
        <v/>
      </c>
      <c r="K304" s="11" t="str">
        <f>IF(F304="","",SUMIFS(RaceResults!$C:$C,RaceResults!$A:$A,$A304,RaceResults!$D:$D,F304))</f>
        <v/>
      </c>
      <c r="L304" s="11" t="str">
        <f>IF(D304="","",SUMIFS(RaceResults!$E:$E,RaceResults!$A:$A,$A304,RaceResults!$D:$D,D304))</f>
        <v/>
      </c>
      <c r="M304" s="11" t="str">
        <f>IF(E304="","",SUMIFS(RaceResults!$E:$E,RaceResults!$A:$A,$A304,RaceResults!$D:$D,E304))</f>
        <v/>
      </c>
      <c r="N304" s="11" t="str">
        <f>IF(F304="","",SUMIFS(RaceResults!$E:$E,RaceResults!$A:$A,$A304,RaceResults!$D:$D,F304))</f>
        <v/>
      </c>
      <c r="O304" s="11">
        <f t="shared" si="4"/>
        <v>0</v>
      </c>
    </row>
    <row r="305" spans="1:15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3"/>
      <c r="H305" s="3"/>
      <c r="I305" s="11" t="str">
        <f>IF(D305="","",SUMIFS(RaceResults!$C:$C,RaceResults!$A:$A,$A305,RaceResults!$D:$D,D305))</f>
        <v/>
      </c>
      <c r="J305" s="11" t="str">
        <f>IF(E305="","",SUMIFS(RaceResults!$C:$C,RaceResults!$A:$A,$A305,RaceResults!$D:$D,E305))</f>
        <v/>
      </c>
      <c r="K305" s="11" t="str">
        <f>IF(F305="","",SUMIFS(RaceResults!$C:$C,RaceResults!$A:$A,$A305,RaceResults!$D:$D,F305))</f>
        <v/>
      </c>
      <c r="L305" s="11" t="str">
        <f>IF(D305="","",SUMIFS(RaceResults!$E:$E,RaceResults!$A:$A,$A305,RaceResults!$D:$D,D305))</f>
        <v/>
      </c>
      <c r="M305" s="11" t="str">
        <f>IF(E305="","",SUMIFS(RaceResults!$E:$E,RaceResults!$A:$A,$A305,RaceResults!$D:$D,E305))</f>
        <v/>
      </c>
      <c r="N305" s="11" t="str">
        <f>IF(F305="","",SUMIFS(RaceResults!$E:$E,RaceResults!$A:$A,$A305,RaceResults!$D:$D,F305))</f>
        <v/>
      </c>
      <c r="O305" s="11">
        <f t="shared" si="4"/>
        <v>0</v>
      </c>
    </row>
    <row r="306" spans="1:15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3"/>
      <c r="H306" s="3"/>
      <c r="I306" s="11" t="str">
        <f>IF(D306="","",SUMIFS(RaceResults!$C:$C,RaceResults!$A:$A,$A306,RaceResults!$D:$D,D306))</f>
        <v/>
      </c>
      <c r="J306" s="11" t="str">
        <f>IF(E306="","",SUMIFS(RaceResults!$C:$C,RaceResults!$A:$A,$A306,RaceResults!$D:$D,E306))</f>
        <v/>
      </c>
      <c r="K306" s="11" t="str">
        <f>IF(F306="","",SUMIFS(RaceResults!$C:$C,RaceResults!$A:$A,$A306,RaceResults!$D:$D,F306))</f>
        <v/>
      </c>
      <c r="L306" s="11" t="str">
        <f>IF(D306="","",SUMIFS(RaceResults!$E:$E,RaceResults!$A:$A,$A306,RaceResults!$D:$D,D306))</f>
        <v/>
      </c>
      <c r="M306" s="11" t="str">
        <f>IF(E306="","",SUMIFS(RaceResults!$E:$E,RaceResults!$A:$A,$A306,RaceResults!$D:$D,E306))</f>
        <v/>
      </c>
      <c r="N306" s="11" t="str">
        <f>IF(F306="","",SUMIFS(RaceResults!$E:$E,RaceResults!$A:$A,$A306,RaceResults!$D:$D,F306))</f>
        <v/>
      </c>
      <c r="O306" s="11">
        <f t="shared" si="4"/>
        <v>0</v>
      </c>
    </row>
    <row r="307" spans="1:15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3"/>
      <c r="H307" s="3"/>
      <c r="I307" s="11" t="str">
        <f>IF(D307="","",SUMIFS(RaceResults!$C:$C,RaceResults!$A:$A,$A307,RaceResults!$D:$D,D307))</f>
        <v/>
      </c>
      <c r="J307" s="11" t="str">
        <f>IF(E307="","",SUMIFS(RaceResults!$C:$C,RaceResults!$A:$A,$A307,RaceResults!$D:$D,E307))</f>
        <v/>
      </c>
      <c r="K307" s="11" t="str">
        <f>IF(F307="","",SUMIFS(RaceResults!$C:$C,RaceResults!$A:$A,$A307,RaceResults!$D:$D,F307))</f>
        <v/>
      </c>
      <c r="L307" s="11" t="str">
        <f>IF(D307="","",SUMIFS(RaceResults!$E:$E,RaceResults!$A:$A,$A307,RaceResults!$D:$D,D307))</f>
        <v/>
      </c>
      <c r="M307" s="11" t="str">
        <f>IF(E307="","",SUMIFS(RaceResults!$E:$E,RaceResults!$A:$A,$A307,RaceResults!$D:$D,E307))</f>
        <v/>
      </c>
      <c r="N307" s="11" t="str">
        <f>IF(F307="","",SUMIFS(RaceResults!$E:$E,RaceResults!$A:$A,$A307,RaceResults!$D:$D,F307))</f>
        <v/>
      </c>
      <c r="O307" s="11">
        <f t="shared" si="4"/>
        <v>0</v>
      </c>
    </row>
    <row r="308" spans="1:15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3"/>
      <c r="H308" s="3"/>
      <c r="I308" s="11" t="str">
        <f>IF(D308="","",SUMIFS(RaceResults!$C:$C,RaceResults!$A:$A,$A308,RaceResults!$D:$D,D308))</f>
        <v/>
      </c>
      <c r="J308" s="11" t="str">
        <f>IF(E308="","",SUMIFS(RaceResults!$C:$C,RaceResults!$A:$A,$A308,RaceResults!$D:$D,E308))</f>
        <v/>
      </c>
      <c r="K308" s="11" t="str">
        <f>IF(F308="","",SUMIFS(RaceResults!$C:$C,RaceResults!$A:$A,$A308,RaceResults!$D:$D,F308))</f>
        <v/>
      </c>
      <c r="L308" s="11" t="str">
        <f>IF(D308="","",SUMIFS(RaceResults!$E:$E,RaceResults!$A:$A,$A308,RaceResults!$D:$D,D308))</f>
        <v/>
      </c>
      <c r="M308" s="11" t="str">
        <f>IF(E308="","",SUMIFS(RaceResults!$E:$E,RaceResults!$A:$A,$A308,RaceResults!$D:$D,E308))</f>
        <v/>
      </c>
      <c r="N308" s="11" t="str">
        <f>IF(F308="","",SUMIFS(RaceResults!$E:$E,RaceResults!$A:$A,$A308,RaceResults!$D:$D,F308))</f>
        <v/>
      </c>
      <c r="O308" s="11">
        <f t="shared" si="4"/>
        <v>0</v>
      </c>
    </row>
    <row r="309" spans="1:15" x14ac:dyDescent="0.3">
      <c r="A309" s="9">
        <v>31</v>
      </c>
      <c r="B309" s="9" t="s">
        <v>57</v>
      </c>
      <c r="C309" s="10" t="s">
        <v>163</v>
      </c>
      <c r="D309" s="3"/>
      <c r="E309" s="3"/>
      <c r="F309" s="3"/>
      <c r="G309" s="3"/>
      <c r="H309" s="3"/>
      <c r="I309" s="11" t="str">
        <f>IF(D309="","",SUMIFS(RaceResults!$C:$C,RaceResults!$A:$A,$A309,RaceResults!$D:$D,D309))</f>
        <v/>
      </c>
      <c r="J309" s="11" t="str">
        <f>IF(E309="","",SUMIFS(RaceResults!$C:$C,RaceResults!$A:$A,$A309,RaceResults!$D:$D,E309))</f>
        <v/>
      </c>
      <c r="K309" s="11" t="str">
        <f>IF(F309="","",SUMIFS(RaceResults!$C:$C,RaceResults!$A:$A,$A309,RaceResults!$D:$D,F309))</f>
        <v/>
      </c>
      <c r="L309" s="11" t="str">
        <f>IF(D309="","",SUMIFS(RaceResults!$E:$E,RaceResults!$A:$A,$A309,RaceResults!$D:$D,D309))</f>
        <v/>
      </c>
      <c r="M309" s="11" t="str">
        <f>IF(E309="","",SUMIFS(RaceResults!$E:$E,RaceResults!$A:$A,$A309,RaceResults!$D:$D,E309))</f>
        <v/>
      </c>
      <c r="N309" s="11" t="str">
        <f>IF(F309="","",SUMIFS(RaceResults!$E:$E,RaceResults!$A:$A,$A309,RaceResults!$D:$D,F309))</f>
        <v/>
      </c>
      <c r="O309" s="11">
        <f t="shared" si="4"/>
        <v>0</v>
      </c>
    </row>
    <row r="310" spans="1:15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3"/>
      <c r="H310" s="3"/>
      <c r="I310" s="11" t="str">
        <f>IF(D310="","",SUMIFS(RaceResults!$C:$C,RaceResults!$A:$A,$A310,RaceResults!$D:$D,D310))</f>
        <v/>
      </c>
      <c r="J310" s="11" t="str">
        <f>IF(E310="","",SUMIFS(RaceResults!$C:$C,RaceResults!$A:$A,$A310,RaceResults!$D:$D,E310))</f>
        <v/>
      </c>
      <c r="K310" s="11" t="str">
        <f>IF(F310="","",SUMIFS(RaceResults!$C:$C,RaceResults!$A:$A,$A310,RaceResults!$D:$D,F310))</f>
        <v/>
      </c>
      <c r="L310" s="11" t="str">
        <f>IF(D310="","",SUMIFS(RaceResults!$E:$E,RaceResults!$A:$A,$A310,RaceResults!$D:$D,D310))</f>
        <v/>
      </c>
      <c r="M310" s="11" t="str">
        <f>IF(E310="","",SUMIFS(RaceResults!$E:$E,RaceResults!$A:$A,$A310,RaceResults!$D:$D,E310))</f>
        <v/>
      </c>
      <c r="N310" s="11" t="str">
        <f>IF(F310="","",SUMIFS(RaceResults!$E:$E,RaceResults!$A:$A,$A310,RaceResults!$D:$D,F310))</f>
        <v/>
      </c>
      <c r="O310" s="11">
        <f t="shared" si="4"/>
        <v>0</v>
      </c>
    </row>
    <row r="311" spans="1:15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3"/>
      <c r="H311" s="3"/>
      <c r="I311" s="11" t="str">
        <f>IF(D311="","",SUMIFS(RaceResults!$C:$C,RaceResults!$A:$A,$A311,RaceResults!$D:$D,D311))</f>
        <v/>
      </c>
      <c r="J311" s="11" t="str">
        <f>IF(E311="","",SUMIFS(RaceResults!$C:$C,RaceResults!$A:$A,$A311,RaceResults!$D:$D,E311))</f>
        <v/>
      </c>
      <c r="K311" s="11" t="str">
        <f>IF(F311="","",SUMIFS(RaceResults!$C:$C,RaceResults!$A:$A,$A311,RaceResults!$D:$D,F311))</f>
        <v/>
      </c>
      <c r="L311" s="11" t="str">
        <f>IF(D311="","",SUMIFS(RaceResults!$E:$E,RaceResults!$A:$A,$A311,RaceResults!$D:$D,D311))</f>
        <v/>
      </c>
      <c r="M311" s="11" t="str">
        <f>IF(E311="","",SUMIFS(RaceResults!$E:$E,RaceResults!$A:$A,$A311,RaceResults!$D:$D,E311))</f>
        <v/>
      </c>
      <c r="N311" s="11" t="str">
        <f>IF(F311="","",SUMIFS(RaceResults!$E:$E,RaceResults!$A:$A,$A311,RaceResults!$D:$D,F311))</f>
        <v/>
      </c>
      <c r="O311" s="11">
        <f t="shared" si="4"/>
        <v>0</v>
      </c>
    </row>
    <row r="312" spans="1:15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3"/>
      <c r="H312" s="3"/>
      <c r="I312" s="11" t="str">
        <f>IF(D312="","",SUMIFS(RaceResults!$C:$C,RaceResults!$A:$A,$A312,RaceResults!$D:$D,D312))</f>
        <v/>
      </c>
      <c r="J312" s="11" t="str">
        <f>IF(E312="","",SUMIFS(RaceResults!$C:$C,RaceResults!$A:$A,$A312,RaceResults!$D:$D,E312))</f>
        <v/>
      </c>
      <c r="K312" s="11" t="str">
        <f>IF(F312="","",SUMIFS(RaceResults!$C:$C,RaceResults!$A:$A,$A312,RaceResults!$D:$D,F312))</f>
        <v/>
      </c>
      <c r="L312" s="11" t="str">
        <f>IF(D312="","",SUMIFS(RaceResults!$E:$E,RaceResults!$A:$A,$A312,RaceResults!$D:$D,D312))</f>
        <v/>
      </c>
      <c r="M312" s="11" t="str">
        <f>IF(E312="","",SUMIFS(RaceResults!$E:$E,RaceResults!$A:$A,$A312,RaceResults!$D:$D,E312))</f>
        <v/>
      </c>
      <c r="N312" s="11" t="str">
        <f>IF(F312="","",SUMIFS(RaceResults!$E:$E,RaceResults!$A:$A,$A312,RaceResults!$D:$D,F312))</f>
        <v/>
      </c>
      <c r="O312" s="11">
        <f t="shared" si="4"/>
        <v>0</v>
      </c>
    </row>
    <row r="313" spans="1:15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3"/>
      <c r="H313" s="3"/>
      <c r="I313" s="11" t="str">
        <f>IF(D313="","",SUMIFS(RaceResults!$C:$C,RaceResults!$A:$A,$A313,RaceResults!$D:$D,D313))</f>
        <v/>
      </c>
      <c r="J313" s="11" t="str">
        <f>IF(E313="","",SUMIFS(RaceResults!$C:$C,RaceResults!$A:$A,$A313,RaceResults!$D:$D,E313))</f>
        <v/>
      </c>
      <c r="K313" s="11" t="str">
        <f>IF(F313="","",SUMIFS(RaceResults!$C:$C,RaceResults!$A:$A,$A313,RaceResults!$D:$D,F313))</f>
        <v/>
      </c>
      <c r="L313" s="11" t="str">
        <f>IF(D313="","",SUMIFS(RaceResults!$E:$E,RaceResults!$A:$A,$A313,RaceResults!$D:$D,D313))</f>
        <v/>
      </c>
      <c r="M313" s="11" t="str">
        <f>IF(E313="","",SUMIFS(RaceResults!$E:$E,RaceResults!$A:$A,$A313,RaceResults!$D:$D,E313))</f>
        <v/>
      </c>
      <c r="N313" s="11" t="str">
        <f>IF(F313="","",SUMIFS(RaceResults!$E:$E,RaceResults!$A:$A,$A313,RaceResults!$D:$D,F313))</f>
        <v/>
      </c>
      <c r="O313" s="11">
        <f t="shared" si="4"/>
        <v>0</v>
      </c>
    </row>
    <row r="314" spans="1:15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3"/>
      <c r="H314" s="3"/>
      <c r="I314" s="11" t="str">
        <f>IF(D314="","",SUMIFS(RaceResults!$C:$C,RaceResults!$A:$A,$A314,RaceResults!$D:$D,D314))</f>
        <v/>
      </c>
      <c r="J314" s="11" t="str">
        <f>IF(E314="","",SUMIFS(RaceResults!$C:$C,RaceResults!$A:$A,$A314,RaceResults!$D:$D,E314))</f>
        <v/>
      </c>
      <c r="K314" s="11" t="str">
        <f>IF(F314="","",SUMIFS(RaceResults!$C:$C,RaceResults!$A:$A,$A314,RaceResults!$D:$D,F314))</f>
        <v/>
      </c>
      <c r="L314" s="11" t="str">
        <f>IF(D314="","",SUMIFS(RaceResults!$E:$E,RaceResults!$A:$A,$A314,RaceResults!$D:$D,D314))</f>
        <v/>
      </c>
      <c r="M314" s="11" t="str">
        <f>IF(E314="","",SUMIFS(RaceResults!$E:$E,RaceResults!$A:$A,$A314,RaceResults!$D:$D,E314))</f>
        <v/>
      </c>
      <c r="N314" s="11" t="str">
        <f>IF(F314="","",SUMIFS(RaceResults!$E:$E,RaceResults!$A:$A,$A314,RaceResults!$D:$D,F314))</f>
        <v/>
      </c>
      <c r="O314" s="11">
        <f t="shared" si="4"/>
        <v>0</v>
      </c>
    </row>
    <row r="315" spans="1:15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3"/>
      <c r="H315" s="3"/>
      <c r="I315" s="11" t="str">
        <f>IF(D315="","",SUMIFS(RaceResults!$C:$C,RaceResults!$A:$A,$A315,RaceResults!$D:$D,D315))</f>
        <v/>
      </c>
      <c r="J315" s="11" t="str">
        <f>IF(E315="","",SUMIFS(RaceResults!$C:$C,RaceResults!$A:$A,$A315,RaceResults!$D:$D,E315))</f>
        <v/>
      </c>
      <c r="K315" s="11" t="str">
        <f>IF(F315="","",SUMIFS(RaceResults!$C:$C,RaceResults!$A:$A,$A315,RaceResults!$D:$D,F315))</f>
        <v/>
      </c>
      <c r="L315" s="11" t="str">
        <f>IF(D315="","",SUMIFS(RaceResults!$E:$E,RaceResults!$A:$A,$A315,RaceResults!$D:$D,D315))</f>
        <v/>
      </c>
      <c r="M315" s="11" t="str">
        <f>IF(E315="","",SUMIFS(RaceResults!$E:$E,RaceResults!$A:$A,$A315,RaceResults!$D:$D,E315))</f>
        <v/>
      </c>
      <c r="N315" s="11" t="str">
        <f>IF(F315="","",SUMIFS(RaceResults!$E:$E,RaceResults!$A:$A,$A315,RaceResults!$D:$D,F315))</f>
        <v/>
      </c>
      <c r="O315" s="11">
        <f t="shared" si="4"/>
        <v>0</v>
      </c>
    </row>
    <row r="316" spans="1:15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3"/>
      <c r="H316" s="3"/>
      <c r="I316" s="11" t="str">
        <f>IF(D316="","",SUMIFS(RaceResults!$C:$C,RaceResults!$A:$A,$A316,RaceResults!$D:$D,D316))</f>
        <v/>
      </c>
      <c r="J316" s="11" t="str">
        <f>IF(E316="","",SUMIFS(RaceResults!$C:$C,RaceResults!$A:$A,$A316,RaceResults!$D:$D,E316))</f>
        <v/>
      </c>
      <c r="K316" s="11" t="str">
        <f>IF(F316="","",SUMIFS(RaceResults!$C:$C,RaceResults!$A:$A,$A316,RaceResults!$D:$D,F316))</f>
        <v/>
      </c>
      <c r="L316" s="11" t="str">
        <f>IF(D316="","",SUMIFS(RaceResults!$E:$E,RaceResults!$A:$A,$A316,RaceResults!$D:$D,D316))</f>
        <v/>
      </c>
      <c r="M316" s="11" t="str">
        <f>IF(E316="","",SUMIFS(RaceResults!$E:$E,RaceResults!$A:$A,$A316,RaceResults!$D:$D,E316))</f>
        <v/>
      </c>
      <c r="N316" s="11" t="str">
        <f>IF(F316="","",SUMIFS(RaceResults!$E:$E,RaceResults!$A:$A,$A316,RaceResults!$D:$D,F316))</f>
        <v/>
      </c>
      <c r="O316" s="11">
        <f t="shared" si="4"/>
        <v>0</v>
      </c>
    </row>
    <row r="317" spans="1:15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3"/>
      <c r="H317" s="3"/>
      <c r="I317" s="11" t="str">
        <f>IF(D317="","",SUMIFS(RaceResults!$C:$C,RaceResults!$A:$A,$A317,RaceResults!$D:$D,D317))</f>
        <v/>
      </c>
      <c r="J317" s="11" t="str">
        <f>IF(E317="","",SUMIFS(RaceResults!$C:$C,RaceResults!$A:$A,$A317,RaceResults!$D:$D,E317))</f>
        <v/>
      </c>
      <c r="K317" s="11" t="str">
        <f>IF(F317="","",SUMIFS(RaceResults!$C:$C,RaceResults!$A:$A,$A317,RaceResults!$D:$D,F317))</f>
        <v/>
      </c>
      <c r="L317" s="11" t="str">
        <f>IF(D317="","",SUMIFS(RaceResults!$E:$E,RaceResults!$A:$A,$A317,RaceResults!$D:$D,D317))</f>
        <v/>
      </c>
      <c r="M317" s="11" t="str">
        <f>IF(E317="","",SUMIFS(RaceResults!$E:$E,RaceResults!$A:$A,$A317,RaceResults!$D:$D,E317))</f>
        <v/>
      </c>
      <c r="N317" s="11" t="str">
        <f>IF(F317="","",SUMIFS(RaceResults!$E:$E,RaceResults!$A:$A,$A317,RaceResults!$D:$D,F317))</f>
        <v/>
      </c>
      <c r="O317" s="11">
        <f t="shared" si="4"/>
        <v>0</v>
      </c>
    </row>
    <row r="318" spans="1:15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3"/>
      <c r="H318" s="3"/>
      <c r="I318" s="11" t="str">
        <f>IF(D318="","",SUMIFS(RaceResults!$C:$C,RaceResults!$A:$A,$A318,RaceResults!$D:$D,D318))</f>
        <v/>
      </c>
      <c r="J318" s="11" t="str">
        <f>IF(E318="","",SUMIFS(RaceResults!$C:$C,RaceResults!$A:$A,$A318,RaceResults!$D:$D,E318))</f>
        <v/>
      </c>
      <c r="K318" s="11" t="str">
        <f>IF(F318="","",SUMIFS(RaceResults!$C:$C,RaceResults!$A:$A,$A318,RaceResults!$D:$D,F318))</f>
        <v/>
      </c>
      <c r="L318" s="11" t="str">
        <f>IF(D318="","",SUMIFS(RaceResults!$E:$E,RaceResults!$A:$A,$A318,RaceResults!$D:$D,D318))</f>
        <v/>
      </c>
      <c r="M318" s="11" t="str">
        <f>IF(E318="","",SUMIFS(RaceResults!$E:$E,RaceResults!$A:$A,$A318,RaceResults!$D:$D,E318))</f>
        <v/>
      </c>
      <c r="N318" s="11" t="str">
        <f>IF(F318="","",SUMIFS(RaceResults!$E:$E,RaceResults!$A:$A,$A318,RaceResults!$D:$D,F318))</f>
        <v/>
      </c>
      <c r="O318" s="11">
        <f t="shared" si="4"/>
        <v>0</v>
      </c>
    </row>
    <row r="319" spans="1:15" x14ac:dyDescent="0.3">
      <c r="A319" s="9">
        <v>32</v>
      </c>
      <c r="B319" s="9" t="s">
        <v>73</v>
      </c>
      <c r="C319" s="10" t="s">
        <v>163</v>
      </c>
      <c r="D319" s="3"/>
      <c r="E319" s="3"/>
      <c r="F319" s="3"/>
      <c r="G319" s="3"/>
      <c r="H319" s="3"/>
      <c r="I319" s="11" t="str">
        <f>IF(D319="","",SUMIFS(RaceResults!$C:$C,RaceResults!$A:$A,$A319,RaceResults!$D:$D,D319))</f>
        <v/>
      </c>
      <c r="J319" s="11" t="str">
        <f>IF(E319="","",SUMIFS(RaceResults!$C:$C,RaceResults!$A:$A,$A319,RaceResults!$D:$D,E319))</f>
        <v/>
      </c>
      <c r="K319" s="11" t="str">
        <f>IF(F319="","",SUMIFS(RaceResults!$C:$C,RaceResults!$A:$A,$A319,RaceResults!$D:$D,F319))</f>
        <v/>
      </c>
      <c r="L319" s="11" t="str">
        <f>IF(D319="","",SUMIFS(RaceResults!$E:$E,RaceResults!$A:$A,$A319,RaceResults!$D:$D,D319))</f>
        <v/>
      </c>
      <c r="M319" s="11" t="str">
        <f>IF(E319="","",SUMIFS(RaceResults!$E:$E,RaceResults!$A:$A,$A319,RaceResults!$D:$D,E319))</f>
        <v/>
      </c>
      <c r="N319" s="11" t="str">
        <f>IF(F319="","",SUMIFS(RaceResults!$E:$E,RaceResults!$A:$A,$A319,RaceResults!$D:$D,F319))</f>
        <v/>
      </c>
      <c r="O319" s="11">
        <f t="shared" si="4"/>
        <v>0</v>
      </c>
    </row>
    <row r="320" spans="1:15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3"/>
      <c r="H320" s="3"/>
      <c r="I320" s="11" t="str">
        <f>IF(D320="","",SUMIFS(RaceResults!$C:$C,RaceResults!$A:$A,$A320,RaceResults!$D:$D,D320))</f>
        <v/>
      </c>
      <c r="J320" s="11" t="str">
        <f>IF(E320="","",SUMIFS(RaceResults!$C:$C,RaceResults!$A:$A,$A320,RaceResults!$D:$D,E320))</f>
        <v/>
      </c>
      <c r="K320" s="11" t="str">
        <f>IF(F320="","",SUMIFS(RaceResults!$C:$C,RaceResults!$A:$A,$A320,RaceResults!$D:$D,F320))</f>
        <v/>
      </c>
      <c r="L320" s="11" t="str">
        <f>IF(D320="","",SUMIFS(RaceResults!$E:$E,RaceResults!$A:$A,$A320,RaceResults!$D:$D,D320))</f>
        <v/>
      </c>
      <c r="M320" s="11" t="str">
        <f>IF(E320="","",SUMIFS(RaceResults!$E:$E,RaceResults!$A:$A,$A320,RaceResults!$D:$D,E320))</f>
        <v/>
      </c>
      <c r="N320" s="11" t="str">
        <f>IF(F320="","",SUMIFS(RaceResults!$E:$E,RaceResults!$A:$A,$A320,RaceResults!$D:$D,F320))</f>
        <v/>
      </c>
      <c r="O320" s="11">
        <f t="shared" si="4"/>
        <v>0</v>
      </c>
    </row>
    <row r="321" spans="1:15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3"/>
      <c r="H321" s="3"/>
      <c r="I321" s="11" t="str">
        <f>IF(D321="","",SUMIFS(RaceResults!$C:$C,RaceResults!$A:$A,$A321,RaceResults!$D:$D,D321))</f>
        <v/>
      </c>
      <c r="J321" s="11" t="str">
        <f>IF(E321="","",SUMIFS(RaceResults!$C:$C,RaceResults!$A:$A,$A321,RaceResults!$D:$D,E321))</f>
        <v/>
      </c>
      <c r="K321" s="11" t="str">
        <f>IF(F321="","",SUMIFS(RaceResults!$C:$C,RaceResults!$A:$A,$A321,RaceResults!$D:$D,F321))</f>
        <v/>
      </c>
      <c r="L321" s="11" t="str">
        <f>IF(D321="","",SUMIFS(RaceResults!$E:$E,RaceResults!$A:$A,$A321,RaceResults!$D:$D,D321))</f>
        <v/>
      </c>
      <c r="M321" s="11" t="str">
        <f>IF(E321="","",SUMIFS(RaceResults!$E:$E,RaceResults!$A:$A,$A321,RaceResults!$D:$D,E321))</f>
        <v/>
      </c>
      <c r="N321" s="11" t="str">
        <f>IF(F321="","",SUMIFS(RaceResults!$E:$E,RaceResults!$A:$A,$A321,RaceResults!$D:$D,F321))</f>
        <v/>
      </c>
      <c r="O321" s="11">
        <f t="shared" si="4"/>
        <v>0</v>
      </c>
    </row>
    <row r="322" spans="1:15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3"/>
      <c r="H322" s="3"/>
      <c r="I322" s="11" t="str">
        <f>IF(D322="","",SUMIFS(RaceResults!$C:$C,RaceResults!$A:$A,$A322,RaceResults!$D:$D,D322))</f>
        <v/>
      </c>
      <c r="J322" s="11" t="str">
        <f>IF(E322="","",SUMIFS(RaceResults!$C:$C,RaceResults!$A:$A,$A322,RaceResults!$D:$D,E322))</f>
        <v/>
      </c>
      <c r="K322" s="11" t="str">
        <f>IF(F322="","",SUMIFS(RaceResults!$C:$C,RaceResults!$A:$A,$A322,RaceResults!$D:$D,F322))</f>
        <v/>
      </c>
      <c r="L322" s="11" t="str">
        <f>IF(D322="","",SUMIFS(RaceResults!$E:$E,RaceResults!$A:$A,$A322,RaceResults!$D:$D,D322))</f>
        <v/>
      </c>
      <c r="M322" s="11" t="str">
        <f>IF(E322="","",SUMIFS(RaceResults!$E:$E,RaceResults!$A:$A,$A322,RaceResults!$D:$D,E322))</f>
        <v/>
      </c>
      <c r="N322" s="11" t="str">
        <f>IF(F322="","",SUMIFS(RaceResults!$E:$E,RaceResults!$A:$A,$A322,RaceResults!$D:$D,F322))</f>
        <v/>
      </c>
      <c r="O322" s="11">
        <f t="shared" ref="O322:O361" si="5">SUM(L322:N322)</f>
        <v>0</v>
      </c>
    </row>
    <row r="323" spans="1:15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3"/>
      <c r="H323" s="3"/>
      <c r="I323" s="11" t="str">
        <f>IF(D323="","",SUMIFS(RaceResults!$C:$C,RaceResults!$A:$A,$A323,RaceResults!$D:$D,D323))</f>
        <v/>
      </c>
      <c r="J323" s="11" t="str">
        <f>IF(E323="","",SUMIFS(RaceResults!$C:$C,RaceResults!$A:$A,$A323,RaceResults!$D:$D,E323))</f>
        <v/>
      </c>
      <c r="K323" s="11" t="str">
        <f>IF(F323="","",SUMIFS(RaceResults!$C:$C,RaceResults!$A:$A,$A323,RaceResults!$D:$D,F323))</f>
        <v/>
      </c>
      <c r="L323" s="11" t="str">
        <f>IF(D323="","",SUMIFS(RaceResults!$E:$E,RaceResults!$A:$A,$A323,RaceResults!$D:$D,D323))</f>
        <v/>
      </c>
      <c r="M323" s="11" t="str">
        <f>IF(E323="","",SUMIFS(RaceResults!$E:$E,RaceResults!$A:$A,$A323,RaceResults!$D:$D,E323))</f>
        <v/>
      </c>
      <c r="N323" s="11" t="str">
        <f>IF(F323="","",SUMIFS(RaceResults!$E:$E,RaceResults!$A:$A,$A323,RaceResults!$D:$D,F323))</f>
        <v/>
      </c>
      <c r="O323" s="11">
        <f t="shared" si="5"/>
        <v>0</v>
      </c>
    </row>
    <row r="324" spans="1:15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3"/>
      <c r="H324" s="3"/>
      <c r="I324" s="11" t="str">
        <f>IF(D324="","",SUMIFS(RaceResults!$C:$C,RaceResults!$A:$A,$A324,RaceResults!$D:$D,D324))</f>
        <v/>
      </c>
      <c r="J324" s="11" t="str">
        <f>IF(E324="","",SUMIFS(RaceResults!$C:$C,RaceResults!$A:$A,$A324,RaceResults!$D:$D,E324))</f>
        <v/>
      </c>
      <c r="K324" s="11" t="str">
        <f>IF(F324="","",SUMIFS(RaceResults!$C:$C,RaceResults!$A:$A,$A324,RaceResults!$D:$D,F324))</f>
        <v/>
      </c>
      <c r="L324" s="11" t="str">
        <f>IF(D324="","",SUMIFS(RaceResults!$E:$E,RaceResults!$A:$A,$A324,RaceResults!$D:$D,D324))</f>
        <v/>
      </c>
      <c r="M324" s="11" t="str">
        <f>IF(E324="","",SUMIFS(RaceResults!$E:$E,RaceResults!$A:$A,$A324,RaceResults!$D:$D,E324))</f>
        <v/>
      </c>
      <c r="N324" s="11" t="str">
        <f>IF(F324="","",SUMIFS(RaceResults!$E:$E,RaceResults!$A:$A,$A324,RaceResults!$D:$D,F324))</f>
        <v/>
      </c>
      <c r="O324" s="11">
        <f t="shared" si="5"/>
        <v>0</v>
      </c>
    </row>
    <row r="325" spans="1:15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3"/>
      <c r="H325" s="3"/>
      <c r="I325" s="11" t="str">
        <f>IF(D325="","",SUMIFS(RaceResults!$C:$C,RaceResults!$A:$A,$A325,RaceResults!$D:$D,D325))</f>
        <v/>
      </c>
      <c r="J325" s="11" t="str">
        <f>IF(E325="","",SUMIFS(RaceResults!$C:$C,RaceResults!$A:$A,$A325,RaceResults!$D:$D,E325))</f>
        <v/>
      </c>
      <c r="K325" s="11" t="str">
        <f>IF(F325="","",SUMIFS(RaceResults!$C:$C,RaceResults!$A:$A,$A325,RaceResults!$D:$D,F325))</f>
        <v/>
      </c>
      <c r="L325" s="11" t="str">
        <f>IF(D325="","",SUMIFS(RaceResults!$E:$E,RaceResults!$A:$A,$A325,RaceResults!$D:$D,D325))</f>
        <v/>
      </c>
      <c r="M325" s="11" t="str">
        <f>IF(E325="","",SUMIFS(RaceResults!$E:$E,RaceResults!$A:$A,$A325,RaceResults!$D:$D,E325))</f>
        <v/>
      </c>
      <c r="N325" s="11" t="str">
        <f>IF(F325="","",SUMIFS(RaceResults!$E:$E,RaceResults!$A:$A,$A325,RaceResults!$D:$D,F325))</f>
        <v/>
      </c>
      <c r="O325" s="11">
        <f t="shared" si="5"/>
        <v>0</v>
      </c>
    </row>
    <row r="326" spans="1:15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3"/>
      <c r="H326" s="3"/>
      <c r="I326" s="11" t="str">
        <f>IF(D326="","",SUMIFS(RaceResults!$C:$C,RaceResults!$A:$A,$A326,RaceResults!$D:$D,D326))</f>
        <v/>
      </c>
      <c r="J326" s="11" t="str">
        <f>IF(E326="","",SUMIFS(RaceResults!$C:$C,RaceResults!$A:$A,$A326,RaceResults!$D:$D,E326))</f>
        <v/>
      </c>
      <c r="K326" s="11" t="str">
        <f>IF(F326="","",SUMIFS(RaceResults!$C:$C,RaceResults!$A:$A,$A326,RaceResults!$D:$D,F326))</f>
        <v/>
      </c>
      <c r="L326" s="11" t="str">
        <f>IF(D326="","",SUMIFS(RaceResults!$E:$E,RaceResults!$A:$A,$A326,RaceResults!$D:$D,D326))</f>
        <v/>
      </c>
      <c r="M326" s="11" t="str">
        <f>IF(E326="","",SUMIFS(RaceResults!$E:$E,RaceResults!$A:$A,$A326,RaceResults!$D:$D,E326))</f>
        <v/>
      </c>
      <c r="N326" s="11" t="str">
        <f>IF(F326="","",SUMIFS(RaceResults!$E:$E,RaceResults!$A:$A,$A326,RaceResults!$D:$D,F326))</f>
        <v/>
      </c>
      <c r="O326" s="11">
        <f t="shared" si="5"/>
        <v>0</v>
      </c>
    </row>
    <row r="327" spans="1:15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3"/>
      <c r="H327" s="3"/>
      <c r="I327" s="11" t="str">
        <f>IF(D327="","",SUMIFS(RaceResults!$C:$C,RaceResults!$A:$A,$A327,RaceResults!$D:$D,D327))</f>
        <v/>
      </c>
      <c r="J327" s="11" t="str">
        <f>IF(E327="","",SUMIFS(RaceResults!$C:$C,RaceResults!$A:$A,$A327,RaceResults!$D:$D,E327))</f>
        <v/>
      </c>
      <c r="K327" s="11" t="str">
        <f>IF(F327="","",SUMIFS(RaceResults!$C:$C,RaceResults!$A:$A,$A327,RaceResults!$D:$D,F327))</f>
        <v/>
      </c>
      <c r="L327" s="11" t="str">
        <f>IF(D327="","",SUMIFS(RaceResults!$E:$E,RaceResults!$A:$A,$A327,RaceResults!$D:$D,D327))</f>
        <v/>
      </c>
      <c r="M327" s="11" t="str">
        <f>IF(E327="","",SUMIFS(RaceResults!$E:$E,RaceResults!$A:$A,$A327,RaceResults!$D:$D,E327))</f>
        <v/>
      </c>
      <c r="N327" s="11" t="str">
        <f>IF(F327="","",SUMIFS(RaceResults!$E:$E,RaceResults!$A:$A,$A327,RaceResults!$D:$D,F327))</f>
        <v/>
      </c>
      <c r="O327" s="11">
        <f t="shared" si="5"/>
        <v>0</v>
      </c>
    </row>
    <row r="328" spans="1:15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3"/>
      <c r="H328" s="3"/>
      <c r="I328" s="11" t="str">
        <f>IF(D328="","",SUMIFS(RaceResults!$C:$C,RaceResults!$A:$A,$A328,RaceResults!$D:$D,D328))</f>
        <v/>
      </c>
      <c r="J328" s="11" t="str">
        <f>IF(E328="","",SUMIFS(RaceResults!$C:$C,RaceResults!$A:$A,$A328,RaceResults!$D:$D,E328))</f>
        <v/>
      </c>
      <c r="K328" s="11" t="str">
        <f>IF(F328="","",SUMIFS(RaceResults!$C:$C,RaceResults!$A:$A,$A328,RaceResults!$D:$D,F328))</f>
        <v/>
      </c>
      <c r="L328" s="11" t="str">
        <f>IF(D328="","",SUMIFS(RaceResults!$E:$E,RaceResults!$A:$A,$A328,RaceResults!$D:$D,D328))</f>
        <v/>
      </c>
      <c r="M328" s="11" t="str">
        <f>IF(E328="","",SUMIFS(RaceResults!$E:$E,RaceResults!$A:$A,$A328,RaceResults!$D:$D,E328))</f>
        <v/>
      </c>
      <c r="N328" s="11" t="str">
        <f>IF(F328="","",SUMIFS(RaceResults!$E:$E,RaceResults!$A:$A,$A328,RaceResults!$D:$D,F328))</f>
        <v/>
      </c>
      <c r="O328" s="11">
        <f t="shared" si="5"/>
        <v>0</v>
      </c>
    </row>
    <row r="329" spans="1:15" x14ac:dyDescent="0.3">
      <c r="A329" s="9">
        <v>33</v>
      </c>
      <c r="B329" s="9" t="s">
        <v>54</v>
      </c>
      <c r="C329" s="10" t="s">
        <v>163</v>
      </c>
      <c r="D329" s="3"/>
      <c r="E329" s="3"/>
      <c r="F329" s="3"/>
      <c r="G329" s="3"/>
      <c r="H329" s="3"/>
      <c r="I329" s="11" t="str">
        <f>IF(D329="","",SUMIFS(RaceResults!$C:$C,RaceResults!$A:$A,$A329,RaceResults!$D:$D,D329))</f>
        <v/>
      </c>
      <c r="J329" s="11" t="str">
        <f>IF(E329="","",SUMIFS(RaceResults!$C:$C,RaceResults!$A:$A,$A329,RaceResults!$D:$D,E329))</f>
        <v/>
      </c>
      <c r="K329" s="11" t="str">
        <f>IF(F329="","",SUMIFS(RaceResults!$C:$C,RaceResults!$A:$A,$A329,RaceResults!$D:$D,F329))</f>
        <v/>
      </c>
      <c r="L329" s="11" t="str">
        <f>IF(D329="","",SUMIFS(RaceResults!$E:$E,RaceResults!$A:$A,$A329,RaceResults!$D:$D,D329))</f>
        <v/>
      </c>
      <c r="M329" s="11" t="str">
        <f>IF(E329="","",SUMIFS(RaceResults!$E:$E,RaceResults!$A:$A,$A329,RaceResults!$D:$D,E329))</f>
        <v/>
      </c>
      <c r="N329" s="11" t="str">
        <f>IF(F329="","",SUMIFS(RaceResults!$E:$E,RaceResults!$A:$A,$A329,RaceResults!$D:$D,F329))</f>
        <v/>
      </c>
      <c r="O329" s="11">
        <f t="shared" si="5"/>
        <v>0</v>
      </c>
    </row>
    <row r="330" spans="1:15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3"/>
      <c r="H330" s="3"/>
      <c r="I330" s="11" t="str">
        <f>IF(D330="","",SUMIFS(RaceResults!$C:$C,RaceResults!$A:$A,$A330,RaceResults!$D:$D,D330))</f>
        <v/>
      </c>
      <c r="J330" s="11" t="str">
        <f>IF(E330="","",SUMIFS(RaceResults!$C:$C,RaceResults!$A:$A,$A330,RaceResults!$D:$D,E330))</f>
        <v/>
      </c>
      <c r="K330" s="11" t="str">
        <f>IF(F330="","",SUMIFS(RaceResults!$C:$C,RaceResults!$A:$A,$A330,RaceResults!$D:$D,F330))</f>
        <v/>
      </c>
      <c r="L330" s="11" t="str">
        <f>IF(D330="","",SUMIFS(RaceResults!$E:$E,RaceResults!$A:$A,$A330,RaceResults!$D:$D,D330))</f>
        <v/>
      </c>
      <c r="M330" s="11" t="str">
        <f>IF(E330="","",SUMIFS(RaceResults!$E:$E,RaceResults!$A:$A,$A330,RaceResults!$D:$D,E330))</f>
        <v/>
      </c>
      <c r="N330" s="11" t="str">
        <f>IF(F330="","",SUMIFS(RaceResults!$E:$E,RaceResults!$A:$A,$A330,RaceResults!$D:$D,F330))</f>
        <v/>
      </c>
      <c r="O330" s="11">
        <f t="shared" si="5"/>
        <v>0</v>
      </c>
    </row>
    <row r="331" spans="1:15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3"/>
      <c r="H331" s="3"/>
      <c r="I331" s="11" t="str">
        <f>IF(D331="","",SUMIFS(RaceResults!$C:$C,RaceResults!$A:$A,$A331,RaceResults!$D:$D,D331))</f>
        <v/>
      </c>
      <c r="J331" s="11" t="str">
        <f>IF(E331="","",SUMIFS(RaceResults!$C:$C,RaceResults!$A:$A,$A331,RaceResults!$D:$D,E331))</f>
        <v/>
      </c>
      <c r="K331" s="11" t="str">
        <f>IF(F331="","",SUMIFS(RaceResults!$C:$C,RaceResults!$A:$A,$A331,RaceResults!$D:$D,F331))</f>
        <v/>
      </c>
      <c r="L331" s="11" t="str">
        <f>IF(D331="","",SUMIFS(RaceResults!$E:$E,RaceResults!$A:$A,$A331,RaceResults!$D:$D,D331))</f>
        <v/>
      </c>
      <c r="M331" s="11" t="str">
        <f>IF(E331="","",SUMIFS(RaceResults!$E:$E,RaceResults!$A:$A,$A331,RaceResults!$D:$D,E331))</f>
        <v/>
      </c>
      <c r="N331" s="11" t="str">
        <f>IF(F331="","",SUMIFS(RaceResults!$E:$E,RaceResults!$A:$A,$A331,RaceResults!$D:$D,F331))</f>
        <v/>
      </c>
      <c r="O331" s="11">
        <f t="shared" si="5"/>
        <v>0</v>
      </c>
    </row>
    <row r="332" spans="1:15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3"/>
      <c r="H332" s="3"/>
      <c r="I332" s="11" t="str">
        <f>IF(D332="","",SUMIFS(RaceResults!$C:$C,RaceResults!$A:$A,$A332,RaceResults!$D:$D,D332))</f>
        <v/>
      </c>
      <c r="J332" s="11" t="str">
        <f>IF(E332="","",SUMIFS(RaceResults!$C:$C,RaceResults!$A:$A,$A332,RaceResults!$D:$D,E332))</f>
        <v/>
      </c>
      <c r="K332" s="11" t="str">
        <f>IF(F332="","",SUMIFS(RaceResults!$C:$C,RaceResults!$A:$A,$A332,RaceResults!$D:$D,F332))</f>
        <v/>
      </c>
      <c r="L332" s="11" t="str">
        <f>IF(D332="","",SUMIFS(RaceResults!$E:$E,RaceResults!$A:$A,$A332,RaceResults!$D:$D,D332))</f>
        <v/>
      </c>
      <c r="M332" s="11" t="str">
        <f>IF(E332="","",SUMIFS(RaceResults!$E:$E,RaceResults!$A:$A,$A332,RaceResults!$D:$D,E332))</f>
        <v/>
      </c>
      <c r="N332" s="11" t="str">
        <f>IF(F332="","",SUMIFS(RaceResults!$E:$E,RaceResults!$A:$A,$A332,RaceResults!$D:$D,F332))</f>
        <v/>
      </c>
      <c r="O332" s="11">
        <f t="shared" si="5"/>
        <v>0</v>
      </c>
    </row>
    <row r="333" spans="1:15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3"/>
      <c r="H333" s="3"/>
      <c r="I333" s="11" t="str">
        <f>IF(D333="","",SUMIFS(RaceResults!$C:$C,RaceResults!$A:$A,$A333,RaceResults!$D:$D,D333))</f>
        <v/>
      </c>
      <c r="J333" s="11" t="str">
        <f>IF(E333="","",SUMIFS(RaceResults!$C:$C,RaceResults!$A:$A,$A333,RaceResults!$D:$D,E333))</f>
        <v/>
      </c>
      <c r="K333" s="11" t="str">
        <f>IF(F333="","",SUMIFS(RaceResults!$C:$C,RaceResults!$A:$A,$A333,RaceResults!$D:$D,F333))</f>
        <v/>
      </c>
      <c r="L333" s="11" t="str">
        <f>IF(D333="","",SUMIFS(RaceResults!$E:$E,RaceResults!$A:$A,$A333,RaceResults!$D:$D,D333))</f>
        <v/>
      </c>
      <c r="M333" s="11" t="str">
        <f>IF(E333="","",SUMIFS(RaceResults!$E:$E,RaceResults!$A:$A,$A333,RaceResults!$D:$D,E333))</f>
        <v/>
      </c>
      <c r="N333" s="11" t="str">
        <f>IF(F333="","",SUMIFS(RaceResults!$E:$E,RaceResults!$A:$A,$A333,RaceResults!$D:$D,F333))</f>
        <v/>
      </c>
      <c r="O333" s="11">
        <f t="shared" si="5"/>
        <v>0</v>
      </c>
    </row>
    <row r="334" spans="1:15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3"/>
      <c r="H334" s="3"/>
      <c r="I334" s="11" t="str">
        <f>IF(D334="","",SUMIFS(RaceResults!$C:$C,RaceResults!$A:$A,$A334,RaceResults!$D:$D,D334))</f>
        <v/>
      </c>
      <c r="J334" s="11" t="str">
        <f>IF(E334="","",SUMIFS(RaceResults!$C:$C,RaceResults!$A:$A,$A334,RaceResults!$D:$D,E334))</f>
        <v/>
      </c>
      <c r="K334" s="11" t="str">
        <f>IF(F334="","",SUMIFS(RaceResults!$C:$C,RaceResults!$A:$A,$A334,RaceResults!$D:$D,F334))</f>
        <v/>
      </c>
      <c r="L334" s="11" t="str">
        <f>IF(D334="","",SUMIFS(RaceResults!$E:$E,RaceResults!$A:$A,$A334,RaceResults!$D:$D,D334))</f>
        <v/>
      </c>
      <c r="M334" s="11" t="str">
        <f>IF(E334="","",SUMIFS(RaceResults!$E:$E,RaceResults!$A:$A,$A334,RaceResults!$D:$D,E334))</f>
        <v/>
      </c>
      <c r="N334" s="11" t="str">
        <f>IF(F334="","",SUMIFS(RaceResults!$E:$E,RaceResults!$A:$A,$A334,RaceResults!$D:$D,F334))</f>
        <v/>
      </c>
      <c r="O334" s="11">
        <f t="shared" si="5"/>
        <v>0</v>
      </c>
    </row>
    <row r="335" spans="1:15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3"/>
      <c r="H335" s="3"/>
      <c r="I335" s="11" t="str">
        <f>IF(D335="","",SUMIFS(RaceResults!$C:$C,RaceResults!$A:$A,$A335,RaceResults!$D:$D,D335))</f>
        <v/>
      </c>
      <c r="J335" s="11" t="str">
        <f>IF(E335="","",SUMIFS(RaceResults!$C:$C,RaceResults!$A:$A,$A335,RaceResults!$D:$D,E335))</f>
        <v/>
      </c>
      <c r="K335" s="11" t="str">
        <f>IF(F335="","",SUMIFS(RaceResults!$C:$C,RaceResults!$A:$A,$A335,RaceResults!$D:$D,F335))</f>
        <v/>
      </c>
      <c r="L335" s="11" t="str">
        <f>IF(D335="","",SUMIFS(RaceResults!$E:$E,RaceResults!$A:$A,$A335,RaceResults!$D:$D,D335))</f>
        <v/>
      </c>
      <c r="M335" s="11" t="str">
        <f>IF(E335="","",SUMIFS(RaceResults!$E:$E,RaceResults!$A:$A,$A335,RaceResults!$D:$D,E335))</f>
        <v/>
      </c>
      <c r="N335" s="11" t="str">
        <f>IF(F335="","",SUMIFS(RaceResults!$E:$E,RaceResults!$A:$A,$A335,RaceResults!$D:$D,F335))</f>
        <v/>
      </c>
      <c r="O335" s="11">
        <f t="shared" si="5"/>
        <v>0</v>
      </c>
    </row>
    <row r="336" spans="1:15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3"/>
      <c r="H336" s="3"/>
      <c r="I336" s="11" t="str">
        <f>IF(D336="","",SUMIFS(RaceResults!$C:$C,RaceResults!$A:$A,$A336,RaceResults!$D:$D,D336))</f>
        <v/>
      </c>
      <c r="J336" s="11" t="str">
        <f>IF(E336="","",SUMIFS(RaceResults!$C:$C,RaceResults!$A:$A,$A336,RaceResults!$D:$D,E336))</f>
        <v/>
      </c>
      <c r="K336" s="11" t="str">
        <f>IF(F336="","",SUMIFS(RaceResults!$C:$C,RaceResults!$A:$A,$A336,RaceResults!$D:$D,F336))</f>
        <v/>
      </c>
      <c r="L336" s="11" t="str">
        <f>IF(D336="","",SUMIFS(RaceResults!$E:$E,RaceResults!$A:$A,$A336,RaceResults!$D:$D,D336))</f>
        <v/>
      </c>
      <c r="M336" s="11" t="str">
        <f>IF(E336="","",SUMIFS(RaceResults!$E:$E,RaceResults!$A:$A,$A336,RaceResults!$D:$D,E336))</f>
        <v/>
      </c>
      <c r="N336" s="11" t="str">
        <f>IF(F336="","",SUMIFS(RaceResults!$E:$E,RaceResults!$A:$A,$A336,RaceResults!$D:$D,F336))</f>
        <v/>
      </c>
      <c r="O336" s="11">
        <f t="shared" si="5"/>
        <v>0</v>
      </c>
    </row>
    <row r="337" spans="1:15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3"/>
      <c r="H337" s="3"/>
      <c r="I337" s="11" t="str">
        <f>IF(D337="","",SUMIFS(RaceResults!$C:$C,RaceResults!$A:$A,$A337,RaceResults!$D:$D,D337))</f>
        <v/>
      </c>
      <c r="J337" s="11" t="str">
        <f>IF(E337="","",SUMIFS(RaceResults!$C:$C,RaceResults!$A:$A,$A337,RaceResults!$D:$D,E337))</f>
        <v/>
      </c>
      <c r="K337" s="11" t="str">
        <f>IF(F337="","",SUMIFS(RaceResults!$C:$C,RaceResults!$A:$A,$A337,RaceResults!$D:$D,F337))</f>
        <v/>
      </c>
      <c r="L337" s="11" t="str">
        <f>IF(D337="","",SUMIFS(RaceResults!$E:$E,RaceResults!$A:$A,$A337,RaceResults!$D:$D,D337))</f>
        <v/>
      </c>
      <c r="M337" s="11" t="str">
        <f>IF(E337="","",SUMIFS(RaceResults!$E:$E,RaceResults!$A:$A,$A337,RaceResults!$D:$D,E337))</f>
        <v/>
      </c>
      <c r="N337" s="11" t="str">
        <f>IF(F337="","",SUMIFS(RaceResults!$E:$E,RaceResults!$A:$A,$A337,RaceResults!$D:$D,F337))</f>
        <v/>
      </c>
      <c r="O337" s="11">
        <f t="shared" si="5"/>
        <v>0</v>
      </c>
    </row>
    <row r="338" spans="1:15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3"/>
      <c r="H338" s="3"/>
      <c r="I338" s="11" t="str">
        <f>IF(D338="","",SUMIFS(RaceResults!$C:$C,RaceResults!$A:$A,$A338,RaceResults!$D:$D,D338))</f>
        <v/>
      </c>
      <c r="J338" s="11" t="str">
        <f>IF(E338="","",SUMIFS(RaceResults!$C:$C,RaceResults!$A:$A,$A338,RaceResults!$D:$D,E338))</f>
        <v/>
      </c>
      <c r="K338" s="11" t="str">
        <f>IF(F338="","",SUMIFS(RaceResults!$C:$C,RaceResults!$A:$A,$A338,RaceResults!$D:$D,F338))</f>
        <v/>
      </c>
      <c r="L338" s="11" t="str">
        <f>IF(D338="","",SUMIFS(RaceResults!$E:$E,RaceResults!$A:$A,$A338,RaceResults!$D:$D,D338))</f>
        <v/>
      </c>
      <c r="M338" s="11" t="str">
        <f>IF(E338="","",SUMIFS(RaceResults!$E:$E,RaceResults!$A:$A,$A338,RaceResults!$D:$D,E338))</f>
        <v/>
      </c>
      <c r="N338" s="11" t="str">
        <f>IF(F338="","",SUMIFS(RaceResults!$E:$E,RaceResults!$A:$A,$A338,RaceResults!$D:$D,F338))</f>
        <v/>
      </c>
      <c r="O338" s="11">
        <f t="shared" si="5"/>
        <v>0</v>
      </c>
    </row>
    <row r="339" spans="1:15" x14ac:dyDescent="0.3">
      <c r="A339" s="9">
        <v>34</v>
      </c>
      <c r="B339" s="9" t="s">
        <v>67</v>
      </c>
      <c r="C339" s="10" t="s">
        <v>163</v>
      </c>
      <c r="D339" s="3"/>
      <c r="E339" s="3"/>
      <c r="F339" s="3"/>
      <c r="G339" s="3"/>
      <c r="H339" s="3"/>
      <c r="I339" s="11" t="str">
        <f>IF(D339="","",SUMIFS(RaceResults!$C:$C,RaceResults!$A:$A,$A339,RaceResults!$D:$D,D339))</f>
        <v/>
      </c>
      <c r="J339" s="11" t="str">
        <f>IF(E339="","",SUMIFS(RaceResults!$C:$C,RaceResults!$A:$A,$A339,RaceResults!$D:$D,E339))</f>
        <v/>
      </c>
      <c r="K339" s="11" t="str">
        <f>IF(F339="","",SUMIFS(RaceResults!$C:$C,RaceResults!$A:$A,$A339,RaceResults!$D:$D,F339))</f>
        <v/>
      </c>
      <c r="L339" s="11" t="str">
        <f>IF(D339="","",SUMIFS(RaceResults!$E:$E,RaceResults!$A:$A,$A339,RaceResults!$D:$D,D339))</f>
        <v/>
      </c>
      <c r="M339" s="11" t="str">
        <f>IF(E339="","",SUMIFS(RaceResults!$E:$E,RaceResults!$A:$A,$A339,RaceResults!$D:$D,E339))</f>
        <v/>
      </c>
      <c r="N339" s="11" t="str">
        <f>IF(F339="","",SUMIFS(RaceResults!$E:$E,RaceResults!$A:$A,$A339,RaceResults!$D:$D,F339))</f>
        <v/>
      </c>
      <c r="O339" s="11">
        <f t="shared" si="5"/>
        <v>0</v>
      </c>
    </row>
    <row r="340" spans="1:15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3"/>
      <c r="H340" s="3"/>
      <c r="I340" s="11" t="str">
        <f>IF(D340="","",SUMIFS(RaceResults!$C:$C,RaceResults!$A:$A,$A340,RaceResults!$D:$D,D340))</f>
        <v/>
      </c>
      <c r="J340" s="11" t="str">
        <f>IF(E340="","",SUMIFS(RaceResults!$C:$C,RaceResults!$A:$A,$A340,RaceResults!$D:$D,E340))</f>
        <v/>
      </c>
      <c r="K340" s="11" t="str">
        <f>IF(F340="","",SUMIFS(RaceResults!$C:$C,RaceResults!$A:$A,$A340,RaceResults!$D:$D,F340))</f>
        <v/>
      </c>
      <c r="L340" s="11" t="str">
        <f>IF(D340="","",SUMIFS(RaceResults!$E:$E,RaceResults!$A:$A,$A340,RaceResults!$D:$D,D340))</f>
        <v/>
      </c>
      <c r="M340" s="11" t="str">
        <f>IF(E340="","",SUMIFS(RaceResults!$E:$E,RaceResults!$A:$A,$A340,RaceResults!$D:$D,E340))</f>
        <v/>
      </c>
      <c r="N340" s="11" t="str">
        <f>IF(F340="","",SUMIFS(RaceResults!$E:$E,RaceResults!$A:$A,$A340,RaceResults!$D:$D,F340))</f>
        <v/>
      </c>
      <c r="O340" s="11">
        <f t="shared" si="5"/>
        <v>0</v>
      </c>
    </row>
    <row r="341" spans="1:15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3"/>
      <c r="H341" s="3"/>
      <c r="I341" s="11" t="str">
        <f>IF(D341="","",SUMIFS(RaceResults!$C:$C,RaceResults!$A:$A,$A341,RaceResults!$D:$D,D341))</f>
        <v/>
      </c>
      <c r="J341" s="11" t="str">
        <f>IF(E341="","",SUMIFS(RaceResults!$C:$C,RaceResults!$A:$A,$A341,RaceResults!$D:$D,E341))</f>
        <v/>
      </c>
      <c r="K341" s="11" t="str">
        <f>IF(F341="","",SUMIFS(RaceResults!$C:$C,RaceResults!$A:$A,$A341,RaceResults!$D:$D,F341))</f>
        <v/>
      </c>
      <c r="L341" s="11" t="str">
        <f>IF(D341="","",SUMIFS(RaceResults!$E:$E,RaceResults!$A:$A,$A341,RaceResults!$D:$D,D341))</f>
        <v/>
      </c>
      <c r="M341" s="11" t="str">
        <f>IF(E341="","",SUMIFS(RaceResults!$E:$E,RaceResults!$A:$A,$A341,RaceResults!$D:$D,E341))</f>
        <v/>
      </c>
      <c r="N341" s="11" t="str">
        <f>IF(F341="","",SUMIFS(RaceResults!$E:$E,RaceResults!$A:$A,$A341,RaceResults!$D:$D,F341))</f>
        <v/>
      </c>
      <c r="O341" s="11">
        <f t="shared" si="5"/>
        <v>0</v>
      </c>
    </row>
    <row r="342" spans="1:15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3"/>
      <c r="H342" s="3"/>
      <c r="I342" s="11" t="str">
        <f>IF(D342="","",SUMIFS(RaceResults!$C:$C,RaceResults!$A:$A,$A342,RaceResults!$D:$D,D342))</f>
        <v/>
      </c>
      <c r="J342" s="11" t="str">
        <f>IF(E342="","",SUMIFS(RaceResults!$C:$C,RaceResults!$A:$A,$A342,RaceResults!$D:$D,E342))</f>
        <v/>
      </c>
      <c r="K342" s="11" t="str">
        <f>IF(F342="","",SUMIFS(RaceResults!$C:$C,RaceResults!$A:$A,$A342,RaceResults!$D:$D,F342))</f>
        <v/>
      </c>
      <c r="L342" s="11" t="str">
        <f>IF(D342="","",SUMIFS(RaceResults!$E:$E,RaceResults!$A:$A,$A342,RaceResults!$D:$D,D342))</f>
        <v/>
      </c>
      <c r="M342" s="11" t="str">
        <f>IF(E342="","",SUMIFS(RaceResults!$E:$E,RaceResults!$A:$A,$A342,RaceResults!$D:$D,E342))</f>
        <v/>
      </c>
      <c r="N342" s="11" t="str">
        <f>IF(F342="","",SUMIFS(RaceResults!$E:$E,RaceResults!$A:$A,$A342,RaceResults!$D:$D,F342))</f>
        <v/>
      </c>
      <c r="O342" s="11">
        <f t="shared" si="5"/>
        <v>0</v>
      </c>
    </row>
    <row r="343" spans="1:15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3"/>
      <c r="H343" s="3"/>
      <c r="I343" s="11" t="str">
        <f>IF(D343="","",SUMIFS(RaceResults!$C:$C,RaceResults!$A:$A,$A343,RaceResults!$D:$D,D343))</f>
        <v/>
      </c>
      <c r="J343" s="11" t="str">
        <f>IF(E343="","",SUMIFS(RaceResults!$C:$C,RaceResults!$A:$A,$A343,RaceResults!$D:$D,E343))</f>
        <v/>
      </c>
      <c r="K343" s="11" t="str">
        <f>IF(F343="","",SUMIFS(RaceResults!$C:$C,RaceResults!$A:$A,$A343,RaceResults!$D:$D,F343))</f>
        <v/>
      </c>
      <c r="L343" s="11" t="str">
        <f>IF(D343="","",SUMIFS(RaceResults!$E:$E,RaceResults!$A:$A,$A343,RaceResults!$D:$D,D343))</f>
        <v/>
      </c>
      <c r="M343" s="11" t="str">
        <f>IF(E343="","",SUMIFS(RaceResults!$E:$E,RaceResults!$A:$A,$A343,RaceResults!$D:$D,E343))</f>
        <v/>
      </c>
      <c r="N343" s="11" t="str">
        <f>IF(F343="","",SUMIFS(RaceResults!$E:$E,RaceResults!$A:$A,$A343,RaceResults!$D:$D,F343))</f>
        <v/>
      </c>
      <c r="O343" s="11">
        <f t="shared" si="5"/>
        <v>0</v>
      </c>
    </row>
    <row r="344" spans="1:15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3"/>
      <c r="H344" s="3"/>
      <c r="I344" s="11" t="str">
        <f>IF(D344="","",SUMIFS(RaceResults!$C:$C,RaceResults!$A:$A,$A344,RaceResults!$D:$D,D344))</f>
        <v/>
      </c>
      <c r="J344" s="11" t="str">
        <f>IF(E344="","",SUMIFS(RaceResults!$C:$C,RaceResults!$A:$A,$A344,RaceResults!$D:$D,E344))</f>
        <v/>
      </c>
      <c r="K344" s="11" t="str">
        <f>IF(F344="","",SUMIFS(RaceResults!$C:$C,RaceResults!$A:$A,$A344,RaceResults!$D:$D,F344))</f>
        <v/>
      </c>
      <c r="L344" s="11" t="str">
        <f>IF(D344="","",SUMIFS(RaceResults!$E:$E,RaceResults!$A:$A,$A344,RaceResults!$D:$D,D344))</f>
        <v/>
      </c>
      <c r="M344" s="11" t="str">
        <f>IF(E344="","",SUMIFS(RaceResults!$E:$E,RaceResults!$A:$A,$A344,RaceResults!$D:$D,E344))</f>
        <v/>
      </c>
      <c r="N344" s="11" t="str">
        <f>IF(F344="","",SUMIFS(RaceResults!$E:$E,RaceResults!$A:$A,$A344,RaceResults!$D:$D,F344))</f>
        <v/>
      </c>
      <c r="O344" s="11">
        <f t="shared" si="5"/>
        <v>0</v>
      </c>
    </row>
    <row r="345" spans="1:15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3"/>
      <c r="H345" s="3"/>
      <c r="I345" s="11" t="str">
        <f>IF(D345="","",SUMIFS(RaceResults!$C:$C,RaceResults!$A:$A,$A345,RaceResults!$D:$D,D345))</f>
        <v/>
      </c>
      <c r="J345" s="11" t="str">
        <f>IF(E345="","",SUMIFS(RaceResults!$C:$C,RaceResults!$A:$A,$A345,RaceResults!$D:$D,E345))</f>
        <v/>
      </c>
      <c r="K345" s="11" t="str">
        <f>IF(F345="","",SUMIFS(RaceResults!$C:$C,RaceResults!$A:$A,$A345,RaceResults!$D:$D,F345))</f>
        <v/>
      </c>
      <c r="L345" s="11" t="str">
        <f>IF(D345="","",SUMIFS(RaceResults!$E:$E,RaceResults!$A:$A,$A345,RaceResults!$D:$D,D345))</f>
        <v/>
      </c>
      <c r="M345" s="11" t="str">
        <f>IF(E345="","",SUMIFS(RaceResults!$E:$E,RaceResults!$A:$A,$A345,RaceResults!$D:$D,E345))</f>
        <v/>
      </c>
      <c r="N345" s="11" t="str">
        <f>IF(F345="","",SUMIFS(RaceResults!$E:$E,RaceResults!$A:$A,$A345,RaceResults!$D:$D,F345))</f>
        <v/>
      </c>
      <c r="O345" s="11">
        <f t="shared" si="5"/>
        <v>0</v>
      </c>
    </row>
    <row r="346" spans="1:15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3"/>
      <c r="H346" s="3"/>
      <c r="I346" s="11" t="str">
        <f>IF(D346="","",SUMIFS(RaceResults!$C:$C,RaceResults!$A:$A,$A346,RaceResults!$D:$D,D346))</f>
        <v/>
      </c>
      <c r="J346" s="11" t="str">
        <f>IF(E346="","",SUMIFS(RaceResults!$C:$C,RaceResults!$A:$A,$A346,RaceResults!$D:$D,E346))</f>
        <v/>
      </c>
      <c r="K346" s="11" t="str">
        <f>IF(F346="","",SUMIFS(RaceResults!$C:$C,RaceResults!$A:$A,$A346,RaceResults!$D:$D,F346))</f>
        <v/>
      </c>
      <c r="L346" s="11" t="str">
        <f>IF(D346="","",SUMIFS(RaceResults!$E:$E,RaceResults!$A:$A,$A346,RaceResults!$D:$D,D346))</f>
        <v/>
      </c>
      <c r="M346" s="11" t="str">
        <f>IF(E346="","",SUMIFS(RaceResults!$E:$E,RaceResults!$A:$A,$A346,RaceResults!$D:$D,E346))</f>
        <v/>
      </c>
      <c r="N346" s="11" t="str">
        <f>IF(F346="","",SUMIFS(RaceResults!$E:$E,RaceResults!$A:$A,$A346,RaceResults!$D:$D,F346))</f>
        <v/>
      </c>
      <c r="O346" s="11">
        <f t="shared" si="5"/>
        <v>0</v>
      </c>
    </row>
    <row r="347" spans="1:15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3"/>
      <c r="H347" s="3"/>
      <c r="I347" s="11" t="str">
        <f>IF(D347="","",SUMIFS(RaceResults!$C:$C,RaceResults!$A:$A,$A347,RaceResults!$D:$D,D347))</f>
        <v/>
      </c>
      <c r="J347" s="11" t="str">
        <f>IF(E347="","",SUMIFS(RaceResults!$C:$C,RaceResults!$A:$A,$A347,RaceResults!$D:$D,E347))</f>
        <v/>
      </c>
      <c r="K347" s="11" t="str">
        <f>IF(F347="","",SUMIFS(RaceResults!$C:$C,RaceResults!$A:$A,$A347,RaceResults!$D:$D,F347))</f>
        <v/>
      </c>
      <c r="L347" s="11" t="str">
        <f>IF(D347="","",SUMIFS(RaceResults!$E:$E,RaceResults!$A:$A,$A347,RaceResults!$D:$D,D347))</f>
        <v/>
      </c>
      <c r="M347" s="11" t="str">
        <f>IF(E347="","",SUMIFS(RaceResults!$E:$E,RaceResults!$A:$A,$A347,RaceResults!$D:$D,E347))</f>
        <v/>
      </c>
      <c r="N347" s="11" t="str">
        <f>IF(F347="","",SUMIFS(RaceResults!$E:$E,RaceResults!$A:$A,$A347,RaceResults!$D:$D,F347))</f>
        <v/>
      </c>
      <c r="O347" s="11">
        <f t="shared" si="5"/>
        <v>0</v>
      </c>
    </row>
    <row r="348" spans="1:15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3"/>
      <c r="H348" s="3"/>
      <c r="I348" s="11" t="str">
        <f>IF(D348="","",SUMIFS(RaceResults!$C:$C,RaceResults!$A:$A,$A348,RaceResults!$D:$D,D348))</f>
        <v/>
      </c>
      <c r="J348" s="11" t="str">
        <f>IF(E348="","",SUMIFS(RaceResults!$C:$C,RaceResults!$A:$A,$A348,RaceResults!$D:$D,E348))</f>
        <v/>
      </c>
      <c r="K348" s="11" t="str">
        <f>IF(F348="","",SUMIFS(RaceResults!$C:$C,RaceResults!$A:$A,$A348,RaceResults!$D:$D,F348))</f>
        <v/>
      </c>
      <c r="L348" s="11" t="str">
        <f>IF(D348="","",SUMIFS(RaceResults!$E:$E,RaceResults!$A:$A,$A348,RaceResults!$D:$D,D348))</f>
        <v/>
      </c>
      <c r="M348" s="11" t="str">
        <f>IF(E348="","",SUMIFS(RaceResults!$E:$E,RaceResults!$A:$A,$A348,RaceResults!$D:$D,E348))</f>
        <v/>
      </c>
      <c r="N348" s="11" t="str">
        <f>IF(F348="","",SUMIFS(RaceResults!$E:$E,RaceResults!$A:$A,$A348,RaceResults!$D:$D,F348))</f>
        <v/>
      </c>
      <c r="O348" s="11">
        <f t="shared" si="5"/>
        <v>0</v>
      </c>
    </row>
    <row r="349" spans="1:15" x14ac:dyDescent="0.3">
      <c r="A349" s="9">
        <v>35</v>
      </c>
      <c r="B349" s="9" t="s">
        <v>61</v>
      </c>
      <c r="C349" s="10" t="s">
        <v>163</v>
      </c>
      <c r="D349" s="3"/>
      <c r="E349" s="3"/>
      <c r="F349" s="3"/>
      <c r="G349" s="3"/>
      <c r="H349" s="3"/>
      <c r="I349" s="11" t="str">
        <f>IF(D349="","",SUMIFS(RaceResults!$C:$C,RaceResults!$A:$A,$A349,RaceResults!$D:$D,D349))</f>
        <v/>
      </c>
      <c r="J349" s="11" t="str">
        <f>IF(E349="","",SUMIFS(RaceResults!$C:$C,RaceResults!$A:$A,$A349,RaceResults!$D:$D,E349))</f>
        <v/>
      </c>
      <c r="K349" s="11" t="str">
        <f>IF(F349="","",SUMIFS(RaceResults!$C:$C,RaceResults!$A:$A,$A349,RaceResults!$D:$D,F349))</f>
        <v/>
      </c>
      <c r="L349" s="11" t="str">
        <f>IF(D349="","",SUMIFS(RaceResults!$E:$E,RaceResults!$A:$A,$A349,RaceResults!$D:$D,D349))</f>
        <v/>
      </c>
      <c r="M349" s="11" t="str">
        <f>IF(E349="","",SUMIFS(RaceResults!$E:$E,RaceResults!$A:$A,$A349,RaceResults!$D:$D,E349))</f>
        <v/>
      </c>
      <c r="N349" s="11" t="str">
        <f>IF(F349="","",SUMIFS(RaceResults!$E:$E,RaceResults!$A:$A,$A349,RaceResults!$D:$D,F349))</f>
        <v/>
      </c>
      <c r="O349" s="11">
        <f t="shared" si="5"/>
        <v>0</v>
      </c>
    </row>
    <row r="350" spans="1:15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3"/>
      <c r="H350" s="3"/>
      <c r="I350" s="11" t="str">
        <f>IF(D350="","",SUMIFS(RaceResults!$C:$C,RaceResults!$A:$A,$A350,RaceResults!$D:$D,D350))</f>
        <v/>
      </c>
      <c r="J350" s="11" t="str">
        <f>IF(E350="","",SUMIFS(RaceResults!$C:$C,RaceResults!$A:$A,$A350,RaceResults!$D:$D,E350))</f>
        <v/>
      </c>
      <c r="K350" s="11" t="str">
        <f>IF(F350="","",SUMIFS(RaceResults!$C:$C,RaceResults!$A:$A,$A350,RaceResults!$D:$D,F350))</f>
        <v/>
      </c>
      <c r="L350" s="11" t="str">
        <f>IF(D350="","",SUMIFS(RaceResults!$E:$E,RaceResults!$A:$A,$A350,RaceResults!$D:$D,D350))</f>
        <v/>
      </c>
      <c r="M350" s="11" t="str">
        <f>IF(E350="","",SUMIFS(RaceResults!$E:$E,RaceResults!$A:$A,$A350,RaceResults!$D:$D,E350))</f>
        <v/>
      </c>
      <c r="N350" s="11" t="str">
        <f>IF(F350="","",SUMIFS(RaceResults!$E:$E,RaceResults!$A:$A,$A350,RaceResults!$D:$D,F350))</f>
        <v/>
      </c>
      <c r="O350" s="11">
        <f t="shared" si="5"/>
        <v>0</v>
      </c>
    </row>
    <row r="351" spans="1:15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3"/>
      <c r="H351" s="3"/>
      <c r="I351" s="11" t="str">
        <f>IF(D351="","",SUMIFS(RaceResults!$C:$C,RaceResults!$A:$A,$A351,RaceResults!$D:$D,D351))</f>
        <v/>
      </c>
      <c r="J351" s="11" t="str">
        <f>IF(E351="","",SUMIFS(RaceResults!$C:$C,RaceResults!$A:$A,$A351,RaceResults!$D:$D,E351))</f>
        <v/>
      </c>
      <c r="K351" s="11" t="str">
        <f>IF(F351="","",SUMIFS(RaceResults!$C:$C,RaceResults!$A:$A,$A351,RaceResults!$D:$D,F351))</f>
        <v/>
      </c>
      <c r="L351" s="11" t="str">
        <f>IF(D351="","",SUMIFS(RaceResults!$E:$E,RaceResults!$A:$A,$A351,RaceResults!$D:$D,D351))</f>
        <v/>
      </c>
      <c r="M351" s="11" t="str">
        <f>IF(E351="","",SUMIFS(RaceResults!$E:$E,RaceResults!$A:$A,$A351,RaceResults!$D:$D,E351))</f>
        <v/>
      </c>
      <c r="N351" s="11" t="str">
        <f>IF(F351="","",SUMIFS(RaceResults!$E:$E,RaceResults!$A:$A,$A351,RaceResults!$D:$D,F351))</f>
        <v/>
      </c>
      <c r="O351" s="11">
        <f t="shared" si="5"/>
        <v>0</v>
      </c>
    </row>
    <row r="352" spans="1:15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3"/>
      <c r="H352" s="3"/>
      <c r="I352" s="11" t="str">
        <f>IF(D352="","",SUMIFS(RaceResults!$C:$C,RaceResults!$A:$A,$A352,RaceResults!$D:$D,D352))</f>
        <v/>
      </c>
      <c r="J352" s="11" t="str">
        <f>IF(E352="","",SUMIFS(RaceResults!$C:$C,RaceResults!$A:$A,$A352,RaceResults!$D:$D,E352))</f>
        <v/>
      </c>
      <c r="K352" s="11" t="str">
        <f>IF(F352="","",SUMIFS(RaceResults!$C:$C,RaceResults!$A:$A,$A352,RaceResults!$D:$D,F352))</f>
        <v/>
      </c>
      <c r="L352" s="11" t="str">
        <f>IF(D352="","",SUMIFS(RaceResults!$E:$E,RaceResults!$A:$A,$A352,RaceResults!$D:$D,D352))</f>
        <v/>
      </c>
      <c r="M352" s="11" t="str">
        <f>IF(E352="","",SUMIFS(RaceResults!$E:$E,RaceResults!$A:$A,$A352,RaceResults!$D:$D,E352))</f>
        <v/>
      </c>
      <c r="N352" s="11" t="str">
        <f>IF(F352="","",SUMIFS(RaceResults!$E:$E,RaceResults!$A:$A,$A352,RaceResults!$D:$D,F352))</f>
        <v/>
      </c>
      <c r="O352" s="11">
        <f t="shared" si="5"/>
        <v>0</v>
      </c>
    </row>
    <row r="353" spans="1:15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3"/>
      <c r="H353" s="3"/>
      <c r="I353" s="11" t="str">
        <f>IF(D353="","",SUMIFS(RaceResults!$C:$C,RaceResults!$A:$A,$A353,RaceResults!$D:$D,D353))</f>
        <v/>
      </c>
      <c r="J353" s="11" t="str">
        <f>IF(E353="","",SUMIFS(RaceResults!$C:$C,RaceResults!$A:$A,$A353,RaceResults!$D:$D,E353))</f>
        <v/>
      </c>
      <c r="K353" s="11" t="str">
        <f>IF(F353="","",SUMIFS(RaceResults!$C:$C,RaceResults!$A:$A,$A353,RaceResults!$D:$D,F353))</f>
        <v/>
      </c>
      <c r="L353" s="11" t="str">
        <f>IF(D353="","",SUMIFS(RaceResults!$E:$E,RaceResults!$A:$A,$A353,RaceResults!$D:$D,D353))</f>
        <v/>
      </c>
      <c r="M353" s="11" t="str">
        <f>IF(E353="","",SUMIFS(RaceResults!$E:$E,RaceResults!$A:$A,$A353,RaceResults!$D:$D,E353))</f>
        <v/>
      </c>
      <c r="N353" s="11" t="str">
        <f>IF(F353="","",SUMIFS(RaceResults!$E:$E,RaceResults!$A:$A,$A353,RaceResults!$D:$D,F353))</f>
        <v/>
      </c>
      <c r="O353" s="11">
        <f t="shared" si="5"/>
        <v>0</v>
      </c>
    </row>
    <row r="354" spans="1:15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3"/>
      <c r="H354" s="3"/>
      <c r="I354" s="11" t="str">
        <f>IF(D354="","",SUMIFS(RaceResults!$C:$C,RaceResults!$A:$A,$A354,RaceResults!$D:$D,D354))</f>
        <v/>
      </c>
      <c r="J354" s="11" t="str">
        <f>IF(E354="","",SUMIFS(RaceResults!$C:$C,RaceResults!$A:$A,$A354,RaceResults!$D:$D,E354))</f>
        <v/>
      </c>
      <c r="K354" s="11" t="str">
        <f>IF(F354="","",SUMIFS(RaceResults!$C:$C,RaceResults!$A:$A,$A354,RaceResults!$D:$D,F354))</f>
        <v/>
      </c>
      <c r="L354" s="11" t="str">
        <f>IF(D354="","",SUMIFS(RaceResults!$E:$E,RaceResults!$A:$A,$A354,RaceResults!$D:$D,D354))</f>
        <v/>
      </c>
      <c r="M354" s="11" t="str">
        <f>IF(E354="","",SUMIFS(RaceResults!$E:$E,RaceResults!$A:$A,$A354,RaceResults!$D:$D,E354))</f>
        <v/>
      </c>
      <c r="N354" s="11" t="str">
        <f>IF(F354="","",SUMIFS(RaceResults!$E:$E,RaceResults!$A:$A,$A354,RaceResults!$D:$D,F354))</f>
        <v/>
      </c>
      <c r="O354" s="11">
        <f t="shared" si="5"/>
        <v>0</v>
      </c>
    </row>
    <row r="355" spans="1:15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3"/>
      <c r="H355" s="3"/>
      <c r="I355" s="11" t="str">
        <f>IF(D355="","",SUMIFS(RaceResults!$C:$C,RaceResults!$A:$A,$A355,RaceResults!$D:$D,D355))</f>
        <v/>
      </c>
      <c r="J355" s="11" t="str">
        <f>IF(E355="","",SUMIFS(RaceResults!$C:$C,RaceResults!$A:$A,$A355,RaceResults!$D:$D,E355))</f>
        <v/>
      </c>
      <c r="K355" s="11" t="str">
        <f>IF(F355="","",SUMIFS(RaceResults!$C:$C,RaceResults!$A:$A,$A355,RaceResults!$D:$D,F355))</f>
        <v/>
      </c>
      <c r="L355" s="11" t="str">
        <f>IF(D355="","",SUMIFS(RaceResults!$E:$E,RaceResults!$A:$A,$A355,RaceResults!$D:$D,D355))</f>
        <v/>
      </c>
      <c r="M355" s="11" t="str">
        <f>IF(E355="","",SUMIFS(RaceResults!$E:$E,RaceResults!$A:$A,$A355,RaceResults!$D:$D,E355))</f>
        <v/>
      </c>
      <c r="N355" s="11" t="str">
        <f>IF(F355="","",SUMIFS(RaceResults!$E:$E,RaceResults!$A:$A,$A355,RaceResults!$D:$D,F355))</f>
        <v/>
      </c>
      <c r="O355" s="11">
        <f t="shared" si="5"/>
        <v>0</v>
      </c>
    </row>
    <row r="356" spans="1:15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3"/>
      <c r="H356" s="3"/>
      <c r="I356" s="11" t="str">
        <f>IF(D356="","",SUMIFS(RaceResults!$C:$C,RaceResults!$A:$A,$A356,RaceResults!$D:$D,D356))</f>
        <v/>
      </c>
      <c r="J356" s="11" t="str">
        <f>IF(E356="","",SUMIFS(RaceResults!$C:$C,RaceResults!$A:$A,$A356,RaceResults!$D:$D,E356))</f>
        <v/>
      </c>
      <c r="K356" s="11" t="str">
        <f>IF(F356="","",SUMIFS(RaceResults!$C:$C,RaceResults!$A:$A,$A356,RaceResults!$D:$D,F356))</f>
        <v/>
      </c>
      <c r="L356" s="11" t="str">
        <f>IF(D356="","",SUMIFS(RaceResults!$E:$E,RaceResults!$A:$A,$A356,RaceResults!$D:$D,D356))</f>
        <v/>
      </c>
      <c r="M356" s="11" t="str">
        <f>IF(E356="","",SUMIFS(RaceResults!$E:$E,RaceResults!$A:$A,$A356,RaceResults!$D:$D,E356))</f>
        <v/>
      </c>
      <c r="N356" s="11" t="str">
        <f>IF(F356="","",SUMIFS(RaceResults!$E:$E,RaceResults!$A:$A,$A356,RaceResults!$D:$D,F356))</f>
        <v/>
      </c>
      <c r="O356" s="11">
        <f t="shared" si="5"/>
        <v>0</v>
      </c>
    </row>
    <row r="357" spans="1:15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3"/>
      <c r="H357" s="3"/>
      <c r="I357" s="11" t="str">
        <f>IF(D357="","",SUMIFS(RaceResults!$C:$C,RaceResults!$A:$A,$A357,RaceResults!$D:$D,D357))</f>
        <v/>
      </c>
      <c r="J357" s="11" t="str">
        <f>IF(E357="","",SUMIFS(RaceResults!$C:$C,RaceResults!$A:$A,$A357,RaceResults!$D:$D,E357))</f>
        <v/>
      </c>
      <c r="K357" s="11" t="str">
        <f>IF(F357="","",SUMIFS(RaceResults!$C:$C,RaceResults!$A:$A,$A357,RaceResults!$D:$D,F357))</f>
        <v/>
      </c>
      <c r="L357" s="11" t="str">
        <f>IF(D357="","",SUMIFS(RaceResults!$E:$E,RaceResults!$A:$A,$A357,RaceResults!$D:$D,D357))</f>
        <v/>
      </c>
      <c r="M357" s="11" t="str">
        <f>IF(E357="","",SUMIFS(RaceResults!$E:$E,RaceResults!$A:$A,$A357,RaceResults!$D:$D,E357))</f>
        <v/>
      </c>
      <c r="N357" s="11" t="str">
        <f>IF(F357="","",SUMIFS(RaceResults!$E:$E,RaceResults!$A:$A,$A357,RaceResults!$D:$D,F357))</f>
        <v/>
      </c>
      <c r="O357" s="11">
        <f t="shared" si="5"/>
        <v>0</v>
      </c>
    </row>
    <row r="358" spans="1:15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3"/>
      <c r="H358" s="3"/>
      <c r="I358" s="11" t="str">
        <f>IF(D358="","",SUMIFS(RaceResults!$C:$C,RaceResults!$A:$A,$A358,RaceResults!$D:$D,D358))</f>
        <v/>
      </c>
      <c r="J358" s="11" t="str">
        <f>IF(E358="","",SUMIFS(RaceResults!$C:$C,RaceResults!$A:$A,$A358,RaceResults!$D:$D,E358))</f>
        <v/>
      </c>
      <c r="K358" s="11" t="str">
        <f>IF(F358="","",SUMIFS(RaceResults!$C:$C,RaceResults!$A:$A,$A358,RaceResults!$D:$D,F358))</f>
        <v/>
      </c>
      <c r="L358" s="11" t="str">
        <f>IF(D358="","",SUMIFS(RaceResults!$E:$E,RaceResults!$A:$A,$A358,RaceResults!$D:$D,D358))</f>
        <v/>
      </c>
      <c r="M358" s="11" t="str">
        <f>IF(E358="","",SUMIFS(RaceResults!$E:$E,RaceResults!$A:$A,$A358,RaceResults!$D:$D,E358))</f>
        <v/>
      </c>
      <c r="N358" s="11" t="str">
        <f>IF(F358="","",SUMIFS(RaceResults!$E:$E,RaceResults!$A:$A,$A358,RaceResults!$D:$D,F358))</f>
        <v/>
      </c>
      <c r="O358" s="11">
        <f t="shared" si="5"/>
        <v>0</v>
      </c>
    </row>
    <row r="359" spans="1:15" x14ac:dyDescent="0.3">
      <c r="A359" s="9">
        <v>36</v>
      </c>
      <c r="B359" s="9" t="s">
        <v>115</v>
      </c>
      <c r="C359" s="10" t="s">
        <v>163</v>
      </c>
      <c r="D359" s="3"/>
      <c r="E359" s="3"/>
      <c r="F359" s="3"/>
      <c r="G359" s="3"/>
      <c r="H359" s="3"/>
      <c r="I359" s="11" t="str">
        <f>IF(D359="","",SUMIFS(RaceResults!$C:$C,RaceResults!$A:$A,$A359,RaceResults!$D:$D,D359))</f>
        <v/>
      </c>
      <c r="J359" s="11" t="str">
        <f>IF(E359="","",SUMIFS(RaceResults!$C:$C,RaceResults!$A:$A,$A359,RaceResults!$D:$D,E359))</f>
        <v/>
      </c>
      <c r="K359" s="11" t="str">
        <f>IF(F359="","",SUMIFS(RaceResults!$C:$C,RaceResults!$A:$A,$A359,RaceResults!$D:$D,F359))</f>
        <v/>
      </c>
      <c r="L359" s="11" t="str">
        <f>IF(D359="","",SUMIFS(RaceResults!$E:$E,RaceResults!$A:$A,$A359,RaceResults!$D:$D,D359))</f>
        <v/>
      </c>
      <c r="M359" s="11" t="str">
        <f>IF(E359="","",SUMIFS(RaceResults!$E:$E,RaceResults!$A:$A,$A359,RaceResults!$D:$D,E359))</f>
        <v/>
      </c>
      <c r="N359" s="11" t="str">
        <f>IF(F359="","",SUMIFS(RaceResults!$E:$E,RaceResults!$A:$A,$A359,RaceResults!$D:$D,F359))</f>
        <v/>
      </c>
      <c r="O359" s="11">
        <f t="shared" si="5"/>
        <v>0</v>
      </c>
    </row>
    <row r="360" spans="1:15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3"/>
      <c r="H360" s="3"/>
      <c r="I360" s="11" t="str">
        <f>IF(D360="","",SUMIFS(RaceResults!$C:$C,RaceResults!$A:$A,$A360,RaceResults!$D:$D,D360))</f>
        <v/>
      </c>
      <c r="J360" s="11" t="str">
        <f>IF(E360="","",SUMIFS(RaceResults!$C:$C,RaceResults!$A:$A,$A360,RaceResults!$D:$D,E360))</f>
        <v/>
      </c>
      <c r="K360" s="11" t="str">
        <f>IF(F360="","",SUMIFS(RaceResults!$C:$C,RaceResults!$A:$A,$A360,RaceResults!$D:$D,F360))</f>
        <v/>
      </c>
      <c r="L360" s="11" t="str">
        <f>IF(D360="","",SUMIFS(RaceResults!$E:$E,RaceResults!$A:$A,$A360,RaceResults!$D:$D,D360))</f>
        <v/>
      </c>
      <c r="M360" s="11" t="str">
        <f>IF(E360="","",SUMIFS(RaceResults!$E:$E,RaceResults!$A:$A,$A360,RaceResults!$D:$D,E360))</f>
        <v/>
      </c>
      <c r="N360" s="11" t="str">
        <f>IF(F360="","",SUMIFS(RaceResults!$E:$E,RaceResults!$A:$A,$A360,RaceResults!$D:$D,F360))</f>
        <v/>
      </c>
      <c r="O360" s="11">
        <f t="shared" si="5"/>
        <v>0</v>
      </c>
    </row>
    <row r="361" spans="1:15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3"/>
      <c r="H361" s="3"/>
      <c r="I361" s="11" t="str">
        <f>IF(D361="","",SUMIFS(RaceResults!$C:$C,RaceResults!$A:$A,$A361,RaceResults!$D:$D,D361))</f>
        <v/>
      </c>
      <c r="J361" s="11" t="str">
        <f>IF(E361="","",SUMIFS(RaceResults!$C:$C,RaceResults!$A:$A,$A361,RaceResults!$D:$D,E361))</f>
        <v/>
      </c>
      <c r="K361" s="11" t="str">
        <f>IF(F361="","",SUMIFS(RaceResults!$C:$C,RaceResults!$A:$A,$A361,RaceResults!$D:$D,F361))</f>
        <v/>
      </c>
      <c r="L361" s="11" t="str">
        <f>IF(D361="","",SUMIFS(RaceResults!$E:$E,RaceResults!$A:$A,$A361,RaceResults!$D:$D,D361))</f>
        <v/>
      </c>
      <c r="M361" s="11" t="str">
        <f>IF(E361="","",SUMIFS(RaceResults!$E:$E,RaceResults!$A:$A,$A361,RaceResults!$D:$D,E361))</f>
        <v/>
      </c>
      <c r="N361" s="11" t="str">
        <f>IF(F361="","",SUMIFS(RaceResults!$E:$E,RaceResults!$A:$A,$A361,RaceResults!$D:$D,F361))</f>
        <v/>
      </c>
      <c r="O361" s="11">
        <f t="shared" si="5"/>
        <v>0</v>
      </c>
    </row>
  </sheetData>
  <dataValidations count="1">
    <dataValidation type="whole" sqref="D2:H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IF(MAX(WeeklyPicks!$O$2:$O$11)=0,"",INDEX(WeeklyPicks!$C$2:$C$11,MATCH(MAX(WeeklyPicks!$O$2:$O$11),WeeklyPicks!$O$2:$O$11,0)))</f>
        <v/>
      </c>
      <c r="D2">
        <f>MAX(WeeklyPicks!$O$2:$O$11)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IF(MAX(WeeklyPicks!$O$12:$O$21)=0,"",INDEX(WeeklyPicks!$C$12:$C$21,MATCH(MAX(WeeklyPicks!$O$12:$O$21),WeeklyPicks!$O$12:$O$21,0)))</f>
        <v/>
      </c>
      <c r="D3">
        <f>MAX(WeeklyPicks!$O$12:$O$21)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IF(MAX(WeeklyPicks!$O$22:$O$31)=0,"",INDEX(WeeklyPicks!$C$22:$C$31,MATCH(MAX(WeeklyPicks!$O$22:$O$31),WeeklyPicks!$O$22:$O$31,0)))</f>
        <v>Meg</v>
      </c>
      <c r="D4">
        <f>MAX(WeeklyPicks!$O$22:$O$31)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IF(MAX(WeeklyPicks!$O$32:$O$41)=0,"",INDEX(WeeklyPicks!$C$32:$C$41,MATCH(MAX(WeeklyPicks!$O$32:$O$41),WeeklyPicks!$O$32:$O$41,0)))</f>
        <v>Pat</v>
      </c>
      <c r="D5">
        <f>MAX(WeeklyPicks!$O$32:$O$41)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IF(MAX(WeeklyPicks!$O$42:$O$51)=0,"",INDEX(WeeklyPicks!$C$42:$C$51,MATCH(MAX(WeeklyPicks!$O$42:$O$51),WeeklyPicks!$O$42:$O$51,0)))</f>
        <v>Joe</v>
      </c>
      <c r="D6">
        <f>MAX(WeeklyPicks!$O$42:$O$51)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IF(MAX(WeeklyPicks!$O$52:$O$61)=0,"",INDEX(WeeklyPicks!$C$52:$C$61,MATCH(MAX(WeeklyPicks!$O$52:$O$61),WeeklyPicks!$O$52:$O$61,0)))</f>
        <v>Alz</v>
      </c>
      <c r="D7">
        <f>MAX(WeeklyPicks!$O$52:$O$61)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IF(MAX(WeeklyPicks!$O$62:$O$71)=0,"",INDEX(WeeklyPicks!$C$62:$C$71,MATCH(MAX(WeeklyPicks!$O$62:$O$71),WeeklyPicks!$O$62:$O$71,0)))</f>
        <v>Darin</v>
      </c>
      <c r="D8">
        <f>MAX(WeeklyPicks!$O$62:$O$71)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IF(MAX(WeeklyPicks!$O$72:$O$81)=0,"",INDEX(WeeklyPicks!$C$72:$C$81,MATCH(MAX(WeeklyPicks!$O$72:$O$81),WeeklyPicks!$O$72:$O$81,0)))</f>
        <v>Ryan</v>
      </c>
      <c r="D9">
        <f>MAX(WeeklyPicks!$O$72:$O$81)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IF(MAX(WeeklyPicks!$O$82:$O$91)=0,"",INDEX(WeeklyPicks!$C$82:$C$91,MATCH(MAX(WeeklyPicks!$O$82:$O$91),WeeklyPicks!$O$82:$O$91,0)))</f>
        <v>Pat</v>
      </c>
      <c r="D10">
        <f>MAX(WeeklyPicks!$O$82:$O$91)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IF(MAX(WeeklyPicks!$O$92:$O$101)=0,"",INDEX(WeeklyPicks!$C$92:$C$101,MATCH(MAX(WeeklyPicks!$O$92:$O$101),WeeklyPicks!$O$92:$O$101,0)))</f>
        <v>Meg</v>
      </c>
      <c r="D11">
        <f>MAX(WeeklyPicks!$O$92:$O$101)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IF(MAX(WeeklyPicks!$O$102:$O$111)=0,"",INDEX(WeeklyPicks!$C$102:$C$111,MATCH(MAX(WeeklyPicks!$O$102:$O$111),WeeklyPicks!$O$102:$O$111,0)))</f>
        <v>Meg</v>
      </c>
      <c r="D12">
        <f>MAX(WeeklyPicks!$O$102:$O$111)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IF(MAX(WeeklyPicks!$O$112:$O$121)=0,"",INDEX(WeeklyPicks!$C$112:$C$121,MATCH(MAX(WeeklyPicks!$O$112:$O$121),WeeklyPicks!$O$112:$O$121,0)))</f>
        <v>Pat</v>
      </c>
      <c r="D13">
        <f>MAX(WeeklyPicks!$O$112:$O$121)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IF(MAX(WeeklyPicks!$O$122:$O$131)=0,"",INDEX(WeeklyPicks!$C$122:$C$131,MATCH(MAX(WeeklyPicks!$O$122:$O$131),WeeklyPicks!$O$122:$O$131,0)))</f>
        <v>Meg</v>
      </c>
      <c r="D14">
        <f>MAX(WeeklyPicks!$O$122:$O$131)</f>
        <v>99</v>
      </c>
      <c r="E14">
        <f>IF(MAX(CountCalc!$D$1190:$D$1288)=0,"",INDEX(CountCalc!$C$1190:$C$1288,MATCH(MAX(CountCalc!$D$1190:$D$1288),CountCalc!$D$1190:$D$1288,0)))</f>
        <v>11</v>
      </c>
      <c r="F14">
        <f>MAX(CountCalc!$D$1190:$D$1288)</f>
        <v>5</v>
      </c>
      <c r="G14">
        <f>IF(MAX(Calc!$F$362:$F$391)=0,"",INDEX(Calc!$E$362:$E$391,MATCH(MAX(Calc!$F$362:$F$391),Calc!$F$362:$F$391,0)))</f>
        <v>2</v>
      </c>
      <c r="H14">
        <f>MAX(Calc!$F$362:$F$391)</f>
        <v>38</v>
      </c>
      <c r="I14" t="str">
        <f>IF(H14=0,"",INDEX(Calc!$C$362:$C$391,MATCH(H14,Calc!$F$362:$F$391,0)))</f>
        <v>Joe</v>
      </c>
    </row>
    <row r="15" spans="1:9" x14ac:dyDescent="0.3">
      <c r="A15">
        <v>14</v>
      </c>
      <c r="B15" t="s">
        <v>76</v>
      </c>
      <c r="C15" t="str">
        <f>IF(MAX(WeeklyPicks!$O$132:$O$141)=0,"",INDEX(WeeklyPicks!$C$132:$C$141,MATCH(MAX(WeeklyPicks!$O$132:$O$141),WeeklyPicks!$O$132:$O$141,0)))</f>
        <v>Evelyn</v>
      </c>
      <c r="D15">
        <f>MAX(WeeklyPicks!$O$132:$O$141)</f>
        <v>121</v>
      </c>
      <c r="E15">
        <f>IF(MAX(CountCalc!$D$1289:$D$1387)=0,"",INDEX(CountCalc!$C$1289:$C$1387,MATCH(MAX(CountCalc!$D$1289:$D$1387),CountCalc!$D$1289:$D$1387,0)))</f>
        <v>11</v>
      </c>
      <c r="F15">
        <f>MAX(CountCalc!$D$1289:$D$1387)</f>
        <v>6</v>
      </c>
      <c r="G15">
        <f>IF(MAX(Calc!$F$392:$F$421)=0,"",INDEX(Calc!$E$392:$E$421,MATCH(MAX(Calc!$F$392:$F$421),Calc!$F$392:$F$421,0)))</f>
        <v>5</v>
      </c>
      <c r="H15">
        <f>MAX(Calc!$F$392:$F$421)</f>
        <v>23</v>
      </c>
      <c r="I15" t="str">
        <f>IF(H15=0,"",INDEX(Calc!$C$392:$C$421,MATCH(H15,Calc!$F$392:$F$421,0)))</f>
        <v>Pat</v>
      </c>
    </row>
    <row r="16" spans="1:9" x14ac:dyDescent="0.3">
      <c r="A16">
        <v>15</v>
      </c>
      <c r="B16" t="s">
        <v>78</v>
      </c>
      <c r="C16" t="str">
        <f>IF(MAX(WeeklyPicks!$O$142:$O$151)=0,"",INDEX(WeeklyPicks!$C$142:$C$151,MATCH(MAX(WeeklyPicks!$O$142:$O$151),WeeklyPicks!$O$142:$O$151,0)))</f>
        <v>Pat</v>
      </c>
      <c r="D16">
        <f>MAX(WeeklyPicks!$O$142:$O$151)</f>
        <v>120</v>
      </c>
      <c r="E16">
        <f>IF(MAX(CountCalc!$D$1388:$D$1486)=0,"",INDEX(CountCalc!$C$1388:$C$1486,MATCH(MAX(CountCalc!$D$1388:$D$1486),CountCalc!$D$1388:$D$1486,0)))</f>
        <v>11</v>
      </c>
      <c r="F16">
        <f>MAX(CountCalc!$D$1388:$D$1486)</f>
        <v>6</v>
      </c>
      <c r="G16">
        <f>IF(MAX(Calc!$F$422:$F$451)=0,"",INDEX(Calc!$E$422:$E$451,MATCH(MAX(Calc!$F$422:$F$451),Calc!$F$422:$F$451,0)))</f>
        <v>45</v>
      </c>
      <c r="H16">
        <f>MAX(Calc!$F$422:$F$451)</f>
        <v>35</v>
      </c>
      <c r="I16" t="str">
        <f>IF(H16=0,"",INDEX(Calc!$C$422:$C$451,MATCH(H16,Calc!$F$422:$F$451,0)))</f>
        <v>Meg</v>
      </c>
    </row>
    <row r="17" spans="1:9" x14ac:dyDescent="0.3">
      <c r="A17">
        <v>16</v>
      </c>
      <c r="B17" t="s">
        <v>80</v>
      </c>
      <c r="C17" t="str">
        <f>IF(MAX(WeeklyPicks!$O$152:$O$161)=0,"",INDEX(WeeklyPicks!$C$152:$C$161,MATCH(MAX(WeeklyPicks!$O$152:$O$161),WeeklyPicks!$O$152:$O$161,0)))</f>
        <v>Evelyn</v>
      </c>
      <c r="D17">
        <f>MAX(WeeklyPicks!$O$152:$O$161)</f>
        <v>118</v>
      </c>
      <c r="E17">
        <f>IF(MAX(CountCalc!$D$1487:$D$1585)=0,"",INDEX(CountCalc!$C$1487:$C$1585,MATCH(MAX(CountCalc!$D$1487:$D$1585),CountCalc!$D$1487:$D$1585,0)))</f>
        <v>11</v>
      </c>
      <c r="F17">
        <f>MAX(CountCalc!$D$1487:$D$1585)</f>
        <v>7</v>
      </c>
      <c r="G17">
        <f>IF(MAX(Calc!$F$452:$F$481)=0,"",INDEX(Calc!$E$452:$E$481,MATCH(MAX(Calc!$F$452:$F$481),Calc!$F$452:$F$481,0)))</f>
        <v>22</v>
      </c>
      <c r="H17">
        <f>MAX(Calc!$F$452:$F$481)</f>
        <v>33</v>
      </c>
      <c r="I17" t="str">
        <f>IF(H17=0,"",INDEX(Calc!$C$452:$C$481,MATCH(H17,Calc!$F$452:$F$481,0)))</f>
        <v>Joe</v>
      </c>
    </row>
    <row r="18" spans="1:9" x14ac:dyDescent="0.3">
      <c r="A18">
        <v>17</v>
      </c>
      <c r="B18" t="s">
        <v>82</v>
      </c>
      <c r="C18" t="str">
        <f>IF(MAX(WeeklyPicks!$O$162:$O$171)=0,"",INDEX(WeeklyPicks!$C$162:$C$171,MATCH(MAX(WeeklyPicks!$O$162:$O$171),WeeklyPicks!$O$162:$O$171,0)))</f>
        <v>Joe</v>
      </c>
      <c r="D18">
        <f>MAX(WeeklyPicks!$O$162:$O$171)</f>
        <v>67</v>
      </c>
      <c r="E18">
        <f>IF(MAX(CountCalc!$D$1586:$D$1684)=0,"",INDEX(CountCalc!$C$1586:$C$1684,MATCH(MAX(CountCalc!$D$1586:$D$1684),CountCalc!$D$1586:$D$1684,0)))</f>
        <v>97</v>
      </c>
      <c r="F18">
        <f>MAX(CountCalc!$D$1586:$D$1684)</f>
        <v>7</v>
      </c>
      <c r="G18">
        <f>IF(MAX(Calc!$F$482:$F$511)=0,"",INDEX(Calc!$E$482:$E$511,MATCH(MAX(Calc!$F$482:$F$511),Calc!$F$482:$F$511,0)))</f>
        <v>97</v>
      </c>
      <c r="H18">
        <f>MAX(Calc!$F$482:$F$511)</f>
        <v>37</v>
      </c>
      <c r="I18" t="str">
        <f>IF(H18=0,"",INDEX(Calc!$C$482:$C$511,MATCH(H18,Calc!$F$482:$F$511,0)))</f>
        <v>Pat</v>
      </c>
    </row>
    <row r="19" spans="1:9" x14ac:dyDescent="0.3">
      <c r="A19">
        <v>18</v>
      </c>
      <c r="B19" t="s">
        <v>84</v>
      </c>
      <c r="C19" t="str">
        <f>IF(MAX(WeeklyPicks!$O$172:$O$181)=0,"",INDEX(WeeklyPicks!$C$172:$C$181,MATCH(MAX(WeeklyPicks!$O$172:$O$181),WeeklyPicks!$O$172:$O$181,0)))</f>
        <v>Alz</v>
      </c>
      <c r="D19">
        <f>MAX(WeeklyPicks!$O$172:$O$181)</f>
        <v>122</v>
      </c>
      <c r="E19">
        <f>IF(MAX(CountCalc!$D$1685:$D$1783)=0,"",INDEX(CountCalc!$C$1685:$C$1783,MATCH(MAX(CountCalc!$D$1685:$D$1783),CountCalc!$D$1685:$D$1783,0)))</f>
        <v>5</v>
      </c>
      <c r="F19">
        <f>MAX(CountCalc!$D$1685:$D$1783)</f>
        <v>7</v>
      </c>
      <c r="G19">
        <f>IF(MAX(Calc!$F$512:$F$541)=0,"",INDEX(Calc!$E$512:$E$541,MATCH(MAX(Calc!$F$512:$F$541),Calc!$F$512:$F$541,0)))</f>
        <v>45</v>
      </c>
      <c r="H19">
        <f>MAX(Calc!$F$512:$F$541)</f>
        <v>35</v>
      </c>
      <c r="I19" t="str">
        <f>IF(H19=0,"",INDEX(Calc!$C$512:$C$541,MATCH(H19,Calc!$F$512:$F$541,0)))</f>
        <v>Evelyn</v>
      </c>
    </row>
    <row r="20" spans="1:9" x14ac:dyDescent="0.3">
      <c r="A20">
        <v>19</v>
      </c>
      <c r="B20" t="s">
        <v>87</v>
      </c>
      <c r="C20" t="str">
        <f>IF(MAX(WeeklyPicks!$O$182:$O$191)=0,"",INDEX(WeeklyPicks!$C$182:$C$191,MATCH(MAX(WeeklyPicks!$O$182:$O$191),WeeklyPicks!$O$182:$O$191,0)))</f>
        <v>Meg</v>
      </c>
      <c r="D20">
        <f>MAX(WeeklyPicks!$O$182:$O$191)</f>
        <v>72</v>
      </c>
      <c r="E20">
        <f>IF(MAX(CountCalc!$D$1784:$D$1882)=0,"",INDEX(CountCalc!$C$1784:$C$1882,MATCH(MAX(CountCalc!$D$1784:$D$1882),CountCalc!$D$1784:$D$1882,0)))</f>
        <v>5</v>
      </c>
      <c r="F20">
        <f>MAX(CountCalc!$D$1784:$D$1882)</f>
        <v>8</v>
      </c>
      <c r="G20">
        <f>IF(MAX(Calc!$F$542:$F$571)=0,"",INDEX(Calc!$E$542:$E$571,MATCH(MAX(Calc!$F$542:$F$571),Calc!$F$542:$F$571,0)))</f>
        <v>45</v>
      </c>
      <c r="H20">
        <f>MAX(Calc!$F$542:$F$571)</f>
        <v>36</v>
      </c>
      <c r="I20" t="str">
        <f>IF(H20=0,"",INDEX(Calc!$C$542:$C$571,MATCH(H20,Calc!$F$542:$F$571,0)))</f>
        <v>Ryan</v>
      </c>
    </row>
    <row r="21" spans="1:9" x14ac:dyDescent="0.3">
      <c r="A21">
        <v>20</v>
      </c>
      <c r="B21" t="s">
        <v>50</v>
      </c>
      <c r="C21" t="str">
        <f>IF(MAX(WeeklyPicks!$O$192:$O$201)=0,"",INDEX(WeeklyPicks!$C$192:$C$201,MATCH(MAX(WeeklyPicks!$O$192:$O$201),WeeklyPicks!$O$192:$O$201,0)))</f>
        <v>Evelyn</v>
      </c>
      <c r="D21">
        <f>MAX(WeeklyPicks!$O$192:$O$201)</f>
        <v>115</v>
      </c>
      <c r="E21">
        <f>IF(MAX(CountCalc!$D$1883:$D$1981)=0,"",INDEX(CountCalc!$C$1883:$C$1981,MATCH(MAX(CountCalc!$D$1883:$D$1981),CountCalc!$D$1883:$D$1981,0)))</f>
        <v>12</v>
      </c>
      <c r="F21">
        <f>MAX(CountCalc!$D$1883:$D$1981)</f>
        <v>7</v>
      </c>
      <c r="G21">
        <f>IF(MAX(Calc!$F$572:$F$601)=0,"",INDEX(Calc!$E$572:$E$601,MATCH(MAX(Calc!$F$572:$F$601),Calc!$F$572:$F$601,0)))</f>
        <v>5</v>
      </c>
      <c r="H21">
        <f>MAX(Calc!$F$572:$F$601)</f>
        <v>34</v>
      </c>
      <c r="I21" t="str">
        <f>IF(H21=0,"",INDEX(Calc!$C$572:$C$601,MATCH(H21,Calc!$F$572:$F$601,0)))</f>
        <v>Pat</v>
      </c>
    </row>
    <row r="22" spans="1:9" x14ac:dyDescent="0.3">
      <c r="A22">
        <v>21</v>
      </c>
      <c r="B22" t="s">
        <v>90</v>
      </c>
      <c r="C22" t="str">
        <f>IF(MAX(WeeklyPicks!$O$202:$O$211)=0,"",INDEX(WeeklyPicks!$C$202:$C$211,MATCH(MAX(WeeklyPicks!$O$202:$O$211),WeeklyPicks!$O$202:$O$211,0)))</f>
        <v>Joe</v>
      </c>
      <c r="D22">
        <f>MAX(WeeklyPicks!$O$202:$O$211)</f>
        <v>99</v>
      </c>
      <c r="E22">
        <f>IF(MAX(CountCalc!$D$1982:$D$2080)=0,"",INDEX(CountCalc!$C$1982:$C$2080,MATCH(MAX(CountCalc!$D$1982:$D$2080),CountCalc!$D$1982:$D$2080,0)))</f>
        <v>12</v>
      </c>
      <c r="F22">
        <f>MAX(CountCalc!$D$1982:$D$2080)</f>
        <v>5</v>
      </c>
      <c r="G22">
        <f>IF(MAX(Calc!$F$602:$F$631)=0,"",INDEX(Calc!$E$602:$E$631,MATCH(MAX(Calc!$F$602:$F$631),Calc!$F$602:$F$631,0)))</f>
        <v>45</v>
      </c>
      <c r="H22">
        <f>MAX(Calc!$F$602:$F$631)</f>
        <v>30</v>
      </c>
      <c r="I22" t="str">
        <f>IF(H22=0,"",INDEX(Calc!$C$602:$C$631,MATCH(H22,Calc!$F$602:$F$631,0)))</f>
        <v>Meg</v>
      </c>
    </row>
    <row r="23" spans="1:9" x14ac:dyDescent="0.3">
      <c r="A23">
        <v>22</v>
      </c>
      <c r="B23" t="s">
        <v>92</v>
      </c>
      <c r="C23" t="str">
        <f>IF(MAX(WeeklyPicks!$O$212:$O$221)=0,"",INDEX(WeeklyPicks!$C$212:$C$221,MATCH(MAX(WeeklyPicks!$O$212:$O$221),WeeklyPicks!$O$212:$O$221,0)))</f>
        <v>Evelyn</v>
      </c>
      <c r="D23">
        <f>MAX(WeeklyPicks!$O$212:$O$221)</f>
        <v>94</v>
      </c>
      <c r="E23">
        <f>IF(MAX(CountCalc!$D$2081:$D$2179)=0,"",INDEX(CountCalc!$C$2081:$C$2179,MATCH(MAX(CountCalc!$D$2081:$D$2179),CountCalc!$D$2081:$D$2179,0)))</f>
        <v>11</v>
      </c>
      <c r="F23">
        <f>MAX(CountCalc!$D$2081:$D$2179)</f>
        <v>5</v>
      </c>
      <c r="G23">
        <f>IF(MAX(Calc!$F$632:$F$661)=0,"",INDEX(Calc!$E$632:$E$661,MATCH(MAX(Calc!$F$632:$F$661),Calc!$F$632:$F$661,0)))</f>
        <v>5</v>
      </c>
      <c r="H23">
        <f>MAX(Calc!$F$632:$F$661)</f>
        <v>39</v>
      </c>
      <c r="I23" t="str">
        <f>IF(H23=0,"",INDEX(Calc!$C$632:$C$661,MATCH(H23,Calc!$F$632:$F$661,0)))</f>
        <v>Pat</v>
      </c>
    </row>
    <row r="24" spans="1:9" x14ac:dyDescent="0.3">
      <c r="A24">
        <v>23</v>
      </c>
      <c r="B24" t="s">
        <v>94</v>
      </c>
      <c r="C24" t="str">
        <f>IF(MAX(WeeklyPicks!$O$222:$O$231)=0,"",INDEX(WeeklyPicks!$C$222:$C$231,MATCH(MAX(WeeklyPicks!$O$222:$O$231),WeeklyPicks!$O$222:$O$231,0)))</f>
        <v>Evelyn</v>
      </c>
      <c r="D24">
        <f>MAX(WeeklyPicks!$O$222:$O$231)</f>
        <v>101</v>
      </c>
      <c r="E24">
        <f>IF(MAX(CountCalc!$D$2180:$D$2278)=0,"",INDEX(CountCalc!$C$2180:$C$2278,MATCH(MAX(CountCalc!$D$2180:$D$2278),CountCalc!$D$2180:$D$2278,0)))</f>
        <v>12</v>
      </c>
      <c r="F24">
        <f>MAX(CountCalc!$D$2180:$D$2278)</f>
        <v>6</v>
      </c>
      <c r="G24">
        <f>IF(MAX(Calc!$F$662:$F$691)=0,"",INDEX(Calc!$E$662:$E$691,MATCH(MAX(Calc!$F$662:$F$691),Calc!$F$662:$F$691,0)))</f>
        <v>45</v>
      </c>
      <c r="H24">
        <f>MAX(Calc!$F$662:$F$691)</f>
        <v>36</v>
      </c>
      <c r="I24" t="str">
        <f>IF(H24=0,"",INDEX(Calc!$C$662:$C$691,MATCH(H24,Calc!$F$662:$F$691,0)))</f>
        <v>Pat</v>
      </c>
    </row>
    <row r="25" spans="1:9" x14ac:dyDescent="0.3">
      <c r="A25">
        <v>24</v>
      </c>
      <c r="B25" t="s">
        <v>97</v>
      </c>
      <c r="C25" t="str">
        <f>IF(MAX(WeeklyPicks!$O$232:$O$241)=0,"",INDEX(WeeklyPicks!$C$232:$C$241,MATCH(MAX(WeeklyPicks!$O$232:$O$241),WeeklyPicks!$O$232:$O$241,0)))</f>
        <v>Alz</v>
      </c>
      <c r="D25">
        <f>MAX(WeeklyPicks!$O$232:$O$241)</f>
        <v>112</v>
      </c>
      <c r="E25">
        <f>IF(MAX(CountCalc!$D$2279:$D$2377)=0,"",INDEX(CountCalc!$C$2279:$C$2377,MATCH(MAX(CountCalc!$D$2279:$D$2377),CountCalc!$D$2279:$D$2377,0)))</f>
        <v>12</v>
      </c>
      <c r="F25">
        <f>MAX(CountCalc!$D$2279:$D$2377)</f>
        <v>7</v>
      </c>
      <c r="G25">
        <f>IF(MAX(Calc!$F$692:$F$721)=0,"",INDEX(Calc!$E$692:$E$721,MATCH(MAX(Calc!$F$692:$F$721),Calc!$F$692:$F$721,0)))</f>
        <v>54</v>
      </c>
      <c r="H25">
        <f>MAX(Calc!$F$692:$F$721)</f>
        <v>15</v>
      </c>
      <c r="I25" t="str">
        <f>IF(H25=0,"",INDEX(Calc!$C$692:$C$721,MATCH(H25,Calc!$F$692:$F$721,0)))</f>
        <v>Jay</v>
      </c>
    </row>
    <row r="26" spans="1:9" x14ac:dyDescent="0.3">
      <c r="A26">
        <v>25</v>
      </c>
      <c r="B26" t="s">
        <v>99</v>
      </c>
      <c r="C26" t="str">
        <f>IF(MAX(WeeklyPicks!$O$242:$O$251)=0,"",INDEX(WeeklyPicks!$C$242:$C$251,MATCH(MAX(WeeklyPicks!$O$242:$O$251),WeeklyPicks!$O$242:$O$251,0)))</f>
        <v>Jay</v>
      </c>
      <c r="D26">
        <f>MAX(WeeklyPicks!$O$242:$O$251)</f>
        <v>119</v>
      </c>
      <c r="E26">
        <f>IF(MAX(CountCalc!$D$2378:$D$2476)=0,"",INDEX(CountCalc!$C$2378:$C$2476,MATCH(MAX(CountCalc!$D$2378:$D$2476),CountCalc!$D$2378:$D$2476,0)))</f>
        <v>12</v>
      </c>
      <c r="F26">
        <f>MAX(CountCalc!$D$2378:$D$2476)</f>
        <v>7</v>
      </c>
      <c r="G26">
        <f>IF(MAX(Calc!$F$722:$F$751)=0,"",INDEX(Calc!$E$722:$E$751,MATCH(MAX(Calc!$F$722:$F$751),Calc!$F$722:$F$751,0)))</f>
        <v>24</v>
      </c>
      <c r="H26">
        <f>MAX(Calc!$F$722:$F$751)</f>
        <v>30</v>
      </c>
      <c r="I26" t="str">
        <f>IF(H26=0,"",INDEX(Calc!$C$722:$C$751,MATCH(H26,Calc!$F$722:$F$751,0)))</f>
        <v>Ryan</v>
      </c>
    </row>
    <row r="27" spans="1:9" x14ac:dyDescent="0.3">
      <c r="A27">
        <v>26</v>
      </c>
      <c r="B27" t="s">
        <v>101</v>
      </c>
      <c r="C27" t="str">
        <f>IF(MAX(WeeklyPicks!$O$252:$O$261)=0,"",INDEX(WeeklyPicks!$C$252:$C$261,MATCH(MAX(WeeklyPicks!$O$252:$O$261),WeeklyPicks!$O$252:$O$261,0)))</f>
        <v/>
      </c>
      <c r="D27">
        <f>MAX(WeeklyPicks!$O$252:$O$261)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IF(MAX(WeeklyPicks!$O$262:$O$271)=0,"",INDEX(WeeklyPicks!$C$262:$C$271,MATCH(MAX(WeeklyPicks!$O$262:$O$271),WeeklyPicks!$O$262:$O$271,0)))</f>
        <v/>
      </c>
      <c r="D28">
        <f>MAX(WeeklyPicks!$O$262:$O$271)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IF(MAX(WeeklyPicks!$O$272:$O$281)=0,"",INDEX(WeeklyPicks!$C$272:$C$281,MATCH(MAX(WeeklyPicks!$O$272:$O$281),WeeklyPicks!$O$272:$O$281,0)))</f>
        <v/>
      </c>
      <c r="D29">
        <f>MAX(WeeklyPicks!$O$272:$O$281)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IF(MAX(WeeklyPicks!$O$282:$O$291)=0,"",INDEX(WeeklyPicks!$C$282:$C$291,MATCH(MAX(WeeklyPicks!$O$282:$O$291),WeeklyPicks!$O$282:$O$291,0)))</f>
        <v/>
      </c>
      <c r="D30">
        <f>MAX(WeeklyPicks!$O$282:$O$291)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IF(MAX(WeeklyPicks!$O$292:$O$301)=0,"",INDEX(WeeklyPicks!$C$292:$C$301,MATCH(MAX(WeeklyPicks!$O$292:$O$301),WeeklyPicks!$O$292:$O$301,0)))</f>
        <v/>
      </c>
      <c r="D31">
        <f>MAX(WeeklyPicks!$O$292:$O$301)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IF(MAX(WeeklyPicks!$O$302:$O$311)=0,"",INDEX(WeeklyPicks!$C$302:$C$311,MATCH(MAX(WeeklyPicks!$O$302:$O$311),WeeklyPicks!$O$302:$O$311,0)))</f>
        <v/>
      </c>
      <c r="D32">
        <f>MAX(WeeklyPicks!$O$302:$O$311)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IF(MAX(WeeklyPicks!$O$312:$O$321)=0,"",INDEX(WeeklyPicks!$C$312:$C$321,MATCH(MAX(WeeklyPicks!$O$312:$O$321),WeeklyPicks!$O$312:$O$321,0)))</f>
        <v/>
      </c>
      <c r="D33">
        <f>MAX(WeeklyPicks!$O$312:$O$321)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IF(MAX(WeeklyPicks!$O$322:$O$331)=0,"",INDEX(WeeklyPicks!$C$322:$C$331,MATCH(MAX(WeeklyPicks!$O$322:$O$331),WeeklyPicks!$O$322:$O$331,0)))</f>
        <v/>
      </c>
      <c r="D34">
        <f>MAX(WeeklyPicks!$O$322:$O$331)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IF(MAX(WeeklyPicks!$O$332:$O$341)=0,"",INDEX(WeeklyPicks!$C$332:$C$341,MATCH(MAX(WeeklyPicks!$O$332:$O$341),WeeklyPicks!$O$332:$O$341,0)))</f>
        <v/>
      </c>
      <c r="D35">
        <f>MAX(WeeklyPicks!$O$332:$O$341)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IF(MAX(WeeklyPicks!$O$342:$O$351)=0,"",INDEX(WeeklyPicks!$C$342:$C$351,MATCH(MAX(WeeklyPicks!$O$342:$O$351),WeeklyPicks!$O$342:$O$351,0)))</f>
        <v/>
      </c>
      <c r="D36">
        <f>MAX(WeeklyPicks!$O$342:$O$351)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IF(MAX(WeeklyPicks!$O$352:$O$361)=0,"",INDEX(WeeklyPicks!$C$352:$C$361,MATCH(MAX(WeeklyPicks!$O$352:$O$361),WeeklyPicks!$O$352:$O$361,0)))</f>
        <v/>
      </c>
      <c r="D37">
        <f>MAX(WeeklyPicks!$O$352:$O$361)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972" activePane="bottomLeft" state="frozen"/>
      <selection pane="bottomLeft" activeCell="D998" sqref="D99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>
        <v>7</v>
      </c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>
        <v>20</v>
      </c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>
        <v>11</v>
      </c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>
        <v>45</v>
      </c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>
        <v>5</v>
      </c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>
        <v>54</v>
      </c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>
        <v>12</v>
      </c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>
        <v>22</v>
      </c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>
        <v>24</v>
      </c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>
        <v>38</v>
      </c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>
        <v>97</v>
      </c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>
        <v>47</v>
      </c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>
        <v>43</v>
      </c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>
        <v>71</v>
      </c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>
        <v>6</v>
      </c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>
        <v>41</v>
      </c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>
        <v>48</v>
      </c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>
        <v>16</v>
      </c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>
        <v>67</v>
      </c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>
        <v>34</v>
      </c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>
        <v>35</v>
      </c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>
        <v>23</v>
      </c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>
        <v>77</v>
      </c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>
        <v>4</v>
      </c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>
        <v>10</v>
      </c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>
        <v>42</v>
      </c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>
        <v>33</v>
      </c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>
        <v>51</v>
      </c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>
        <v>21</v>
      </c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>
        <v>17</v>
      </c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>
        <v>78</v>
      </c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>
        <v>3</v>
      </c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>
        <v>60</v>
      </c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>
        <v>19</v>
      </c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>
        <v>1</v>
      </c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>
        <v>66</v>
      </c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>
        <v>9</v>
      </c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>
        <v>2</v>
      </c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>
        <v>88</v>
      </c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>
        <v>11</v>
      </c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>
        <v>20</v>
      </c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>
        <v>19</v>
      </c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>
        <v>47</v>
      </c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>
        <v>97</v>
      </c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>
        <v>45</v>
      </c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>
        <v>9</v>
      </c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>
        <v>12</v>
      </c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>
        <v>38</v>
      </c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>
        <v>77</v>
      </c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>
        <v>43</v>
      </c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>
        <v>10</v>
      </c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>
        <v>54</v>
      </c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>
        <v>22</v>
      </c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>
        <v>71</v>
      </c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>
        <v>4</v>
      </c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>
        <v>35</v>
      </c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>
        <v>3</v>
      </c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>
        <v>7</v>
      </c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>
        <v>34</v>
      </c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>
        <v>41</v>
      </c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>
        <v>51</v>
      </c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>
        <v>5</v>
      </c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>
        <v>42</v>
      </c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>
        <v>67</v>
      </c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>
        <v>2</v>
      </c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>
        <v>33</v>
      </c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>
        <v>66</v>
      </c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>
        <v>17</v>
      </c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>
        <v>24</v>
      </c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>
        <v>21</v>
      </c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>
        <v>23</v>
      </c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>
        <v>48</v>
      </c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>
        <v>6</v>
      </c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>
        <v>16</v>
      </c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>
        <v>60</v>
      </c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>
        <v>1</v>
      </c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>
        <v>88</v>
      </c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>
        <v>11</v>
      </c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>
        <v>43</v>
      </c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>
        <v>23</v>
      </c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>
        <v>5</v>
      </c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>
        <v>77</v>
      </c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>
        <v>7</v>
      </c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>
        <v>22</v>
      </c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>
        <v>12</v>
      </c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>
        <v>17</v>
      </c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>
        <v>19</v>
      </c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>
        <v>2</v>
      </c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>
        <v>41</v>
      </c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>
        <v>35</v>
      </c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>
        <v>42</v>
      </c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>
        <v>21</v>
      </c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>
        <v>1</v>
      </c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>
        <v>16</v>
      </c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>
        <v>24</v>
      </c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>
        <v>48</v>
      </c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>
        <v>33</v>
      </c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>
        <v>44</v>
      </c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>
        <v>34</v>
      </c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>
        <v>51</v>
      </c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>
        <v>10</v>
      </c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>
        <v>54</v>
      </c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>
        <v>71</v>
      </c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>
        <v>4</v>
      </c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>
        <v>60</v>
      </c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>
        <v>47</v>
      </c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>
        <v>97</v>
      </c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>
        <v>20</v>
      </c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>
        <v>9</v>
      </c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>
        <v>38</v>
      </c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>
        <v>6</v>
      </c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>
        <v>45</v>
      </c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>
        <v>3</v>
      </c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>
        <v>88</v>
      </c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>
        <v>11</v>
      </c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>
        <v>45</v>
      </c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>
        <v>24</v>
      </c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>
        <v>42</v>
      </c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>
        <v>5</v>
      </c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>
        <v>43</v>
      </c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>
        <v>17</v>
      </c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>
        <v>1</v>
      </c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>
        <v>54</v>
      </c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>
        <v>12</v>
      </c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>
        <v>9</v>
      </c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>
        <v>19</v>
      </c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>
        <v>7</v>
      </c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>
        <v>2</v>
      </c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>
        <v>47</v>
      </c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>
        <v>35</v>
      </c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>
        <v>71</v>
      </c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>
        <v>33</v>
      </c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>
        <v>34</v>
      </c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>
        <v>77</v>
      </c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>
        <v>23</v>
      </c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>
        <v>16</v>
      </c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>
        <v>88</v>
      </c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>
        <v>41</v>
      </c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>
        <v>3</v>
      </c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>
        <v>20</v>
      </c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>
        <v>48</v>
      </c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>
        <v>60</v>
      </c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>
        <v>78</v>
      </c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>
        <v>97</v>
      </c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>
        <v>10</v>
      </c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>
        <v>21</v>
      </c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>
        <v>22</v>
      </c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>
        <v>4</v>
      </c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>
        <v>62</v>
      </c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>
        <v>38</v>
      </c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>
        <v>6</v>
      </c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>
        <v>67</v>
      </c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>
        <v>23</v>
      </c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>
        <v>5</v>
      </c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>
        <v>38</v>
      </c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>
        <v>16</v>
      </c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>
        <v>17</v>
      </c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>
        <v>1</v>
      </c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>
        <v>35</v>
      </c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>
        <v>12</v>
      </c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>
        <v>71</v>
      </c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>
        <v>60</v>
      </c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>
        <v>9</v>
      </c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>
        <v>7</v>
      </c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>
        <v>11</v>
      </c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>
        <v>54</v>
      </c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>
        <v>42</v>
      </c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>
        <v>19</v>
      </c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>
        <v>22</v>
      </c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>
        <v>77</v>
      </c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>
        <v>43</v>
      </c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>
        <v>34</v>
      </c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>
        <v>2</v>
      </c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>
        <v>51</v>
      </c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>
        <v>3</v>
      </c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>
        <v>45</v>
      </c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>
        <v>48</v>
      </c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>
        <v>91</v>
      </c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>
        <v>84</v>
      </c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>
        <v>21</v>
      </c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>
        <v>10</v>
      </c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>
        <v>41</v>
      </c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>
        <v>24</v>
      </c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>
        <v>47</v>
      </c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>
        <v>6</v>
      </c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>
        <v>4</v>
      </c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>
        <v>33</v>
      </c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>
        <v>97</v>
      </c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>
        <v>20</v>
      </c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>
        <v>97</v>
      </c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>
        <v>19</v>
      </c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>
        <v>54</v>
      </c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>
        <v>5</v>
      </c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>
        <v>20</v>
      </c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>
        <v>12</v>
      </c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>
        <v>88</v>
      </c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>
        <v>60</v>
      </c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>
        <v>71</v>
      </c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>
        <v>48</v>
      </c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>
        <v>77</v>
      </c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>
        <v>24</v>
      </c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>
        <v>2</v>
      </c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>
        <v>1</v>
      </c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>
        <v>6</v>
      </c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>
        <v>16</v>
      </c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>
        <v>9</v>
      </c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>
        <v>38</v>
      </c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>
        <v>17</v>
      </c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>
        <v>41</v>
      </c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>
        <v>47</v>
      </c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>
        <v>23</v>
      </c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>
        <v>43</v>
      </c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>
        <v>22</v>
      </c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>
        <v>42</v>
      </c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>
        <v>11</v>
      </c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>
        <v>3</v>
      </c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>
        <v>21</v>
      </c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>
        <v>34</v>
      </c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>
        <v>35</v>
      </c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>
        <v>7</v>
      </c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>
        <v>51</v>
      </c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>
        <v>33</v>
      </c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>
        <v>10</v>
      </c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>
        <v>45</v>
      </c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>
        <v>19</v>
      </c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>
        <v>20</v>
      </c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>
        <v>11</v>
      </c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>
        <v>24</v>
      </c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>
        <v>48</v>
      </c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>
        <v>23</v>
      </c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>
        <v>12</v>
      </c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>
        <v>54</v>
      </c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>
        <v>67</v>
      </c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>
        <v>35</v>
      </c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>
        <v>9</v>
      </c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>
        <v>22</v>
      </c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>
        <v>2</v>
      </c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>
        <v>7</v>
      </c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>
        <v>43</v>
      </c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>
        <v>34</v>
      </c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>
        <v>16</v>
      </c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>
        <v>1</v>
      </c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>
        <v>17</v>
      </c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>
        <v>10</v>
      </c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>
        <v>6</v>
      </c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>
        <v>77</v>
      </c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>
        <v>42</v>
      </c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>
        <v>3</v>
      </c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>
        <v>97</v>
      </c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>
        <v>47</v>
      </c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>
        <v>4</v>
      </c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>
        <v>38</v>
      </c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>
        <v>71</v>
      </c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>
        <v>51</v>
      </c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>
        <v>41</v>
      </c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>
        <v>60</v>
      </c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>
        <v>21</v>
      </c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>
        <v>5</v>
      </c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>
        <v>44</v>
      </c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>
        <v>45</v>
      </c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>
        <v>33</v>
      </c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>
        <v>88</v>
      </c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>
        <v>12</v>
      </c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>
        <v>20</v>
      </c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>
        <v>77</v>
      </c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>
        <v>54</v>
      </c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>
        <v>43</v>
      </c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>
        <v>97</v>
      </c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>
        <v>3</v>
      </c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>
        <v>45</v>
      </c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>
        <v>22</v>
      </c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>
        <v>17</v>
      </c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>
        <v>1</v>
      </c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>
        <v>11</v>
      </c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>
        <v>9</v>
      </c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>
        <v>2</v>
      </c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>
        <v>71</v>
      </c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>
        <v>24</v>
      </c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>
        <v>41</v>
      </c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>
        <v>42</v>
      </c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>
        <v>34</v>
      </c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>
        <v>10</v>
      </c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>
        <v>7</v>
      </c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>
        <v>48</v>
      </c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>
        <v>47</v>
      </c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>
        <v>60</v>
      </c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>
        <v>21</v>
      </c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>
        <v>6</v>
      </c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>
        <v>4</v>
      </c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>
        <v>88</v>
      </c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>
        <v>23</v>
      </c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>
        <v>38</v>
      </c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>
        <v>33</v>
      </c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>
        <v>51</v>
      </c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>
        <v>66</v>
      </c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>
        <v>5</v>
      </c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>
        <v>35</v>
      </c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>
        <v>19</v>
      </c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>
        <v>16</v>
      </c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>
        <v>78</v>
      </c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>
        <v>22</v>
      </c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>
        <v>11</v>
      </c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>
        <v>19</v>
      </c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>
        <v>54</v>
      </c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>
        <v>97</v>
      </c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>
        <v>23</v>
      </c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>
        <v>6</v>
      </c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>
        <v>34</v>
      </c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>
        <v>7</v>
      </c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>
        <v>60</v>
      </c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>
        <v>12</v>
      </c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>
        <v>24</v>
      </c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>
        <v>77</v>
      </c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>
        <v>2</v>
      </c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>
        <v>5</v>
      </c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>
        <v>10</v>
      </c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>
        <v>9</v>
      </c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>
        <v>35</v>
      </c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>
        <v>20</v>
      </c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>
        <v>17</v>
      </c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>
        <v>43</v>
      </c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>
        <v>38</v>
      </c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>
        <v>3</v>
      </c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>
        <v>71</v>
      </c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>
        <v>4</v>
      </c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>
        <v>48</v>
      </c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>
        <v>1</v>
      </c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>
        <v>41</v>
      </c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>
        <v>51</v>
      </c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>
        <v>45</v>
      </c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>
        <v>42</v>
      </c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>
        <v>88</v>
      </c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>
        <v>33</v>
      </c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>
        <v>47</v>
      </c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>
        <v>66</v>
      </c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>
        <v>21</v>
      </c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>
        <v>16</v>
      </c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>
        <v>67</v>
      </c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>
        <v>20</v>
      </c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>
        <v>22</v>
      </c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>
        <v>19</v>
      </c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>
        <v>11</v>
      </c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>
        <v>6</v>
      </c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>
        <v>21</v>
      </c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>
        <v>60</v>
      </c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>
        <v>77</v>
      </c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>
        <v>45</v>
      </c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>
        <v>17</v>
      </c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>
        <v>54</v>
      </c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>
        <v>41</v>
      </c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>
        <v>2</v>
      </c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>
        <v>38</v>
      </c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>
        <v>97</v>
      </c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>
        <v>7</v>
      </c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>
        <v>71</v>
      </c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>
        <v>48</v>
      </c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>
        <v>47</v>
      </c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>
        <v>24</v>
      </c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>
        <v>4</v>
      </c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>
        <v>1</v>
      </c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>
        <v>34</v>
      </c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>
        <v>16</v>
      </c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>
        <v>12</v>
      </c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>
        <v>43</v>
      </c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>
        <v>23</v>
      </c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>
        <v>3</v>
      </c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>
        <v>10</v>
      </c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>
        <v>51</v>
      </c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>
        <v>42</v>
      </c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>
        <v>33</v>
      </c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>
        <v>88</v>
      </c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>
        <v>62</v>
      </c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>
        <v>35</v>
      </c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>
        <v>9</v>
      </c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>
        <v>78</v>
      </c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>
        <v>5</v>
      </c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>
        <v>54</v>
      </c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>
        <v>20</v>
      </c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>
        <v>12</v>
      </c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>
        <v>21</v>
      </c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>
        <v>11</v>
      </c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>
        <v>19</v>
      </c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>
        <v>1</v>
      </c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>
        <v>16</v>
      </c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>
        <v>24</v>
      </c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>
        <v>3</v>
      </c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>
        <v>88</v>
      </c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>
        <v>23</v>
      </c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>
        <v>17</v>
      </c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>
        <v>22</v>
      </c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>
        <v>9</v>
      </c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>
        <v>38</v>
      </c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>
        <v>4</v>
      </c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>
        <v>47</v>
      </c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>
        <v>42</v>
      </c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>
        <v>60</v>
      </c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>
        <v>35</v>
      </c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>
        <v>34</v>
      </c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>
        <v>7</v>
      </c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>
        <v>10</v>
      </c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>
        <v>71</v>
      </c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>
        <v>33</v>
      </c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>
        <v>6</v>
      </c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>
        <v>41</v>
      </c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>
        <v>2</v>
      </c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>
        <v>97</v>
      </c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>
        <v>77</v>
      </c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>
        <v>51</v>
      </c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>
        <v>5</v>
      </c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>
        <v>48</v>
      </c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>
        <v>43</v>
      </c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>
        <v>45</v>
      </c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>
        <v>22</v>
      </c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>
        <v>19</v>
      </c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>
        <v>2</v>
      </c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>
        <v>11</v>
      </c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>
        <v>9</v>
      </c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>
        <v>5</v>
      </c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>
        <v>20</v>
      </c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>
        <v>21</v>
      </c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>
        <v>24</v>
      </c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>
        <v>48</v>
      </c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>
        <v>45</v>
      </c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>
        <v>1</v>
      </c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>
        <v>12</v>
      </c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>
        <v>97</v>
      </c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>
        <v>54</v>
      </c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>
        <v>7</v>
      </c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>
        <v>60</v>
      </c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>
        <v>4</v>
      </c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>
        <v>3</v>
      </c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>
        <v>23</v>
      </c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>
        <v>17</v>
      </c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>
        <v>42</v>
      </c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>
        <v>33</v>
      </c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>
        <v>35</v>
      </c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>
        <v>88</v>
      </c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>
        <v>6</v>
      </c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>
        <v>43</v>
      </c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>
        <v>71</v>
      </c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>
        <v>41</v>
      </c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>
        <v>34</v>
      </c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>
        <v>47</v>
      </c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>
        <v>10</v>
      </c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>
        <v>16</v>
      </c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>
        <v>51</v>
      </c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>
        <v>66</v>
      </c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>
        <v>38</v>
      </c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>
        <v>77</v>
      </c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>
        <v>12</v>
      </c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>
        <v>23</v>
      </c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>
        <v>21</v>
      </c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>
        <v>20</v>
      </c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>
        <v>5</v>
      </c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>
        <v>54</v>
      </c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>
        <v>11</v>
      </c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>
        <v>45</v>
      </c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>
        <v>60</v>
      </c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>
        <v>4</v>
      </c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>
        <v>6</v>
      </c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>
        <v>2</v>
      </c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>
        <v>38</v>
      </c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>
        <v>22</v>
      </c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>
        <v>48</v>
      </c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>
        <v>71</v>
      </c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>
        <v>7</v>
      </c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>
        <v>17</v>
      </c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>
        <v>77</v>
      </c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>
        <v>97</v>
      </c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>
        <v>34</v>
      </c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>
        <v>41</v>
      </c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>
        <v>16</v>
      </c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>
        <v>33</v>
      </c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>
        <v>9</v>
      </c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>
        <v>19</v>
      </c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>
        <v>10</v>
      </c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>
        <v>47</v>
      </c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>
        <v>51</v>
      </c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>
        <v>24</v>
      </c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>
        <v>40</v>
      </c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>
        <v>3</v>
      </c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>
        <v>43</v>
      </c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>
        <v>35</v>
      </c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>
        <v>88</v>
      </c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>
        <v>1</v>
      </c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45</v>
      </c>
      <c r="F362">
        <f>IF(E362="","",SUMIFS(RaceResults!$C:$C,RaceResults!$A:$A,A362,RaceResults!$D:$D,E362))</f>
        <v>4</v>
      </c>
      <c r="G362">
        <f>IF(E362="","",SUMIFS(RaceResults!$E:$E,RaceResults!$A:$A,A362,RaceResults!$D:$D,E362))</f>
        <v>33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12</v>
      </c>
      <c r="F363">
        <f>IF(E363="","",SUMIFS(RaceResults!$C:$C,RaceResults!$A:$A,A363,RaceResults!$D:$D,E363))</f>
        <v>7</v>
      </c>
      <c r="G363">
        <f>IF(E363="","",SUMIFS(RaceResults!$E:$E,RaceResults!$A:$A,A363,RaceResults!$D:$D,E363))</f>
        <v>30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1</v>
      </c>
      <c r="F364">
        <f>IF(E364="","",SUMIFS(RaceResults!$C:$C,RaceResults!$A:$A,A364,RaceResults!$D:$D,E364))</f>
        <v>35</v>
      </c>
      <c r="G364">
        <f>IF(E364="","",SUMIFS(RaceResults!$E:$E,RaceResults!$A:$A,A364,RaceResults!$D:$D,E364))</f>
        <v>2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45</v>
      </c>
      <c r="F365">
        <f>IF(E365="","",SUMIFS(RaceResults!$C:$C,RaceResults!$A:$A,A365,RaceResults!$D:$D,E365))</f>
        <v>4</v>
      </c>
      <c r="G365">
        <f>IF(E365="","",SUMIFS(RaceResults!$E:$E,RaceResults!$A:$A,A365,RaceResults!$D:$D,E365))</f>
        <v>33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11</v>
      </c>
      <c r="F366">
        <f>IF(E366="","",SUMIFS(RaceResults!$C:$C,RaceResults!$A:$A,A366,RaceResults!$D:$D,E366))</f>
        <v>3</v>
      </c>
      <c r="G366">
        <f>IF(E366="","",SUMIFS(RaceResults!$E:$E,RaceResults!$A:$A,A366,RaceResults!$D:$D,E366))</f>
        <v>34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5</v>
      </c>
      <c r="F367">
        <f>IF(E367="","",SUMIFS(RaceResults!$C:$C,RaceResults!$A:$A,A367,RaceResults!$D:$D,E367))</f>
        <v>5</v>
      </c>
      <c r="G367">
        <f>IF(E367="","",SUMIFS(RaceResults!$E:$E,RaceResults!$A:$A,A367,RaceResults!$D:$D,E367))</f>
        <v>32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11</v>
      </c>
      <c r="F368">
        <f>IF(E368="","",SUMIFS(RaceResults!$C:$C,RaceResults!$A:$A,A368,RaceResults!$D:$D,E368))</f>
        <v>3</v>
      </c>
      <c r="G368">
        <f>IF(E368="","",SUMIFS(RaceResults!$E:$E,RaceResults!$A:$A,A368,RaceResults!$D:$D,E368))</f>
        <v>34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1</v>
      </c>
      <c r="F369">
        <f>IF(E369="","",SUMIFS(RaceResults!$C:$C,RaceResults!$A:$A,A369,RaceResults!$D:$D,E369))</f>
        <v>35</v>
      </c>
      <c r="G369">
        <f>IF(E369="","",SUMIFS(RaceResults!$E:$E,RaceResults!$A:$A,A369,RaceResults!$D:$D,E369))</f>
        <v>2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24</v>
      </c>
      <c r="F370">
        <f>IF(E370="","",SUMIFS(RaceResults!$C:$C,RaceResults!$A:$A,A370,RaceResults!$D:$D,E370))</f>
        <v>9</v>
      </c>
      <c r="G370">
        <f>IF(E370="","",SUMIFS(RaceResults!$E:$E,RaceResults!$A:$A,A370,RaceResults!$D:$D,E370))</f>
        <v>28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11</v>
      </c>
      <c r="F371">
        <f>IF(E371="","",SUMIFS(RaceResults!$C:$C,RaceResults!$A:$A,A371,RaceResults!$D:$D,E371))</f>
        <v>3</v>
      </c>
      <c r="G371">
        <f>IF(E371="","",SUMIFS(RaceResults!$E:$E,RaceResults!$A:$A,A371,RaceResults!$D:$D,E371))</f>
        <v>34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45</v>
      </c>
      <c r="F372">
        <f>IF(E372="","",SUMIFS(RaceResults!$C:$C,RaceResults!$A:$A,A372,RaceResults!$D:$D,E372))</f>
        <v>4</v>
      </c>
      <c r="G372">
        <f>IF(E372="","",SUMIFS(RaceResults!$E:$E,RaceResults!$A:$A,A372,RaceResults!$D:$D,E372))</f>
        <v>33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12</v>
      </c>
      <c r="F373">
        <f>IF(E373="","",SUMIFS(RaceResults!$C:$C,RaceResults!$A:$A,A373,RaceResults!$D:$D,E373))</f>
        <v>7</v>
      </c>
      <c r="G373">
        <f>IF(E373="","",SUMIFS(RaceResults!$E:$E,RaceResults!$A:$A,A373,RaceResults!$D:$D,E373))</f>
        <v>30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45</v>
      </c>
      <c r="F374">
        <f>IF(E374="","",SUMIFS(RaceResults!$C:$C,RaceResults!$A:$A,A374,RaceResults!$D:$D,E374))</f>
        <v>4</v>
      </c>
      <c r="G374">
        <f>IF(E374="","",SUMIFS(RaceResults!$E:$E,RaceResults!$A:$A,A374,RaceResults!$D:$D,E374))</f>
        <v>33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12</v>
      </c>
      <c r="F375">
        <f>IF(E375="","",SUMIFS(RaceResults!$C:$C,RaceResults!$A:$A,A375,RaceResults!$D:$D,E375))</f>
        <v>7</v>
      </c>
      <c r="G375">
        <f>IF(E375="","",SUMIFS(RaceResults!$E:$E,RaceResults!$A:$A,A375,RaceResults!$D:$D,E375))</f>
        <v>30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2</v>
      </c>
      <c r="F376">
        <f>IF(E376="","",SUMIFS(RaceResults!$C:$C,RaceResults!$A:$A,A376,RaceResults!$D:$D,E376))</f>
        <v>38</v>
      </c>
      <c r="G376">
        <f>IF(E376="","",SUMIFS(RaceResults!$E:$E,RaceResults!$A:$A,A376,RaceResults!$D:$D,E376))</f>
        <v>1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23</v>
      </c>
      <c r="F377">
        <f>IF(E377="","",SUMIFS(RaceResults!$C:$C,RaceResults!$A:$A,A377,RaceResults!$D:$D,E377))</f>
        <v>22</v>
      </c>
      <c r="G377">
        <f>IF(E377="","",SUMIFS(RaceResults!$E:$E,RaceResults!$A:$A,A377,RaceResults!$D:$D,E377))</f>
        <v>15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5</v>
      </c>
      <c r="F378">
        <f>IF(E378="","",SUMIFS(RaceResults!$C:$C,RaceResults!$A:$A,A378,RaceResults!$D:$D,E378))</f>
        <v>5</v>
      </c>
      <c r="G378">
        <f>IF(E378="","",SUMIFS(RaceResults!$E:$E,RaceResults!$A:$A,A378,RaceResults!$D:$D,E378))</f>
        <v>32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11</v>
      </c>
      <c r="F379">
        <f>IF(E379="","",SUMIFS(RaceResults!$C:$C,RaceResults!$A:$A,A379,RaceResults!$D:$D,E379))</f>
        <v>3</v>
      </c>
      <c r="G379">
        <f>IF(E379="","",SUMIFS(RaceResults!$E:$E,RaceResults!$A:$A,A379,RaceResults!$D:$D,E379))</f>
        <v>34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9</v>
      </c>
      <c r="F380">
        <f>IF(E380="","",SUMIFS(RaceResults!$C:$C,RaceResults!$A:$A,A380,RaceResults!$D:$D,E380))</f>
        <v>37</v>
      </c>
      <c r="G380">
        <f>IF(E380="","",SUMIFS(RaceResults!$E:$E,RaceResults!$A:$A,A380,RaceResults!$D:$D,E380))</f>
        <v>1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5</v>
      </c>
      <c r="F381">
        <f>IF(E381="","",SUMIFS(RaceResults!$C:$C,RaceResults!$A:$A,A381,RaceResults!$D:$D,E381))</f>
        <v>5</v>
      </c>
      <c r="G381">
        <f>IF(E381="","",SUMIFS(RaceResults!$E:$E,RaceResults!$A:$A,A381,RaceResults!$D:$D,E381))</f>
        <v>32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48</v>
      </c>
      <c r="F382">
        <f>IF(E382="","",SUMIFS(RaceResults!$C:$C,RaceResults!$A:$A,A382,RaceResults!$D:$D,E382))</f>
        <v>17</v>
      </c>
      <c r="G382">
        <f>IF(E382="","",SUMIFS(RaceResults!$E:$E,RaceResults!$A:$A,A382,RaceResults!$D:$D,E382))</f>
        <v>20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5</v>
      </c>
      <c r="F386">
        <f>IF(E386="","",SUMIFS(RaceResults!$C:$C,RaceResults!$A:$A,A386,RaceResults!$D:$D,E386))</f>
        <v>5</v>
      </c>
      <c r="G386">
        <f>IF(E386="","",SUMIFS(RaceResults!$E:$E,RaceResults!$A:$A,A386,RaceResults!$D:$D,E386))</f>
        <v>32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11</v>
      </c>
      <c r="F387">
        <f>IF(E387="","",SUMIFS(RaceResults!$C:$C,RaceResults!$A:$A,A387,RaceResults!$D:$D,E387))</f>
        <v>3</v>
      </c>
      <c r="G387">
        <f>IF(E387="","",SUMIFS(RaceResults!$E:$E,RaceResults!$A:$A,A387,RaceResults!$D:$D,E387))</f>
        <v>34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12</v>
      </c>
      <c r="F388">
        <f>IF(E388="","",SUMIFS(RaceResults!$C:$C,RaceResults!$A:$A,A388,RaceResults!$D:$D,E388))</f>
        <v>7</v>
      </c>
      <c r="G388">
        <f>IF(E388="","",SUMIFS(RaceResults!$E:$E,RaceResults!$A:$A,A388,RaceResults!$D:$D,E388))</f>
        <v>30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54</v>
      </c>
      <c r="F389">
        <f>IF(E389="","",SUMIFS(RaceResults!$C:$C,RaceResults!$A:$A,A389,RaceResults!$D:$D,E389))</f>
        <v>6</v>
      </c>
      <c r="G389">
        <f>IF(E389="","",SUMIFS(RaceResults!$E:$E,RaceResults!$A:$A,A389,RaceResults!$D:$D,E389))</f>
        <v>31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45</v>
      </c>
      <c r="F390">
        <f>IF(E390="","",SUMIFS(RaceResults!$C:$C,RaceResults!$A:$A,A390,RaceResults!$D:$D,E390))</f>
        <v>4</v>
      </c>
      <c r="G390">
        <f>IF(E390="","",SUMIFS(RaceResults!$E:$E,RaceResults!$A:$A,A390,RaceResults!$D:$D,E390))</f>
        <v>33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19</v>
      </c>
      <c r="F391">
        <f>IF(E391="","",SUMIFS(RaceResults!$C:$C,RaceResults!$A:$A,A391,RaceResults!$D:$D,E391))</f>
        <v>34</v>
      </c>
      <c r="G391">
        <f>IF(E391="","",SUMIFS(RaceResults!$E:$E,RaceResults!$A:$A,A391,RaceResults!$D:$D,E391))</f>
        <v>3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5</v>
      </c>
      <c r="F392">
        <f>IF(E392="","",SUMIFS(RaceResults!$C:$C,RaceResults!$A:$A,A392,RaceResults!$D:$D,E392))</f>
        <v>23</v>
      </c>
      <c r="G392">
        <f>IF(E392="","",SUMIFS(RaceResults!$E:$E,RaceResults!$A:$A,A392,RaceResults!$D:$D,E392))</f>
        <v>14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45</v>
      </c>
      <c r="F393">
        <f>IF(E393="","",SUMIFS(RaceResults!$C:$C,RaceResults!$A:$A,A393,RaceResults!$D:$D,E393))</f>
        <v>6</v>
      </c>
      <c r="G393">
        <f>IF(E393="","",SUMIFS(RaceResults!$E:$E,RaceResults!$A:$A,A393,RaceResults!$D:$D,E393))</f>
        <v>31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12</v>
      </c>
      <c r="F394">
        <f>IF(E394="","",SUMIFS(RaceResults!$C:$C,RaceResults!$A:$A,A394,RaceResults!$D:$D,E394))</f>
        <v>8</v>
      </c>
      <c r="G394">
        <f>IF(E394="","",SUMIFS(RaceResults!$E:$E,RaceResults!$A:$A,A394,RaceResults!$D:$D,E394))</f>
        <v>29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45</v>
      </c>
      <c r="F395">
        <f>IF(E395="","",SUMIFS(RaceResults!$C:$C,RaceResults!$A:$A,A395,RaceResults!$D:$D,E395))</f>
        <v>6</v>
      </c>
      <c r="G395">
        <f>IF(E395="","",SUMIFS(RaceResults!$E:$E,RaceResults!$A:$A,A395,RaceResults!$D:$D,E395))</f>
        <v>31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11</v>
      </c>
      <c r="F396">
        <f>IF(E396="","",SUMIFS(RaceResults!$C:$C,RaceResults!$A:$A,A396,RaceResults!$D:$D,E396))</f>
        <v>1</v>
      </c>
      <c r="G396">
        <f>IF(E396="","",SUMIFS(RaceResults!$E:$E,RaceResults!$A:$A,A396,RaceResults!$D:$D,E396))</f>
        <v>55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7</v>
      </c>
      <c r="F397">
        <f>IF(E397="","",SUMIFS(RaceResults!$C:$C,RaceResults!$A:$A,A397,RaceResults!$D:$D,E397))</f>
        <v>19</v>
      </c>
      <c r="G397">
        <f>IF(E397="","",SUMIFS(RaceResults!$E:$E,RaceResults!$A:$A,A397,RaceResults!$D:$D,E397))</f>
        <v>18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11</v>
      </c>
      <c r="F398">
        <f>IF(E398="","",SUMIFS(RaceResults!$C:$C,RaceResults!$A:$A,A398,RaceResults!$D:$D,E398))</f>
        <v>1</v>
      </c>
      <c r="G398">
        <f>IF(E398="","",SUMIFS(RaceResults!$E:$E,RaceResults!$A:$A,A398,RaceResults!$D:$D,E398))</f>
        <v>55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20</v>
      </c>
      <c r="F399">
        <f>IF(E399="","",SUMIFS(RaceResults!$C:$C,RaceResults!$A:$A,A399,RaceResults!$D:$D,E399))</f>
        <v>2</v>
      </c>
      <c r="G399">
        <f>IF(E399="","",SUMIFS(RaceResults!$E:$E,RaceResults!$A:$A,A399,RaceResults!$D:$D,E399))</f>
        <v>35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12</v>
      </c>
      <c r="F400">
        <f>IF(E400="","",SUMIFS(RaceResults!$C:$C,RaceResults!$A:$A,A400,RaceResults!$D:$D,E400))</f>
        <v>8</v>
      </c>
      <c r="G400">
        <f>IF(E400="","",SUMIFS(RaceResults!$E:$E,RaceResults!$A:$A,A400,RaceResults!$D:$D,E400))</f>
        <v>29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11</v>
      </c>
      <c r="F401">
        <f>IF(E401="","",SUMIFS(RaceResults!$C:$C,RaceResults!$A:$A,A401,RaceResults!$D:$D,E401))</f>
        <v>1</v>
      </c>
      <c r="G401">
        <f>IF(E401="","",SUMIFS(RaceResults!$E:$E,RaceResults!$A:$A,A401,RaceResults!$D:$D,E401))</f>
        <v>55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12</v>
      </c>
      <c r="F402">
        <f>IF(E402="","",SUMIFS(RaceResults!$C:$C,RaceResults!$A:$A,A402,RaceResults!$D:$D,E402))</f>
        <v>8</v>
      </c>
      <c r="G402">
        <f>IF(E402="","",SUMIFS(RaceResults!$E:$E,RaceResults!$A:$A,A402,RaceResults!$D:$D,E402))</f>
        <v>29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45</v>
      </c>
      <c r="F403">
        <f>IF(E403="","",SUMIFS(RaceResults!$C:$C,RaceResults!$A:$A,A403,RaceResults!$D:$D,E403))</f>
        <v>6</v>
      </c>
      <c r="G403">
        <f>IF(E403="","",SUMIFS(RaceResults!$E:$E,RaceResults!$A:$A,A403,RaceResults!$D:$D,E403))</f>
        <v>31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11</v>
      </c>
      <c r="F404">
        <f>IF(E404="","",SUMIFS(RaceResults!$C:$C,RaceResults!$A:$A,A404,RaceResults!$D:$D,E404))</f>
        <v>1</v>
      </c>
      <c r="G404">
        <f>IF(E404="","",SUMIFS(RaceResults!$E:$E,RaceResults!$A:$A,A404,RaceResults!$D:$D,E404))</f>
        <v>55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45</v>
      </c>
      <c r="F405">
        <f>IF(E405="","",SUMIFS(RaceResults!$C:$C,RaceResults!$A:$A,A405,RaceResults!$D:$D,E405))</f>
        <v>6</v>
      </c>
      <c r="G405">
        <f>IF(E405="","",SUMIFS(RaceResults!$E:$E,RaceResults!$A:$A,A405,RaceResults!$D:$D,E405))</f>
        <v>31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7</v>
      </c>
      <c r="F406">
        <f>IF(E406="","",SUMIFS(RaceResults!$C:$C,RaceResults!$A:$A,A406,RaceResults!$D:$D,E406))</f>
        <v>19</v>
      </c>
      <c r="G406">
        <f>IF(E406="","",SUMIFS(RaceResults!$E:$E,RaceResults!$A:$A,A406,RaceResults!$D:$D,E406))</f>
        <v>18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11</v>
      </c>
      <c r="F407">
        <f>IF(E407="","",SUMIFS(RaceResults!$C:$C,RaceResults!$A:$A,A407,RaceResults!$D:$D,E407))</f>
        <v>1</v>
      </c>
      <c r="G407">
        <f>IF(E407="","",SUMIFS(RaceResults!$E:$E,RaceResults!$A:$A,A407,RaceResults!$D:$D,E407))</f>
        <v>55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45</v>
      </c>
      <c r="F408">
        <f>IF(E408="","",SUMIFS(RaceResults!$C:$C,RaceResults!$A:$A,A408,RaceResults!$D:$D,E408))</f>
        <v>6</v>
      </c>
      <c r="G408">
        <f>IF(E408="","",SUMIFS(RaceResults!$E:$E,RaceResults!$A:$A,A408,RaceResults!$D:$D,E408))</f>
        <v>31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20</v>
      </c>
      <c r="F409">
        <f>IF(E409="","",SUMIFS(RaceResults!$C:$C,RaceResults!$A:$A,A409,RaceResults!$D:$D,E409))</f>
        <v>2</v>
      </c>
      <c r="G409">
        <f>IF(E409="","",SUMIFS(RaceResults!$E:$E,RaceResults!$A:$A,A409,RaceResults!$D:$D,E409))</f>
        <v>35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12</v>
      </c>
      <c r="F416">
        <f>IF(E416="","",SUMIFS(RaceResults!$C:$C,RaceResults!$A:$A,A416,RaceResults!$D:$D,E416))</f>
        <v>8</v>
      </c>
      <c r="G416">
        <f>IF(E416="","",SUMIFS(RaceResults!$E:$E,RaceResults!$A:$A,A416,RaceResults!$D:$D,E416))</f>
        <v>29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5</v>
      </c>
      <c r="F417">
        <f>IF(E417="","",SUMIFS(RaceResults!$C:$C,RaceResults!$A:$A,A417,RaceResults!$D:$D,E417))</f>
        <v>23</v>
      </c>
      <c r="G417">
        <f>IF(E417="","",SUMIFS(RaceResults!$E:$E,RaceResults!$A:$A,A417,RaceResults!$D:$D,E417))</f>
        <v>14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11</v>
      </c>
      <c r="F418">
        <f>IF(E418="","",SUMIFS(RaceResults!$C:$C,RaceResults!$A:$A,A418,RaceResults!$D:$D,E418))</f>
        <v>1</v>
      </c>
      <c r="G418">
        <f>IF(E418="","",SUMIFS(RaceResults!$E:$E,RaceResults!$A:$A,A418,RaceResults!$D:$D,E418))</f>
        <v>55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54</v>
      </c>
      <c r="F419">
        <f>IF(E419="","",SUMIFS(RaceResults!$C:$C,RaceResults!$A:$A,A419,RaceResults!$D:$D,E419))</f>
        <v>13</v>
      </c>
      <c r="G419">
        <f>IF(E419="","",SUMIFS(RaceResults!$E:$E,RaceResults!$A:$A,A419,RaceResults!$D:$D,E419))</f>
        <v>24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45</v>
      </c>
      <c r="F420">
        <f>IF(E420="","",SUMIFS(RaceResults!$C:$C,RaceResults!$A:$A,A420,RaceResults!$D:$D,E420))</f>
        <v>6</v>
      </c>
      <c r="G420">
        <f>IF(E420="","",SUMIFS(RaceResults!$E:$E,RaceResults!$A:$A,A420,RaceResults!$D:$D,E420))</f>
        <v>31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5</v>
      </c>
      <c r="F421">
        <f>IF(E421="","",SUMIFS(RaceResults!$C:$C,RaceResults!$A:$A,A421,RaceResults!$D:$D,E421))</f>
        <v>23</v>
      </c>
      <c r="G421">
        <f>IF(E421="","",SUMIFS(RaceResults!$E:$E,RaceResults!$A:$A,A421,RaceResults!$D:$D,E421))</f>
        <v>14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11</v>
      </c>
      <c r="F422">
        <f>IF(E422="","",SUMIFS(RaceResults!$C:$C,RaceResults!$A:$A,A422,RaceResults!$D:$D,E422))</f>
        <v>1</v>
      </c>
      <c r="G422">
        <f>IF(E422="","",SUMIFS(RaceResults!$E:$E,RaceResults!$A:$A,A422,RaceResults!$D:$D,E422))</f>
        <v>55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5</v>
      </c>
      <c r="F423">
        <f>IF(E423="","",SUMIFS(RaceResults!$C:$C,RaceResults!$A:$A,A423,RaceResults!$D:$D,E423))</f>
        <v>4</v>
      </c>
      <c r="G423">
        <f>IF(E423="","",SUMIFS(RaceResults!$E:$E,RaceResults!$A:$A,A423,RaceResults!$D:$D,E423))</f>
        <v>33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77</v>
      </c>
      <c r="F424">
        <f>IF(E424="","",SUMIFS(RaceResults!$C:$C,RaceResults!$A:$A,A424,RaceResults!$D:$D,E424))</f>
        <v>5</v>
      </c>
      <c r="G424">
        <f>IF(E424="","",SUMIFS(RaceResults!$E:$E,RaceResults!$A:$A,A424,RaceResults!$D:$D,E424))</f>
        <v>32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11</v>
      </c>
      <c r="F425">
        <f>IF(E425="","",SUMIFS(RaceResults!$C:$C,RaceResults!$A:$A,A425,RaceResults!$D:$D,E425))</f>
        <v>1</v>
      </c>
      <c r="G425">
        <f>IF(E425="","",SUMIFS(RaceResults!$E:$E,RaceResults!$A:$A,A425,RaceResults!$D:$D,E425))</f>
        <v>55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45</v>
      </c>
      <c r="F426">
        <f>IF(E426="","",SUMIFS(RaceResults!$C:$C,RaceResults!$A:$A,A426,RaceResults!$D:$D,E426))</f>
        <v>35</v>
      </c>
      <c r="G426">
        <f>IF(E426="","",SUMIFS(RaceResults!$E:$E,RaceResults!$A:$A,A426,RaceResults!$D:$D,E426))</f>
        <v>2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5</v>
      </c>
      <c r="F427">
        <f>IF(E427="","",SUMIFS(RaceResults!$C:$C,RaceResults!$A:$A,A427,RaceResults!$D:$D,E427))</f>
        <v>4</v>
      </c>
      <c r="G427">
        <f>IF(E427="","",SUMIFS(RaceResults!$E:$E,RaceResults!$A:$A,A427,RaceResults!$D:$D,E427))</f>
        <v>33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11</v>
      </c>
      <c r="F428">
        <f>IF(E428="","",SUMIFS(RaceResults!$C:$C,RaceResults!$A:$A,A428,RaceResults!$D:$D,E428))</f>
        <v>1</v>
      </c>
      <c r="G428">
        <f>IF(E428="","",SUMIFS(RaceResults!$E:$E,RaceResults!$A:$A,A428,RaceResults!$D:$D,E428))</f>
        <v>55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54</v>
      </c>
      <c r="F429">
        <f>IF(E429="","",SUMIFS(RaceResults!$C:$C,RaceResults!$A:$A,A429,RaceResults!$D:$D,E429))</f>
        <v>25</v>
      </c>
      <c r="G429">
        <f>IF(E429="","",SUMIFS(RaceResults!$E:$E,RaceResults!$A:$A,A429,RaceResults!$D:$D,E429))</f>
        <v>12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20</v>
      </c>
      <c r="F430">
        <f>IF(E430="","",SUMIFS(RaceResults!$C:$C,RaceResults!$A:$A,A430,RaceResults!$D:$D,E430))</f>
        <v>31</v>
      </c>
      <c r="G430">
        <f>IF(E430="","",SUMIFS(RaceResults!$E:$E,RaceResults!$A:$A,A430,RaceResults!$D:$D,E430))</f>
        <v>6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11</v>
      </c>
      <c r="F431">
        <f>IF(E431="","",SUMIFS(RaceResults!$C:$C,RaceResults!$A:$A,A431,RaceResults!$D:$D,E431))</f>
        <v>1</v>
      </c>
      <c r="G431">
        <f>IF(E431="","",SUMIFS(RaceResults!$E:$E,RaceResults!$A:$A,A431,RaceResults!$D:$D,E431))</f>
        <v>55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45</v>
      </c>
      <c r="F432">
        <f>IF(E432="","",SUMIFS(RaceResults!$C:$C,RaceResults!$A:$A,A432,RaceResults!$D:$D,E432))</f>
        <v>35</v>
      </c>
      <c r="G432">
        <f>IF(E432="","",SUMIFS(RaceResults!$E:$E,RaceResults!$A:$A,A432,RaceResults!$D:$D,E432))</f>
        <v>2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54</v>
      </c>
      <c r="F433">
        <f>IF(E433="","",SUMIFS(RaceResults!$C:$C,RaceResults!$A:$A,A433,RaceResults!$D:$D,E433))</f>
        <v>25</v>
      </c>
      <c r="G433">
        <f>IF(E433="","",SUMIFS(RaceResults!$E:$E,RaceResults!$A:$A,A433,RaceResults!$D:$D,E433))</f>
        <v>12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11</v>
      </c>
      <c r="F434">
        <f>IF(E434="","",SUMIFS(RaceResults!$C:$C,RaceResults!$A:$A,A434,RaceResults!$D:$D,E434))</f>
        <v>1</v>
      </c>
      <c r="G434">
        <f>IF(E434="","",SUMIFS(RaceResults!$E:$E,RaceResults!$A:$A,A434,RaceResults!$D:$D,E434))</f>
        <v>55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45</v>
      </c>
      <c r="F435">
        <f>IF(E435="","",SUMIFS(RaceResults!$C:$C,RaceResults!$A:$A,A435,RaceResults!$D:$D,E435))</f>
        <v>35</v>
      </c>
      <c r="G435">
        <f>IF(E435="","",SUMIFS(RaceResults!$E:$E,RaceResults!$A:$A,A435,RaceResults!$D:$D,E435))</f>
        <v>2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20</v>
      </c>
      <c r="F436">
        <f>IF(E436="","",SUMIFS(RaceResults!$C:$C,RaceResults!$A:$A,A436,RaceResults!$D:$D,E436))</f>
        <v>31</v>
      </c>
      <c r="G436">
        <f>IF(E436="","",SUMIFS(RaceResults!$E:$E,RaceResults!$A:$A,A436,RaceResults!$D:$D,E436))</f>
        <v>6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45</v>
      </c>
      <c r="F437">
        <f>IF(E437="","",SUMIFS(RaceResults!$C:$C,RaceResults!$A:$A,A437,RaceResults!$D:$D,E437))</f>
        <v>35</v>
      </c>
      <c r="G437">
        <f>IF(E437="","",SUMIFS(RaceResults!$E:$E,RaceResults!$A:$A,A437,RaceResults!$D:$D,E437))</f>
        <v>2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11</v>
      </c>
      <c r="F438">
        <f>IF(E438="","",SUMIFS(RaceResults!$C:$C,RaceResults!$A:$A,A438,RaceResults!$D:$D,E438))</f>
        <v>1</v>
      </c>
      <c r="G438">
        <f>IF(E438="","",SUMIFS(RaceResults!$E:$E,RaceResults!$A:$A,A438,RaceResults!$D:$D,E438))</f>
        <v>55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20</v>
      </c>
      <c r="F439">
        <f>IF(E439="","",SUMIFS(RaceResults!$C:$C,RaceResults!$A:$A,A439,RaceResults!$D:$D,E439))</f>
        <v>31</v>
      </c>
      <c r="G439">
        <f>IF(E439="","",SUMIFS(RaceResults!$E:$E,RaceResults!$A:$A,A439,RaceResults!$D:$D,E439))</f>
        <v>6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20</v>
      </c>
      <c r="F446">
        <f>IF(E446="","",SUMIFS(RaceResults!$C:$C,RaceResults!$A:$A,A446,RaceResults!$D:$D,E446))</f>
        <v>31</v>
      </c>
      <c r="G446">
        <f>IF(E446="","",SUMIFS(RaceResults!$E:$E,RaceResults!$A:$A,A446,RaceResults!$D:$D,E446))</f>
        <v>6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77</v>
      </c>
      <c r="F447">
        <f>IF(E447="","",SUMIFS(RaceResults!$C:$C,RaceResults!$A:$A,A447,RaceResults!$D:$D,E447))</f>
        <v>5</v>
      </c>
      <c r="G447">
        <f>IF(E447="","",SUMIFS(RaceResults!$E:$E,RaceResults!$A:$A,A447,RaceResults!$D:$D,E447))</f>
        <v>32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5</v>
      </c>
      <c r="F448">
        <f>IF(E448="","",SUMIFS(RaceResults!$C:$C,RaceResults!$A:$A,A448,RaceResults!$D:$D,E448))</f>
        <v>4</v>
      </c>
      <c r="G448">
        <f>IF(E448="","",SUMIFS(RaceResults!$E:$E,RaceResults!$A:$A,A448,RaceResults!$D:$D,E448))</f>
        <v>33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54</v>
      </c>
      <c r="F449">
        <f>IF(E449="","",SUMIFS(RaceResults!$C:$C,RaceResults!$A:$A,A449,RaceResults!$D:$D,E449))</f>
        <v>25</v>
      </c>
      <c r="G449">
        <f>IF(E449="","",SUMIFS(RaceResults!$E:$E,RaceResults!$A:$A,A449,RaceResults!$D:$D,E449))</f>
        <v>12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5</v>
      </c>
      <c r="F450">
        <f>IF(E450="","",SUMIFS(RaceResults!$C:$C,RaceResults!$A:$A,A450,RaceResults!$D:$D,E450))</f>
        <v>4</v>
      </c>
      <c r="G450">
        <f>IF(E450="","",SUMIFS(RaceResults!$E:$E,RaceResults!$A:$A,A450,RaceResults!$D:$D,E450))</f>
        <v>33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12</v>
      </c>
      <c r="F451">
        <f>IF(E451="","",SUMIFS(RaceResults!$C:$C,RaceResults!$A:$A,A451,RaceResults!$D:$D,E451))</f>
        <v>8</v>
      </c>
      <c r="G451">
        <f>IF(E451="","",SUMIFS(RaceResults!$E:$E,RaceResults!$A:$A,A451,RaceResults!$D:$D,E451))</f>
        <v>29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11</v>
      </c>
      <c r="F452">
        <f>IF(E452="","",SUMIFS(RaceResults!$C:$C,RaceResults!$A:$A,A452,RaceResults!$D:$D,E452))</f>
        <v>1</v>
      </c>
      <c r="G452">
        <f>IF(E452="","",SUMIFS(RaceResults!$E:$E,RaceResults!$A:$A,A452,RaceResults!$D:$D,E452))</f>
        <v>55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5</v>
      </c>
      <c r="F453">
        <f>IF(E453="","",SUMIFS(RaceResults!$C:$C,RaceResults!$A:$A,A453,RaceResults!$D:$D,E453))</f>
        <v>5</v>
      </c>
      <c r="G453">
        <f>IF(E453="","",SUMIFS(RaceResults!$E:$E,RaceResults!$A:$A,A453,RaceResults!$D:$D,E453))</f>
        <v>32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12</v>
      </c>
      <c r="F454">
        <f>IF(E454="","",SUMIFS(RaceResults!$C:$C,RaceResults!$A:$A,A454,RaceResults!$D:$D,E454))</f>
        <v>10</v>
      </c>
      <c r="G454">
        <f>IF(E454="","",SUMIFS(RaceResults!$E:$E,RaceResults!$A:$A,A454,RaceResults!$D:$D,E454))</f>
        <v>27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5</v>
      </c>
      <c r="F455">
        <f>IF(E455="","",SUMIFS(RaceResults!$C:$C,RaceResults!$A:$A,A455,RaceResults!$D:$D,E455))</f>
        <v>5</v>
      </c>
      <c r="G455">
        <f>IF(E455="","",SUMIFS(RaceResults!$E:$E,RaceResults!$A:$A,A455,RaceResults!$D:$D,E455))</f>
        <v>32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7</v>
      </c>
      <c r="F456">
        <f>IF(E456="","",SUMIFS(RaceResults!$C:$C,RaceResults!$A:$A,A456,RaceResults!$D:$D,E456))</f>
        <v>13</v>
      </c>
      <c r="G456">
        <f>IF(E456="","",SUMIFS(RaceResults!$E:$E,RaceResults!$A:$A,A456,RaceResults!$D:$D,E456))</f>
        <v>24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24</v>
      </c>
      <c r="F457">
        <f>IF(E457="","",SUMIFS(RaceResults!$C:$C,RaceResults!$A:$A,A457,RaceResults!$D:$D,E457))</f>
        <v>3</v>
      </c>
      <c r="G457">
        <f>IF(E457="","",SUMIFS(RaceResults!$E:$E,RaceResults!$A:$A,A457,RaceResults!$D:$D,E457))</f>
        <v>34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11</v>
      </c>
      <c r="F458">
        <f>IF(E458="","",SUMIFS(RaceResults!$C:$C,RaceResults!$A:$A,A458,RaceResults!$D:$D,E458))</f>
        <v>1</v>
      </c>
      <c r="G458">
        <f>IF(E458="","",SUMIFS(RaceResults!$E:$E,RaceResults!$A:$A,A458,RaceResults!$D:$D,E458))</f>
        <v>55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19</v>
      </c>
      <c r="F459">
        <f>IF(E459="","",SUMIFS(RaceResults!$C:$C,RaceResults!$A:$A,A459,RaceResults!$D:$D,E459))</f>
        <v>12</v>
      </c>
      <c r="G459">
        <f>IF(E459="","",SUMIFS(RaceResults!$E:$E,RaceResults!$A:$A,A459,RaceResults!$D:$D,E459))</f>
        <v>25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17</v>
      </c>
      <c r="F460">
        <f>IF(E460="","",SUMIFS(RaceResults!$C:$C,RaceResults!$A:$A,A460,RaceResults!$D:$D,E460))</f>
        <v>7</v>
      </c>
      <c r="G460">
        <f>IF(E460="","",SUMIFS(RaceResults!$E:$E,RaceResults!$A:$A,A460,RaceResults!$D:$D,E460))</f>
        <v>30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11</v>
      </c>
      <c r="F461">
        <f>IF(E461="","",SUMIFS(RaceResults!$C:$C,RaceResults!$A:$A,A461,RaceResults!$D:$D,E461))</f>
        <v>1</v>
      </c>
      <c r="G461">
        <f>IF(E461="","",SUMIFS(RaceResults!$E:$E,RaceResults!$A:$A,A461,RaceResults!$D:$D,E461))</f>
        <v>55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5</v>
      </c>
      <c r="F462">
        <f>IF(E462="","",SUMIFS(RaceResults!$C:$C,RaceResults!$A:$A,A462,RaceResults!$D:$D,E462))</f>
        <v>5</v>
      </c>
      <c r="G462">
        <f>IF(E462="","",SUMIFS(RaceResults!$E:$E,RaceResults!$A:$A,A462,RaceResults!$D:$D,E462))</f>
        <v>32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19</v>
      </c>
      <c r="F463">
        <f>IF(E463="","",SUMIFS(RaceResults!$C:$C,RaceResults!$A:$A,A463,RaceResults!$D:$D,E463))</f>
        <v>12</v>
      </c>
      <c r="G463">
        <f>IF(E463="","",SUMIFS(RaceResults!$E:$E,RaceResults!$A:$A,A463,RaceResults!$D:$D,E463))</f>
        <v>25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11</v>
      </c>
      <c r="F464">
        <f>IF(E464="","",SUMIFS(RaceResults!$C:$C,RaceResults!$A:$A,A464,RaceResults!$D:$D,E464))</f>
        <v>1</v>
      </c>
      <c r="G464">
        <f>IF(E464="","",SUMIFS(RaceResults!$E:$E,RaceResults!$A:$A,A464,RaceResults!$D:$D,E464))</f>
        <v>55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19</v>
      </c>
      <c r="F465">
        <f>IF(E465="","",SUMIFS(RaceResults!$C:$C,RaceResults!$A:$A,A465,RaceResults!$D:$D,E465))</f>
        <v>12</v>
      </c>
      <c r="G465">
        <f>IF(E465="","",SUMIFS(RaceResults!$E:$E,RaceResults!$A:$A,A465,RaceResults!$D:$D,E465))</f>
        <v>25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22</v>
      </c>
      <c r="F466">
        <f>IF(E466="","",SUMIFS(RaceResults!$C:$C,RaceResults!$A:$A,A466,RaceResults!$D:$D,E466))</f>
        <v>33</v>
      </c>
      <c r="G466">
        <f>IF(E466="","",SUMIFS(RaceResults!$E:$E,RaceResults!$A:$A,A466,RaceResults!$D:$D,E466))</f>
        <v>4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11</v>
      </c>
      <c r="F467">
        <f>IF(E467="","",SUMIFS(RaceResults!$C:$C,RaceResults!$A:$A,A467,RaceResults!$D:$D,E467))</f>
        <v>1</v>
      </c>
      <c r="G467">
        <f>IF(E467="","",SUMIFS(RaceResults!$E:$E,RaceResults!$A:$A,A467,RaceResults!$D:$D,E467))</f>
        <v>55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45</v>
      </c>
      <c r="F468">
        <f>IF(E468="","",SUMIFS(RaceResults!$C:$C,RaceResults!$A:$A,A468,RaceResults!$D:$D,E468))</f>
        <v>2</v>
      </c>
      <c r="G468">
        <f>IF(E468="","",SUMIFS(RaceResults!$E:$E,RaceResults!$A:$A,A468,RaceResults!$D:$D,E468))</f>
        <v>35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54</v>
      </c>
      <c r="F469">
        <f>IF(E469="","",SUMIFS(RaceResults!$C:$C,RaceResults!$A:$A,A469,RaceResults!$D:$D,E469))</f>
        <v>9</v>
      </c>
      <c r="G469">
        <f>IF(E469="","",SUMIFS(RaceResults!$E:$E,RaceResults!$A:$A,A469,RaceResults!$D:$D,E469))</f>
        <v>28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11</v>
      </c>
      <c r="F476">
        <f>IF(E476="","",SUMIFS(RaceResults!$C:$C,RaceResults!$A:$A,A476,RaceResults!$D:$D,E476))</f>
        <v>1</v>
      </c>
      <c r="G476">
        <f>IF(E476="","",SUMIFS(RaceResults!$E:$E,RaceResults!$A:$A,A476,RaceResults!$D:$D,E476))</f>
        <v>55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19</v>
      </c>
      <c r="F477">
        <f>IF(E477="","",SUMIFS(RaceResults!$C:$C,RaceResults!$A:$A,A477,RaceResults!$D:$D,E477))</f>
        <v>12</v>
      </c>
      <c r="G477">
        <f>IF(E477="","",SUMIFS(RaceResults!$E:$E,RaceResults!$A:$A,A477,RaceResults!$D:$D,E477))</f>
        <v>25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5</v>
      </c>
      <c r="F478">
        <f>IF(E478="","",SUMIFS(RaceResults!$C:$C,RaceResults!$A:$A,A478,RaceResults!$D:$D,E478))</f>
        <v>5</v>
      </c>
      <c r="G478">
        <f>IF(E478="","",SUMIFS(RaceResults!$E:$E,RaceResults!$A:$A,A478,RaceResults!$D:$D,E478))</f>
        <v>32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54</v>
      </c>
      <c r="F479">
        <f>IF(E479="","",SUMIFS(RaceResults!$C:$C,RaceResults!$A:$A,A479,RaceResults!$D:$D,E479))</f>
        <v>9</v>
      </c>
      <c r="G479">
        <f>IF(E479="","",SUMIFS(RaceResults!$E:$E,RaceResults!$A:$A,A479,RaceResults!$D:$D,E479))</f>
        <v>28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5</v>
      </c>
      <c r="F480">
        <f>IF(E480="","",SUMIFS(RaceResults!$C:$C,RaceResults!$A:$A,A480,RaceResults!$D:$D,E480))</f>
        <v>5</v>
      </c>
      <c r="G480">
        <f>IF(E480="","",SUMIFS(RaceResults!$E:$E,RaceResults!$A:$A,A480,RaceResults!$D:$D,E480))</f>
        <v>32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11</v>
      </c>
      <c r="F481">
        <f>IF(E481="","",SUMIFS(RaceResults!$C:$C,RaceResults!$A:$A,A481,RaceResults!$D:$D,E481))</f>
        <v>1</v>
      </c>
      <c r="G481">
        <f>IF(E481="","",SUMIFS(RaceResults!$E:$E,RaceResults!$A:$A,A481,RaceResults!$D:$D,E481))</f>
        <v>55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97</v>
      </c>
      <c r="F482">
        <f>IF(E482="","",SUMIFS(RaceResults!$C:$C,RaceResults!$A:$A,A482,RaceResults!$D:$D,E482))</f>
        <v>37</v>
      </c>
      <c r="G482">
        <f>IF(E482="","",SUMIFS(RaceResults!$E:$E,RaceResults!$A:$A,A482,RaceResults!$D:$D,E482))</f>
        <v>1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12</v>
      </c>
      <c r="F483">
        <f>IF(E483="","",SUMIFS(RaceResults!$C:$C,RaceResults!$A:$A,A483,RaceResults!$D:$D,E483))</f>
        <v>9</v>
      </c>
      <c r="G483">
        <f>IF(E483="","",SUMIFS(RaceResults!$E:$E,RaceResults!$A:$A,A483,RaceResults!$D:$D,E483))</f>
        <v>28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77</v>
      </c>
      <c r="F484">
        <f>IF(E484="","",SUMIFS(RaceResults!$C:$C,RaceResults!$A:$A,A484,RaceResults!$D:$D,E484))</f>
        <v>19</v>
      </c>
      <c r="G484">
        <f>IF(E484="","",SUMIFS(RaceResults!$E:$E,RaceResults!$A:$A,A484,RaceResults!$D:$D,E484))</f>
        <v>18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97</v>
      </c>
      <c r="F485">
        <f>IF(E485="","",SUMIFS(RaceResults!$C:$C,RaceResults!$A:$A,A485,RaceResults!$D:$D,E485))</f>
        <v>37</v>
      </c>
      <c r="G485">
        <f>IF(E485="","",SUMIFS(RaceResults!$E:$E,RaceResults!$A:$A,A485,RaceResults!$D:$D,E485))</f>
        <v>1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7</v>
      </c>
      <c r="F486">
        <f>IF(E486="","",SUMIFS(RaceResults!$C:$C,RaceResults!$A:$A,A486,RaceResults!$D:$D,E486))</f>
        <v>13</v>
      </c>
      <c r="G486">
        <f>IF(E486="","",SUMIFS(RaceResults!$E:$E,RaceResults!$A:$A,A486,RaceResults!$D:$D,E486))</f>
        <v>24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88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97</v>
      </c>
      <c r="F488">
        <f>IF(E488="","",SUMIFS(RaceResults!$C:$C,RaceResults!$A:$A,A488,RaceResults!$D:$D,E488))</f>
        <v>37</v>
      </c>
      <c r="G488">
        <f>IF(E488="","",SUMIFS(RaceResults!$E:$E,RaceResults!$A:$A,A488,RaceResults!$D:$D,E488))</f>
        <v>1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12</v>
      </c>
      <c r="F489">
        <f>IF(E489="","",SUMIFS(RaceResults!$C:$C,RaceResults!$A:$A,A489,RaceResults!$D:$D,E489))</f>
        <v>9</v>
      </c>
      <c r="G489">
        <f>IF(E489="","",SUMIFS(RaceResults!$E:$E,RaceResults!$A:$A,A489,RaceResults!$D:$D,E489))</f>
        <v>28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38</v>
      </c>
      <c r="F490">
        <f>IF(E490="","",SUMIFS(RaceResults!$C:$C,RaceResults!$A:$A,A490,RaceResults!$D:$D,E490))</f>
        <v>4</v>
      </c>
      <c r="G490">
        <f>IF(E490="","",SUMIFS(RaceResults!$E:$E,RaceResults!$A:$A,A490,RaceResults!$D:$D,E490))</f>
        <v>33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97</v>
      </c>
      <c r="F491">
        <f>IF(E491="","",SUMIFS(RaceResults!$C:$C,RaceResults!$A:$A,A491,RaceResults!$D:$D,E491))</f>
        <v>37</v>
      </c>
      <c r="G491">
        <f>IF(E491="","",SUMIFS(RaceResults!$E:$E,RaceResults!$A:$A,A491,RaceResults!$D:$D,E491))</f>
        <v>1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12</v>
      </c>
      <c r="F492">
        <f>IF(E492="","",SUMIFS(RaceResults!$C:$C,RaceResults!$A:$A,A492,RaceResults!$D:$D,E492))</f>
        <v>9</v>
      </c>
      <c r="G492">
        <f>IF(E492="","",SUMIFS(RaceResults!$E:$E,RaceResults!$A:$A,A492,RaceResults!$D:$D,E492))</f>
        <v>28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11</v>
      </c>
      <c r="F493">
        <f>IF(E493="","",SUMIFS(RaceResults!$C:$C,RaceResults!$A:$A,A493,RaceResults!$D:$D,E493))</f>
        <v>14</v>
      </c>
      <c r="G493">
        <f>IF(E493="","",SUMIFS(RaceResults!$E:$E,RaceResults!$A:$A,A493,RaceResults!$D:$D,E493))</f>
        <v>23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12</v>
      </c>
      <c r="F494">
        <f>IF(E494="","",SUMIFS(RaceResults!$C:$C,RaceResults!$A:$A,A494,RaceResults!$D:$D,E494))</f>
        <v>9</v>
      </c>
      <c r="G494">
        <f>IF(E494="","",SUMIFS(RaceResults!$E:$E,RaceResults!$A:$A,A494,RaceResults!$D:$D,E494))</f>
        <v>28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22</v>
      </c>
      <c r="F495">
        <f>IF(E495="","",SUMIFS(RaceResults!$C:$C,RaceResults!$A:$A,A495,RaceResults!$D:$D,E495))</f>
        <v>18</v>
      </c>
      <c r="G495">
        <f>IF(E495="","",SUMIFS(RaceResults!$E:$E,RaceResults!$A:$A,A495,RaceResults!$D:$D,E495))</f>
        <v>19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19</v>
      </c>
      <c r="F496">
        <f>IF(E496="","",SUMIFS(RaceResults!$C:$C,RaceResults!$A:$A,A496,RaceResults!$D:$D,E496))</f>
        <v>17</v>
      </c>
      <c r="G496">
        <f>IF(E496="","",SUMIFS(RaceResults!$E:$E,RaceResults!$A:$A,A496,RaceResults!$D:$D,E496))</f>
        <v>20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97</v>
      </c>
      <c r="F497">
        <f>IF(E497="","",SUMIFS(RaceResults!$C:$C,RaceResults!$A:$A,A497,RaceResults!$D:$D,E497))</f>
        <v>37</v>
      </c>
      <c r="G497">
        <f>IF(E497="","",SUMIFS(RaceResults!$E:$E,RaceResults!$A:$A,A497,RaceResults!$D:$D,E497))</f>
        <v>1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45</v>
      </c>
      <c r="F498">
        <f>IF(E498="","",SUMIFS(RaceResults!$C:$C,RaceResults!$A:$A,A498,RaceResults!$D:$D,E498))</f>
        <v>25</v>
      </c>
      <c r="G498">
        <f>IF(E498="","",SUMIFS(RaceResults!$E:$E,RaceResults!$A:$A,A498,RaceResults!$D:$D,E498))</f>
        <v>12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5</v>
      </c>
      <c r="F499">
        <f>IF(E499="","",SUMIFS(RaceResults!$C:$C,RaceResults!$A:$A,A499,RaceResults!$D:$D,E499))</f>
        <v>3</v>
      </c>
      <c r="G499">
        <f>IF(E499="","",SUMIFS(RaceResults!$E:$E,RaceResults!$A:$A,A499,RaceResults!$D:$D,E499))</f>
        <v>34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97</v>
      </c>
      <c r="F506">
        <f>IF(E506="","",SUMIFS(RaceResults!$C:$C,RaceResults!$A:$A,A506,RaceResults!$D:$D,E506))</f>
        <v>37</v>
      </c>
      <c r="G506">
        <f>IF(E506="","",SUMIFS(RaceResults!$E:$E,RaceResults!$A:$A,A506,RaceResults!$D:$D,E506))</f>
        <v>1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88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12</v>
      </c>
      <c r="F508">
        <f>IF(E508="","",SUMIFS(RaceResults!$C:$C,RaceResults!$A:$A,A508,RaceResults!$D:$D,E508))</f>
        <v>9</v>
      </c>
      <c r="G508">
        <f>IF(E508="","",SUMIFS(RaceResults!$E:$E,RaceResults!$A:$A,A508,RaceResults!$D:$D,E508))</f>
        <v>28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97</v>
      </c>
      <c r="F509">
        <f>IF(E509="","",SUMIFS(RaceResults!$C:$C,RaceResults!$A:$A,A509,RaceResults!$D:$D,E509))</f>
        <v>37</v>
      </c>
      <c r="G509">
        <f>IF(E509="","",SUMIFS(RaceResults!$E:$E,RaceResults!$A:$A,A509,RaceResults!$D:$D,E509))</f>
        <v>1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38</v>
      </c>
      <c r="F510">
        <f>IF(E510="","",SUMIFS(RaceResults!$C:$C,RaceResults!$A:$A,A510,RaceResults!$D:$D,E510))</f>
        <v>4</v>
      </c>
      <c r="G510">
        <f>IF(E510="","",SUMIFS(RaceResults!$E:$E,RaceResults!$A:$A,A510,RaceResults!$D:$D,E510))</f>
        <v>33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12</v>
      </c>
      <c r="F511">
        <f>IF(E511="","",SUMIFS(RaceResults!$C:$C,RaceResults!$A:$A,A511,RaceResults!$D:$D,E511))</f>
        <v>9</v>
      </c>
      <c r="G511">
        <f>IF(E511="","",SUMIFS(RaceResults!$E:$E,RaceResults!$A:$A,A511,RaceResults!$D:$D,E511))</f>
        <v>28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97</v>
      </c>
      <c r="F512">
        <f>IF(E512="","",SUMIFS(RaceResults!$C:$C,RaceResults!$A:$A,A512,RaceResults!$D:$D,E512))</f>
        <v>1</v>
      </c>
      <c r="G512">
        <f>IF(E512="","",SUMIFS(RaceResults!$E:$E,RaceResults!$A:$A,A512,RaceResults!$D:$D,E512))</f>
        <v>55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5</v>
      </c>
      <c r="F513">
        <f>IF(E513="","",SUMIFS(RaceResults!$C:$C,RaceResults!$A:$A,A513,RaceResults!$D:$D,E513))</f>
        <v>4</v>
      </c>
      <c r="G513">
        <f>IF(E513="","",SUMIFS(RaceResults!$E:$E,RaceResults!$A:$A,A513,RaceResults!$D:$D,E513))</f>
        <v>33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11</v>
      </c>
      <c r="F514">
        <f>IF(E514="","",SUMIFS(RaceResults!$C:$C,RaceResults!$A:$A,A514,RaceResults!$D:$D,E514))</f>
        <v>26</v>
      </c>
      <c r="G514">
        <f>IF(E514="","",SUMIFS(RaceResults!$E:$E,RaceResults!$A:$A,A514,RaceResults!$D:$D,E514))</f>
        <v>11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5</v>
      </c>
      <c r="F515">
        <f>IF(E515="","",SUMIFS(RaceResults!$C:$C,RaceResults!$A:$A,A515,RaceResults!$D:$D,E515))</f>
        <v>4</v>
      </c>
      <c r="G515">
        <f>IF(E515="","",SUMIFS(RaceResults!$E:$E,RaceResults!$A:$A,A515,RaceResults!$D:$D,E515))</f>
        <v>33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97</v>
      </c>
      <c r="F516">
        <f>IF(E516="","",SUMIFS(RaceResults!$C:$C,RaceResults!$A:$A,A516,RaceResults!$D:$D,E516))</f>
        <v>1</v>
      </c>
      <c r="G516">
        <f>IF(E516="","",SUMIFS(RaceResults!$E:$E,RaceResults!$A:$A,A516,RaceResults!$D:$D,E516))</f>
        <v>55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11</v>
      </c>
      <c r="F517">
        <f>IF(E517="","",SUMIFS(RaceResults!$C:$C,RaceResults!$A:$A,A517,RaceResults!$D:$D,E517))</f>
        <v>26</v>
      </c>
      <c r="G517">
        <f>IF(E517="","",SUMIFS(RaceResults!$E:$E,RaceResults!$A:$A,A517,RaceResults!$D:$D,E517))</f>
        <v>11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97</v>
      </c>
      <c r="F518">
        <f>IF(E518="","",SUMIFS(RaceResults!$C:$C,RaceResults!$A:$A,A518,RaceResults!$D:$D,E518))</f>
        <v>1</v>
      </c>
      <c r="G518">
        <f>IF(E518="","",SUMIFS(RaceResults!$E:$E,RaceResults!$A:$A,A518,RaceResults!$D:$D,E518))</f>
        <v>55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54</v>
      </c>
      <c r="F519">
        <f>IF(E519="","",SUMIFS(RaceResults!$C:$C,RaceResults!$A:$A,A519,RaceResults!$D:$D,E519))</f>
        <v>3</v>
      </c>
      <c r="G519">
        <f>IF(E519="","",SUMIFS(RaceResults!$E:$E,RaceResults!$A:$A,A519,RaceResults!$D:$D,E519))</f>
        <v>34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71</v>
      </c>
      <c r="F520">
        <f>IF(E520="","",SUMIFS(RaceResults!$C:$C,RaceResults!$A:$A,A520,RaceResults!$D:$D,E520))</f>
        <v>9</v>
      </c>
      <c r="G520">
        <f>IF(E520="","",SUMIFS(RaceResults!$E:$E,RaceResults!$A:$A,A520,RaceResults!$D:$D,E520))</f>
        <v>28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97</v>
      </c>
      <c r="F521">
        <f>IF(E521="","",SUMIFS(RaceResults!$C:$C,RaceResults!$A:$A,A521,RaceResults!$D:$D,E521))</f>
        <v>1</v>
      </c>
      <c r="G521">
        <f>IF(E521="","",SUMIFS(RaceResults!$E:$E,RaceResults!$A:$A,A521,RaceResults!$D:$D,E521))</f>
        <v>55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5</v>
      </c>
      <c r="F522">
        <f>IF(E522="","",SUMIFS(RaceResults!$C:$C,RaceResults!$A:$A,A522,RaceResults!$D:$D,E522))</f>
        <v>4</v>
      </c>
      <c r="G522">
        <f>IF(E522="","",SUMIFS(RaceResults!$E:$E,RaceResults!$A:$A,A522,RaceResults!$D:$D,E522))</f>
        <v>33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54</v>
      </c>
      <c r="F523">
        <f>IF(E523="","",SUMIFS(RaceResults!$C:$C,RaceResults!$A:$A,A523,RaceResults!$D:$D,E523))</f>
        <v>3</v>
      </c>
      <c r="G523">
        <f>IF(E523="","",SUMIFS(RaceResults!$E:$E,RaceResults!$A:$A,A523,RaceResults!$D:$D,E523))</f>
        <v>34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5</v>
      </c>
      <c r="F524">
        <f>IF(E524="","",SUMIFS(RaceResults!$C:$C,RaceResults!$A:$A,A524,RaceResults!$D:$D,E524))</f>
        <v>4</v>
      </c>
      <c r="G524">
        <f>IF(E524="","",SUMIFS(RaceResults!$E:$E,RaceResults!$A:$A,A524,RaceResults!$D:$D,E524))</f>
        <v>33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19</v>
      </c>
      <c r="F525">
        <f>IF(E525="","",SUMIFS(RaceResults!$C:$C,RaceResults!$A:$A,A525,RaceResults!$D:$D,E525))</f>
        <v>2</v>
      </c>
      <c r="G525">
        <f>IF(E525="","",SUMIFS(RaceResults!$E:$E,RaceResults!$A:$A,A525,RaceResults!$D:$D,E525))</f>
        <v>35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22</v>
      </c>
      <c r="F526">
        <f>IF(E526="","",SUMIFS(RaceResults!$C:$C,RaceResults!$A:$A,A526,RaceResults!$D:$D,E526))</f>
        <v>24</v>
      </c>
      <c r="G526">
        <f>IF(E526="","",SUMIFS(RaceResults!$E:$E,RaceResults!$A:$A,A526,RaceResults!$D:$D,E526))</f>
        <v>13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97</v>
      </c>
      <c r="F527">
        <f>IF(E527="","",SUMIFS(RaceResults!$C:$C,RaceResults!$A:$A,A527,RaceResults!$D:$D,E527))</f>
        <v>1</v>
      </c>
      <c r="G527">
        <f>IF(E527="","",SUMIFS(RaceResults!$E:$E,RaceResults!$A:$A,A527,RaceResults!$D:$D,E527))</f>
        <v>55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45</v>
      </c>
      <c r="F528">
        <f>IF(E528="","",SUMIFS(RaceResults!$C:$C,RaceResults!$A:$A,A528,RaceResults!$D:$D,E528))</f>
        <v>35</v>
      </c>
      <c r="G528">
        <f>IF(E528="","",SUMIFS(RaceResults!$E:$E,RaceResults!$A:$A,A528,RaceResults!$D:$D,E528))</f>
        <v>2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5</v>
      </c>
      <c r="F529">
        <f>IF(E529="","",SUMIFS(RaceResults!$C:$C,RaceResults!$A:$A,A529,RaceResults!$D:$D,E529))</f>
        <v>4</v>
      </c>
      <c r="G529">
        <f>IF(E529="","",SUMIFS(RaceResults!$E:$E,RaceResults!$A:$A,A529,RaceResults!$D:$D,E529))</f>
        <v>33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5</v>
      </c>
      <c r="F530">
        <f>IF(E530="","",SUMIFS(RaceResults!$C:$C,RaceResults!$A:$A,A530,RaceResults!$D:$D,E530))</f>
        <v>4</v>
      </c>
      <c r="G530">
        <f>IF(E530="","",SUMIFS(RaceResults!$E:$E,RaceResults!$A:$A,A530,RaceResults!$D:$D,E530))</f>
        <v>33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24</v>
      </c>
      <c r="F531">
        <f>IF(E531="","",SUMIFS(RaceResults!$C:$C,RaceResults!$A:$A,A531,RaceResults!$D:$D,E531))</f>
        <v>12</v>
      </c>
      <c r="G531">
        <f>IF(E531="","",SUMIFS(RaceResults!$E:$E,RaceResults!$A:$A,A531,RaceResults!$D:$D,E531))</f>
        <v>25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9</v>
      </c>
      <c r="F532">
        <f>IF(E532="","",SUMIFS(RaceResults!$C:$C,RaceResults!$A:$A,A532,RaceResults!$D:$D,E532))</f>
        <v>17</v>
      </c>
      <c r="G532">
        <f>IF(E532="","",SUMIFS(RaceResults!$E:$E,RaceResults!$A:$A,A532,RaceResults!$D:$D,E532))</f>
        <v>20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88</v>
      </c>
      <c r="F536">
        <f>IF(E536="","",SUMIFS(RaceResults!$C:$C,RaceResults!$A:$A,A536,RaceResults!$D:$D,E536))</f>
        <v>7</v>
      </c>
      <c r="G536">
        <f>IF(E536="","",SUMIFS(RaceResults!$E:$E,RaceResults!$A:$A,A536,RaceResults!$D:$D,E536))</f>
        <v>30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97</v>
      </c>
      <c r="F537">
        <f>IF(E537="","",SUMIFS(RaceResults!$C:$C,RaceResults!$A:$A,A537,RaceResults!$D:$D,E537))</f>
        <v>1</v>
      </c>
      <c r="G537">
        <f>IF(E537="","",SUMIFS(RaceResults!$E:$E,RaceResults!$A:$A,A537,RaceResults!$D:$D,E537))</f>
        <v>55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17</v>
      </c>
      <c r="F538">
        <f>IF(E538="","",SUMIFS(RaceResults!$C:$C,RaceResults!$A:$A,A538,RaceResults!$D:$D,E538))</f>
        <v>19</v>
      </c>
      <c r="G538">
        <f>IF(E538="","",SUMIFS(RaceResults!$E:$E,RaceResults!$A:$A,A538,RaceResults!$D:$D,E538))</f>
        <v>18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54</v>
      </c>
      <c r="F539">
        <f>IF(E539="","",SUMIFS(RaceResults!$C:$C,RaceResults!$A:$A,A539,RaceResults!$D:$D,E539))</f>
        <v>3</v>
      </c>
      <c r="G539">
        <f>IF(E539="","",SUMIFS(RaceResults!$E:$E,RaceResults!$A:$A,A539,RaceResults!$D:$D,E539))</f>
        <v>34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45</v>
      </c>
      <c r="F540">
        <f>IF(E540="","",SUMIFS(RaceResults!$C:$C,RaceResults!$A:$A,A540,RaceResults!$D:$D,E540))</f>
        <v>35</v>
      </c>
      <c r="G540">
        <f>IF(E540="","",SUMIFS(RaceResults!$E:$E,RaceResults!$A:$A,A540,RaceResults!$D:$D,E540))</f>
        <v>2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5</v>
      </c>
      <c r="F541">
        <f>IF(E541="","",SUMIFS(RaceResults!$C:$C,RaceResults!$A:$A,A541,RaceResults!$D:$D,E541))</f>
        <v>4</v>
      </c>
      <c r="G541">
        <f>IF(E541="","",SUMIFS(RaceResults!$E:$E,RaceResults!$A:$A,A541,RaceResults!$D:$D,E541))</f>
        <v>33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11</v>
      </c>
      <c r="F542">
        <f>IF(E542="","",SUMIFS(RaceResults!$C:$C,RaceResults!$A:$A,A542,RaceResults!$D:$D,E542))</f>
        <v>3</v>
      </c>
      <c r="G542">
        <f>IF(E542="","",SUMIFS(RaceResults!$E:$E,RaceResults!$A:$A,A542,RaceResults!$D:$D,E542))</f>
        <v>34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5</v>
      </c>
      <c r="F543">
        <f>IF(E543="","",SUMIFS(RaceResults!$C:$C,RaceResults!$A:$A,A543,RaceResults!$D:$D,E543))</f>
        <v>34</v>
      </c>
      <c r="G543">
        <f>IF(E543="","",SUMIFS(RaceResults!$E:$E,RaceResults!$A:$A,A543,RaceResults!$D:$D,E543))</f>
        <v>3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54</v>
      </c>
      <c r="F544">
        <f>IF(E544="","",SUMIFS(RaceResults!$C:$C,RaceResults!$A:$A,A544,RaceResults!$D:$D,E544))</f>
        <v>8</v>
      </c>
      <c r="G544">
        <f>IF(E544="","",SUMIFS(RaceResults!$E:$E,RaceResults!$A:$A,A544,RaceResults!$D:$D,E544))</f>
        <v>29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11</v>
      </c>
      <c r="F545">
        <f>IF(E545="","",SUMIFS(RaceResults!$C:$C,RaceResults!$A:$A,A545,RaceResults!$D:$D,E545))</f>
        <v>3</v>
      </c>
      <c r="G545">
        <f>IF(E545="","",SUMIFS(RaceResults!$E:$E,RaceResults!$A:$A,A545,RaceResults!$D:$D,E545))</f>
        <v>34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5</v>
      </c>
      <c r="F546">
        <f>IF(E546="","",SUMIFS(RaceResults!$C:$C,RaceResults!$A:$A,A546,RaceResults!$D:$D,E546))</f>
        <v>34</v>
      </c>
      <c r="G546">
        <f>IF(E546="","",SUMIFS(RaceResults!$E:$E,RaceResults!$A:$A,A546,RaceResults!$D:$D,E546))</f>
        <v>3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20</v>
      </c>
      <c r="F547">
        <f>IF(E547="","",SUMIFS(RaceResults!$C:$C,RaceResults!$A:$A,A547,RaceResults!$D:$D,E547))</f>
        <v>2</v>
      </c>
      <c r="G547">
        <f>IF(E547="","",SUMIFS(RaceResults!$E:$E,RaceResults!$A:$A,A547,RaceResults!$D:$D,E547))</f>
        <v>35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11</v>
      </c>
      <c r="F548">
        <f>IF(E548="","",SUMIFS(RaceResults!$C:$C,RaceResults!$A:$A,A548,RaceResults!$D:$D,E548))</f>
        <v>3</v>
      </c>
      <c r="G548">
        <f>IF(E548="","",SUMIFS(RaceResults!$E:$E,RaceResults!$A:$A,A548,RaceResults!$D:$D,E548))</f>
        <v>34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5</v>
      </c>
      <c r="F549">
        <f>IF(E549="","",SUMIFS(RaceResults!$C:$C,RaceResults!$A:$A,A549,RaceResults!$D:$D,E549))</f>
        <v>34</v>
      </c>
      <c r="G549">
        <f>IF(E549="","",SUMIFS(RaceResults!$E:$E,RaceResults!$A:$A,A549,RaceResults!$D:$D,E549))</f>
        <v>3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17</v>
      </c>
      <c r="F550">
        <f>IF(E550="","",SUMIFS(RaceResults!$C:$C,RaceResults!$A:$A,A550,RaceResults!$D:$D,E550))</f>
        <v>19</v>
      </c>
      <c r="G550">
        <f>IF(E550="","",SUMIFS(RaceResults!$E:$E,RaceResults!$A:$A,A550,RaceResults!$D:$D,E550))</f>
        <v>18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11</v>
      </c>
      <c r="F551">
        <f>IF(E551="","",SUMIFS(RaceResults!$C:$C,RaceResults!$A:$A,A551,RaceResults!$D:$D,E551))</f>
        <v>3</v>
      </c>
      <c r="G551">
        <f>IF(E551="","",SUMIFS(RaceResults!$E:$E,RaceResults!$A:$A,A551,RaceResults!$D:$D,E551))</f>
        <v>34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5</v>
      </c>
      <c r="F552">
        <f>IF(E552="","",SUMIFS(RaceResults!$C:$C,RaceResults!$A:$A,A552,RaceResults!$D:$D,E552))</f>
        <v>34</v>
      </c>
      <c r="G552">
        <f>IF(E552="","",SUMIFS(RaceResults!$E:$E,RaceResults!$A:$A,A552,RaceResults!$D:$D,E552))</f>
        <v>3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12</v>
      </c>
      <c r="F553">
        <f>IF(E553="","",SUMIFS(RaceResults!$C:$C,RaceResults!$A:$A,A553,RaceResults!$D:$D,E553))</f>
        <v>7</v>
      </c>
      <c r="G553">
        <f>IF(E553="","",SUMIFS(RaceResults!$E:$E,RaceResults!$A:$A,A553,RaceResults!$D:$D,E553))</f>
        <v>30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11</v>
      </c>
      <c r="F554">
        <f>IF(E554="","",SUMIFS(RaceResults!$C:$C,RaceResults!$A:$A,A554,RaceResults!$D:$D,E554))</f>
        <v>3</v>
      </c>
      <c r="G554">
        <f>IF(E554="","",SUMIFS(RaceResults!$E:$E,RaceResults!$A:$A,A554,RaceResults!$D:$D,E554))</f>
        <v>34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5</v>
      </c>
      <c r="F555">
        <f>IF(E555="","",SUMIFS(RaceResults!$C:$C,RaceResults!$A:$A,A555,RaceResults!$D:$D,E555))</f>
        <v>34</v>
      </c>
      <c r="G555">
        <f>IF(E555="","",SUMIFS(RaceResults!$E:$E,RaceResults!$A:$A,A555,RaceResults!$D:$D,E555))</f>
        <v>3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20</v>
      </c>
      <c r="F556">
        <f>IF(E556="","",SUMIFS(RaceResults!$C:$C,RaceResults!$A:$A,A556,RaceResults!$D:$D,E556))</f>
        <v>2</v>
      </c>
      <c r="G556">
        <f>IF(E556="","",SUMIFS(RaceResults!$E:$E,RaceResults!$A:$A,A556,RaceResults!$D:$D,E556))</f>
        <v>35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11</v>
      </c>
      <c r="F557">
        <f>IF(E557="","",SUMIFS(RaceResults!$C:$C,RaceResults!$A:$A,A557,RaceResults!$D:$D,E557))</f>
        <v>3</v>
      </c>
      <c r="G557">
        <f>IF(E557="","",SUMIFS(RaceResults!$E:$E,RaceResults!$A:$A,A557,RaceResults!$D:$D,E557))</f>
        <v>34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5</v>
      </c>
      <c r="F558">
        <f>IF(E558="","",SUMIFS(RaceResults!$C:$C,RaceResults!$A:$A,A558,RaceResults!$D:$D,E558))</f>
        <v>34</v>
      </c>
      <c r="G558">
        <f>IF(E558="","",SUMIFS(RaceResults!$E:$E,RaceResults!$A:$A,A558,RaceResults!$D:$D,E558))</f>
        <v>3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20</v>
      </c>
      <c r="F559">
        <f>IF(E559="","",SUMIFS(RaceResults!$C:$C,RaceResults!$A:$A,A559,RaceResults!$D:$D,E559))</f>
        <v>2</v>
      </c>
      <c r="G559">
        <f>IF(E559="","",SUMIFS(RaceResults!$E:$E,RaceResults!$A:$A,A559,RaceResults!$D:$D,E559))</f>
        <v>35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20</v>
      </c>
      <c r="F566">
        <f>IF(E566="","",SUMIFS(RaceResults!$C:$C,RaceResults!$A:$A,A566,RaceResults!$D:$D,E566))</f>
        <v>2</v>
      </c>
      <c r="G566">
        <f>IF(E566="","",SUMIFS(RaceResults!$E:$E,RaceResults!$A:$A,A566,RaceResults!$D:$D,E566))</f>
        <v>35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5</v>
      </c>
      <c r="F567">
        <f>IF(E567="","",SUMIFS(RaceResults!$C:$C,RaceResults!$A:$A,A567,RaceResults!$D:$D,E567))</f>
        <v>34</v>
      </c>
      <c r="G567">
        <f>IF(E567="","",SUMIFS(RaceResults!$E:$E,RaceResults!$A:$A,A567,RaceResults!$D:$D,E567))</f>
        <v>3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11</v>
      </c>
      <c r="F568">
        <f>IF(E568="","",SUMIFS(RaceResults!$C:$C,RaceResults!$A:$A,A568,RaceResults!$D:$D,E568))</f>
        <v>3</v>
      </c>
      <c r="G568">
        <f>IF(E568="","",SUMIFS(RaceResults!$E:$E,RaceResults!$A:$A,A568,RaceResults!$D:$D,E568))</f>
        <v>34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54</v>
      </c>
      <c r="F569">
        <f>IF(E569="","",SUMIFS(RaceResults!$C:$C,RaceResults!$A:$A,A569,RaceResults!$D:$D,E569))</f>
        <v>8</v>
      </c>
      <c r="G569">
        <f>IF(E569="","",SUMIFS(RaceResults!$E:$E,RaceResults!$A:$A,A569,RaceResults!$D:$D,E569))</f>
        <v>29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45</v>
      </c>
      <c r="F570">
        <f>IF(E570="","",SUMIFS(RaceResults!$C:$C,RaceResults!$A:$A,A570,RaceResults!$D:$D,E570))</f>
        <v>36</v>
      </c>
      <c r="G570">
        <f>IF(E570="","",SUMIFS(RaceResults!$E:$E,RaceResults!$A:$A,A570,RaceResults!$D:$D,E570))</f>
        <v>1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5</v>
      </c>
      <c r="F571">
        <f>IF(E571="","",SUMIFS(RaceResults!$C:$C,RaceResults!$A:$A,A571,RaceResults!$D:$D,E571))</f>
        <v>34</v>
      </c>
      <c r="G571">
        <f>IF(E571="","",SUMIFS(RaceResults!$E:$E,RaceResults!$A:$A,A571,RaceResults!$D:$D,E571))</f>
        <v>3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5</v>
      </c>
      <c r="F572">
        <f>IF(E572="","",SUMIFS(RaceResults!$C:$C,RaceResults!$A:$A,A572,RaceResults!$D:$D,E572))</f>
        <v>34</v>
      </c>
      <c r="G572">
        <f>IF(E572="","",SUMIFS(RaceResults!$E:$E,RaceResults!$A:$A,A572,RaceResults!$D:$D,E572))</f>
        <v>3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12</v>
      </c>
      <c r="F573">
        <f>IF(E573="","",SUMIFS(RaceResults!$C:$C,RaceResults!$A:$A,A573,RaceResults!$D:$D,E573))</f>
        <v>1</v>
      </c>
      <c r="G573">
        <f>IF(E573="","",SUMIFS(RaceResults!$E:$E,RaceResults!$A:$A,A573,RaceResults!$D:$D,E573))</f>
        <v>55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2</v>
      </c>
      <c r="F574">
        <f>IF(E574="","",SUMIFS(RaceResults!$C:$C,RaceResults!$A:$A,A574,RaceResults!$D:$D,E574))</f>
        <v>14</v>
      </c>
      <c r="G574">
        <f>IF(E574="","",SUMIFS(RaceResults!$E:$E,RaceResults!$A:$A,A574,RaceResults!$D:$D,E574))</f>
        <v>23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5</v>
      </c>
      <c r="F575">
        <f>IF(E575="","",SUMIFS(RaceResults!$C:$C,RaceResults!$A:$A,A575,RaceResults!$D:$D,E575))</f>
        <v>34</v>
      </c>
      <c r="G575">
        <f>IF(E575="","",SUMIFS(RaceResults!$E:$E,RaceResults!$A:$A,A575,RaceResults!$D:$D,E575))</f>
        <v>3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12</v>
      </c>
      <c r="F576">
        <f>IF(E576="","",SUMIFS(RaceResults!$C:$C,RaceResults!$A:$A,A576,RaceResults!$D:$D,E576))</f>
        <v>1</v>
      </c>
      <c r="G576">
        <f>IF(E576="","",SUMIFS(RaceResults!$E:$E,RaceResults!$A:$A,A576,RaceResults!$D:$D,E576))</f>
        <v>55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7</v>
      </c>
      <c r="F577">
        <f>IF(E577="","",SUMIFS(RaceResults!$C:$C,RaceResults!$A:$A,A577,RaceResults!$D:$D,E577))</f>
        <v>21</v>
      </c>
      <c r="G577">
        <f>IF(E577="","",SUMIFS(RaceResults!$E:$E,RaceResults!$A:$A,A577,RaceResults!$D:$D,E577))</f>
        <v>16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9</v>
      </c>
      <c r="F578">
        <f>IF(E578="","",SUMIFS(RaceResults!$C:$C,RaceResults!$A:$A,A578,RaceResults!$D:$D,E578))</f>
        <v>13</v>
      </c>
      <c r="G578">
        <f>IF(E578="","",SUMIFS(RaceResults!$E:$E,RaceResults!$A:$A,A578,RaceResults!$D:$D,E578))</f>
        <v>24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12</v>
      </c>
      <c r="F579">
        <f>IF(E579="","",SUMIFS(RaceResults!$C:$C,RaceResults!$A:$A,A579,RaceResults!$D:$D,E579))</f>
        <v>1</v>
      </c>
      <c r="G579">
        <f>IF(E579="","",SUMIFS(RaceResults!$E:$E,RaceResults!$A:$A,A579,RaceResults!$D:$D,E579))</f>
        <v>55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48</v>
      </c>
      <c r="F580">
        <f>IF(E580="","",SUMIFS(RaceResults!$C:$C,RaceResults!$A:$A,A580,RaceResults!$D:$D,E580))</f>
        <v>22</v>
      </c>
      <c r="G580">
        <f>IF(E580="","",SUMIFS(RaceResults!$E:$E,RaceResults!$A:$A,A580,RaceResults!$D:$D,E580))</f>
        <v>15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12</v>
      </c>
      <c r="F581">
        <f>IF(E581="","",SUMIFS(RaceResults!$C:$C,RaceResults!$A:$A,A581,RaceResults!$D:$D,E581))</f>
        <v>1</v>
      </c>
      <c r="G581">
        <f>IF(E581="","",SUMIFS(RaceResults!$E:$E,RaceResults!$A:$A,A581,RaceResults!$D:$D,E581))</f>
        <v>55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5</v>
      </c>
      <c r="F582">
        <f>IF(E582="","",SUMIFS(RaceResults!$C:$C,RaceResults!$A:$A,A582,RaceResults!$D:$D,E582))</f>
        <v>34</v>
      </c>
      <c r="G582">
        <f>IF(E582="","",SUMIFS(RaceResults!$E:$E,RaceResults!$A:$A,A582,RaceResults!$D:$D,E582))</f>
        <v>3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9</v>
      </c>
      <c r="F583">
        <f>IF(E583="","",SUMIFS(RaceResults!$C:$C,RaceResults!$A:$A,A583,RaceResults!$D:$D,E583))</f>
        <v>13</v>
      </c>
      <c r="G583">
        <f>IF(E583="","",SUMIFS(RaceResults!$E:$E,RaceResults!$A:$A,A583,RaceResults!$D:$D,E583))</f>
        <v>24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22</v>
      </c>
      <c r="F584">
        <f>IF(E584="","",SUMIFS(RaceResults!$C:$C,RaceResults!$A:$A,A584,RaceResults!$D:$D,E584))</f>
        <v>9</v>
      </c>
      <c r="G584">
        <f>IF(E584="","",SUMIFS(RaceResults!$E:$E,RaceResults!$A:$A,A584,RaceResults!$D:$D,E584))</f>
        <v>28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7</v>
      </c>
      <c r="F585">
        <f>IF(E585="","",SUMIFS(RaceResults!$C:$C,RaceResults!$A:$A,A585,RaceResults!$D:$D,E585))</f>
        <v>21</v>
      </c>
      <c r="G585">
        <f>IF(E585="","",SUMIFS(RaceResults!$E:$E,RaceResults!$A:$A,A585,RaceResults!$D:$D,E585))</f>
        <v>16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12</v>
      </c>
      <c r="F586">
        <f>IF(E586="","",SUMIFS(RaceResults!$C:$C,RaceResults!$A:$A,A586,RaceResults!$D:$D,E586))</f>
        <v>1</v>
      </c>
      <c r="G586">
        <f>IF(E586="","",SUMIFS(RaceResults!$E:$E,RaceResults!$A:$A,A586,RaceResults!$D:$D,E586))</f>
        <v>55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12</v>
      </c>
      <c r="F587">
        <f>IF(E587="","",SUMIFS(RaceResults!$C:$C,RaceResults!$A:$A,A587,RaceResults!$D:$D,E587))</f>
        <v>1</v>
      </c>
      <c r="G587">
        <f>IF(E587="","",SUMIFS(RaceResults!$E:$E,RaceResults!$A:$A,A587,RaceResults!$D:$D,E587))</f>
        <v>55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11</v>
      </c>
      <c r="F588">
        <f>IF(E588="","",SUMIFS(RaceResults!$C:$C,RaceResults!$A:$A,A588,RaceResults!$D:$D,E588))</f>
        <v>12</v>
      </c>
      <c r="G588">
        <f>IF(E588="","",SUMIFS(RaceResults!$E:$E,RaceResults!$A:$A,A588,RaceResults!$D:$D,E588))</f>
        <v>25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20</v>
      </c>
      <c r="F589">
        <f>IF(E589="","",SUMIFS(RaceResults!$C:$C,RaceResults!$A:$A,A589,RaceResults!$D:$D,E589))</f>
        <v>2</v>
      </c>
      <c r="G589">
        <f>IF(E589="","",SUMIFS(RaceResults!$E:$E,RaceResults!$A:$A,A589,RaceResults!$D:$D,E589))</f>
        <v>35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24</v>
      </c>
      <c r="F596">
        <f>IF(E596="","",SUMIFS(RaceResults!$C:$C,RaceResults!$A:$A,A596,RaceResults!$D:$D,E596))</f>
        <v>16</v>
      </c>
      <c r="G596">
        <f>IF(E596="","",SUMIFS(RaceResults!$E:$E,RaceResults!$A:$A,A596,RaceResults!$D:$D,E596))</f>
        <v>21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9</v>
      </c>
      <c r="F597">
        <f>IF(E597="","",SUMIFS(RaceResults!$C:$C,RaceResults!$A:$A,A597,RaceResults!$D:$D,E597))</f>
        <v>13</v>
      </c>
      <c r="G597">
        <f>IF(E597="","",SUMIFS(RaceResults!$E:$E,RaceResults!$A:$A,A597,RaceResults!$D:$D,E597))</f>
        <v>24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12</v>
      </c>
      <c r="F598">
        <f>IF(E598="","",SUMIFS(RaceResults!$C:$C,RaceResults!$A:$A,A598,RaceResults!$D:$D,E598))</f>
        <v>1</v>
      </c>
      <c r="G598">
        <f>IF(E598="","",SUMIFS(RaceResults!$E:$E,RaceResults!$A:$A,A598,RaceResults!$D:$D,E598))</f>
        <v>55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54</v>
      </c>
      <c r="F599">
        <f>IF(E599="","",SUMIFS(RaceResults!$C:$C,RaceResults!$A:$A,A599,RaceResults!$D:$D,E599))</f>
        <v>4</v>
      </c>
      <c r="G599">
        <f>IF(E599="","",SUMIFS(RaceResults!$E:$E,RaceResults!$A:$A,A599,RaceResults!$D:$D,E599))</f>
        <v>33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45</v>
      </c>
      <c r="F600">
        <f>IF(E600="","",SUMIFS(RaceResults!$C:$C,RaceResults!$A:$A,A600,RaceResults!$D:$D,E600))</f>
        <v>8</v>
      </c>
      <c r="G600">
        <f>IF(E600="","",SUMIFS(RaceResults!$E:$E,RaceResults!$A:$A,A600,RaceResults!$D:$D,E600))</f>
        <v>29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5</v>
      </c>
      <c r="F601">
        <f>IF(E601="","",SUMIFS(RaceResults!$C:$C,RaceResults!$A:$A,A601,RaceResults!$D:$D,E601))</f>
        <v>34</v>
      </c>
      <c r="G601">
        <f>IF(E601="","",SUMIFS(RaceResults!$E:$E,RaceResults!$A:$A,A601,RaceResults!$D:$D,E601))</f>
        <v>3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12</v>
      </c>
      <c r="F602">
        <f>IF(E602="","",SUMIFS(RaceResults!$C:$C,RaceResults!$A:$A,A602,RaceResults!$D:$D,E602))</f>
        <v>11</v>
      </c>
      <c r="G602">
        <f>IF(E602="","",SUMIFS(RaceResults!$E:$E,RaceResults!$A:$A,A602,RaceResults!$D:$D,E602))</f>
        <v>26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11</v>
      </c>
      <c r="F603">
        <f>IF(E603="","",SUMIFS(RaceResults!$C:$C,RaceResults!$A:$A,A603,RaceResults!$D:$D,E603))</f>
        <v>2</v>
      </c>
      <c r="G603">
        <f>IF(E603="","",SUMIFS(RaceResults!$E:$E,RaceResults!$A:$A,A603,RaceResults!$D:$D,E603))</f>
        <v>35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97</v>
      </c>
      <c r="F604">
        <f>IF(E604="","",SUMIFS(RaceResults!$C:$C,RaceResults!$A:$A,A604,RaceResults!$D:$D,E604))</f>
        <v>5</v>
      </c>
      <c r="G604">
        <f>IF(E604="","",SUMIFS(RaceResults!$E:$E,RaceResults!$A:$A,A604,RaceResults!$D:$D,E604))</f>
        <v>32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11</v>
      </c>
      <c r="F605">
        <f>IF(E605="","",SUMIFS(RaceResults!$C:$C,RaceResults!$A:$A,A605,RaceResults!$D:$D,E605))</f>
        <v>2</v>
      </c>
      <c r="G605">
        <f>IF(E605="","",SUMIFS(RaceResults!$E:$E,RaceResults!$A:$A,A605,RaceResults!$D:$D,E605))</f>
        <v>35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77</v>
      </c>
      <c r="F606">
        <f>IF(E606="","",SUMIFS(RaceResults!$C:$C,RaceResults!$A:$A,A606,RaceResults!$D:$D,E606))</f>
        <v>13</v>
      </c>
      <c r="G606">
        <f>IF(E606="","",SUMIFS(RaceResults!$E:$E,RaceResults!$A:$A,A606,RaceResults!$D:$D,E606))</f>
        <v>24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45</v>
      </c>
      <c r="F607">
        <f>IF(E607="","",SUMIFS(RaceResults!$C:$C,RaceResults!$A:$A,A607,RaceResults!$D:$D,E607))</f>
        <v>30</v>
      </c>
      <c r="G607">
        <f>IF(E607="","",SUMIFS(RaceResults!$E:$E,RaceResults!$A:$A,A607,RaceResults!$D:$D,E607))</f>
        <v>7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20</v>
      </c>
      <c r="F608">
        <f>IF(E608="","",SUMIFS(RaceResults!$C:$C,RaceResults!$A:$A,A608,RaceResults!$D:$D,E608))</f>
        <v>19</v>
      </c>
      <c r="G608">
        <f>IF(E608="","",SUMIFS(RaceResults!$E:$E,RaceResults!$A:$A,A608,RaceResults!$D:$D,E608))</f>
        <v>18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9</v>
      </c>
      <c r="F609">
        <f>IF(E609="","",SUMIFS(RaceResults!$C:$C,RaceResults!$A:$A,A609,RaceResults!$D:$D,E609))</f>
        <v>17</v>
      </c>
      <c r="G609">
        <f>IF(E609="","",SUMIFS(RaceResults!$E:$E,RaceResults!$A:$A,A609,RaceResults!$D:$D,E609))</f>
        <v>20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24</v>
      </c>
      <c r="F610">
        <f>IF(E610="","",SUMIFS(RaceResults!$C:$C,RaceResults!$A:$A,A610,RaceResults!$D:$D,E610))</f>
        <v>12</v>
      </c>
      <c r="G610">
        <f>IF(E610="","",SUMIFS(RaceResults!$E:$E,RaceResults!$A:$A,A610,RaceResults!$D:$D,E610))</f>
        <v>25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11</v>
      </c>
      <c r="F611">
        <f>IF(E611="","",SUMIFS(RaceResults!$C:$C,RaceResults!$A:$A,A611,RaceResults!$D:$D,E611))</f>
        <v>2</v>
      </c>
      <c r="G611">
        <f>IF(E611="","",SUMIFS(RaceResults!$E:$E,RaceResults!$A:$A,A611,RaceResults!$D:$D,E611))</f>
        <v>35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12</v>
      </c>
      <c r="F612">
        <f>IF(E612="","",SUMIFS(RaceResults!$C:$C,RaceResults!$A:$A,A612,RaceResults!$D:$D,E612))</f>
        <v>11</v>
      </c>
      <c r="G612">
        <f>IF(E612="","",SUMIFS(RaceResults!$E:$E,RaceResults!$A:$A,A612,RaceResults!$D:$D,E612))</f>
        <v>26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20</v>
      </c>
      <c r="F613">
        <f>IF(E613="","",SUMIFS(RaceResults!$C:$C,RaceResults!$A:$A,A613,RaceResults!$D:$D,E613))</f>
        <v>19</v>
      </c>
      <c r="G613">
        <f>IF(E613="","",SUMIFS(RaceResults!$E:$E,RaceResults!$A:$A,A613,RaceResults!$D:$D,E613))</f>
        <v>18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12</v>
      </c>
      <c r="F614">
        <f>IF(E614="","",SUMIFS(RaceResults!$C:$C,RaceResults!$A:$A,A614,RaceResults!$D:$D,E614))</f>
        <v>11</v>
      </c>
      <c r="G614">
        <f>IF(E614="","",SUMIFS(RaceResults!$E:$E,RaceResults!$A:$A,A614,RaceResults!$D:$D,E614))</f>
        <v>26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20</v>
      </c>
      <c r="F615">
        <f>IF(E615="","",SUMIFS(RaceResults!$C:$C,RaceResults!$A:$A,A615,RaceResults!$D:$D,E615))</f>
        <v>19</v>
      </c>
      <c r="G615">
        <f>IF(E615="","",SUMIFS(RaceResults!$E:$E,RaceResults!$A:$A,A615,RaceResults!$D:$D,E615))</f>
        <v>18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22</v>
      </c>
      <c r="F616">
        <f>IF(E616="","",SUMIFS(RaceResults!$C:$C,RaceResults!$A:$A,A616,RaceResults!$D:$D,E616))</f>
        <v>1</v>
      </c>
      <c r="G616">
        <f>IF(E616="","",SUMIFS(RaceResults!$E:$E,RaceResults!$A:$A,A616,RaceResults!$D:$D,E616))</f>
        <v>55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20</v>
      </c>
      <c r="F617">
        <f>IF(E617="","",SUMIFS(RaceResults!$C:$C,RaceResults!$A:$A,A617,RaceResults!$D:$D,E617))</f>
        <v>19</v>
      </c>
      <c r="G617">
        <f>IF(E617="","",SUMIFS(RaceResults!$E:$E,RaceResults!$A:$A,A617,RaceResults!$D:$D,E617))</f>
        <v>18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12</v>
      </c>
      <c r="F618">
        <f>IF(E618="","",SUMIFS(RaceResults!$C:$C,RaceResults!$A:$A,A618,RaceResults!$D:$D,E618))</f>
        <v>11</v>
      </c>
      <c r="G618">
        <f>IF(E618="","",SUMIFS(RaceResults!$E:$E,RaceResults!$A:$A,A618,RaceResults!$D:$D,E618))</f>
        <v>26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54</v>
      </c>
      <c r="F619">
        <f>IF(E619="","",SUMIFS(RaceResults!$C:$C,RaceResults!$A:$A,A619,RaceResults!$D:$D,E619))</f>
        <v>4</v>
      </c>
      <c r="G619">
        <f>IF(E619="","",SUMIFS(RaceResults!$E:$E,RaceResults!$A:$A,A619,RaceResults!$D:$D,E619))</f>
        <v>33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20</v>
      </c>
      <c r="F626">
        <f>IF(E626="","",SUMIFS(RaceResults!$C:$C,RaceResults!$A:$A,A626,RaceResults!$D:$D,E626))</f>
        <v>19</v>
      </c>
      <c r="G626">
        <f>IF(E626="","",SUMIFS(RaceResults!$E:$E,RaceResults!$A:$A,A626,RaceResults!$D:$D,E626))</f>
        <v>18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54</v>
      </c>
      <c r="F627">
        <f>IF(E627="","",SUMIFS(RaceResults!$C:$C,RaceResults!$A:$A,A627,RaceResults!$D:$D,E627))</f>
        <v>4</v>
      </c>
      <c r="G627">
        <f>IF(E627="","",SUMIFS(RaceResults!$E:$E,RaceResults!$A:$A,A627,RaceResults!$D:$D,E627))</f>
        <v>33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12</v>
      </c>
      <c r="F628">
        <f>IF(E628="","",SUMIFS(RaceResults!$C:$C,RaceResults!$A:$A,A628,RaceResults!$D:$D,E628))</f>
        <v>11</v>
      </c>
      <c r="G628">
        <f>IF(E628="","",SUMIFS(RaceResults!$E:$E,RaceResults!$A:$A,A628,RaceResults!$D:$D,E628))</f>
        <v>26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54</v>
      </c>
      <c r="F629">
        <f>IF(E629="","",SUMIFS(RaceResults!$C:$C,RaceResults!$A:$A,A629,RaceResults!$D:$D,E629))</f>
        <v>4</v>
      </c>
      <c r="G629">
        <f>IF(E629="","",SUMIFS(RaceResults!$E:$E,RaceResults!$A:$A,A629,RaceResults!$D:$D,E629))</f>
        <v>33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45</v>
      </c>
      <c r="F630">
        <f>IF(E630="","",SUMIFS(RaceResults!$C:$C,RaceResults!$A:$A,A630,RaceResults!$D:$D,E630))</f>
        <v>30</v>
      </c>
      <c r="G630">
        <f>IF(E630="","",SUMIFS(RaceResults!$E:$E,RaceResults!$A:$A,A630,RaceResults!$D:$D,E630))</f>
        <v>7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11</v>
      </c>
      <c r="F631">
        <f>IF(E631="","",SUMIFS(RaceResults!$C:$C,RaceResults!$A:$A,A631,RaceResults!$D:$D,E631))</f>
        <v>2</v>
      </c>
      <c r="G631">
        <f>IF(E631="","",SUMIFS(RaceResults!$E:$E,RaceResults!$A:$A,A631,RaceResults!$D:$D,E631))</f>
        <v>35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77</v>
      </c>
      <c r="F632">
        <f>IF(E632="","",SUMIFS(RaceResults!$C:$C,RaceResults!$A:$A,A632,RaceResults!$D:$D,E632))</f>
        <v>9</v>
      </c>
      <c r="G632">
        <f>IF(E632="","",SUMIFS(RaceResults!$E:$E,RaceResults!$A:$A,A632,RaceResults!$D:$D,E632))</f>
        <v>28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5</v>
      </c>
      <c r="F633">
        <f>IF(E633="","",SUMIFS(RaceResults!$C:$C,RaceResults!$A:$A,A633,RaceResults!$D:$D,E633))</f>
        <v>39</v>
      </c>
      <c r="G633">
        <f>IF(E633="","",SUMIFS(RaceResults!$E:$E,RaceResults!$A:$A,A633,RaceResults!$D:$D,E633))</f>
        <v>1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45</v>
      </c>
      <c r="F634">
        <f>IF(E634="","",SUMIFS(RaceResults!$C:$C,RaceResults!$A:$A,A634,RaceResults!$D:$D,E634))</f>
        <v>10</v>
      </c>
      <c r="G634">
        <f>IF(E634="","",SUMIFS(RaceResults!$E:$E,RaceResults!$A:$A,A634,RaceResults!$D:$D,E634))</f>
        <v>27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11</v>
      </c>
      <c r="F638">
        <f>IF(E638="","",SUMIFS(RaceResults!$C:$C,RaceResults!$A:$A,A638,RaceResults!$D:$D,E638))</f>
        <v>5</v>
      </c>
      <c r="G638">
        <f>IF(E638="","",SUMIFS(RaceResults!$E:$E,RaceResults!$A:$A,A638,RaceResults!$D:$D,E638))</f>
        <v>32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54</v>
      </c>
      <c r="F639">
        <f>IF(E639="","",SUMIFS(RaceResults!$C:$C,RaceResults!$A:$A,A639,RaceResults!$D:$D,E639))</f>
        <v>12</v>
      </c>
      <c r="G639">
        <f>IF(E639="","",SUMIFS(RaceResults!$E:$E,RaceResults!$A:$A,A639,RaceResults!$D:$D,E639))</f>
        <v>25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19</v>
      </c>
      <c r="F640">
        <f>IF(E640="","",SUMIFS(RaceResults!$C:$C,RaceResults!$A:$A,A640,RaceResults!$D:$D,E640))</f>
        <v>4</v>
      </c>
      <c r="G640">
        <f>IF(E640="","",SUMIFS(RaceResults!$E:$E,RaceResults!$A:$A,A640,RaceResults!$D:$D,E640))</f>
        <v>33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7</v>
      </c>
      <c r="F644">
        <f>IF(E644="","",SUMIFS(RaceResults!$C:$C,RaceResults!$A:$A,A644,RaceResults!$D:$D,E644))</f>
        <v>17</v>
      </c>
      <c r="G644">
        <f>IF(E644="","",SUMIFS(RaceResults!$E:$E,RaceResults!$A:$A,A644,RaceResults!$D:$D,E644))</f>
        <v>20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11</v>
      </c>
      <c r="F645">
        <f>IF(E645="","",SUMIFS(RaceResults!$C:$C,RaceResults!$A:$A,A645,RaceResults!$D:$D,E645))</f>
        <v>5</v>
      </c>
      <c r="G645">
        <f>IF(E645="","",SUMIFS(RaceResults!$E:$E,RaceResults!$A:$A,A645,RaceResults!$D:$D,E645))</f>
        <v>32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12</v>
      </c>
      <c r="F646">
        <f>IF(E646="","",SUMIFS(RaceResults!$C:$C,RaceResults!$A:$A,A646,RaceResults!$D:$D,E646))</f>
        <v>26</v>
      </c>
      <c r="G646">
        <f>IF(E646="","",SUMIFS(RaceResults!$E:$E,RaceResults!$A:$A,A646,RaceResults!$D:$D,E646))</f>
        <v>11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20</v>
      </c>
      <c r="F647">
        <f>IF(E647="","",SUMIFS(RaceResults!$C:$C,RaceResults!$A:$A,A647,RaceResults!$D:$D,E647))</f>
        <v>2</v>
      </c>
      <c r="G647">
        <f>IF(E647="","",SUMIFS(RaceResults!$E:$E,RaceResults!$A:$A,A647,RaceResults!$D:$D,E647))</f>
        <v>35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11</v>
      </c>
      <c r="F648">
        <f>IF(E648="","",SUMIFS(RaceResults!$C:$C,RaceResults!$A:$A,A648,RaceResults!$D:$D,E648))</f>
        <v>5</v>
      </c>
      <c r="G648">
        <f>IF(E648="","",SUMIFS(RaceResults!$E:$E,RaceResults!$A:$A,A648,RaceResults!$D:$D,E648))</f>
        <v>32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45</v>
      </c>
      <c r="F649">
        <f>IF(E649="","",SUMIFS(RaceResults!$C:$C,RaceResults!$A:$A,A649,RaceResults!$D:$D,E649))</f>
        <v>10</v>
      </c>
      <c r="G649">
        <f>IF(E649="","",SUMIFS(RaceResults!$E:$E,RaceResults!$A:$A,A649,RaceResults!$D:$D,E649))</f>
        <v>27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54</v>
      </c>
      <c r="F656">
        <f>IF(E656="","",SUMIFS(RaceResults!$C:$C,RaceResults!$A:$A,A656,RaceResults!$D:$D,E656))</f>
        <v>12</v>
      </c>
      <c r="G656">
        <f>IF(E656="","",SUMIFS(RaceResults!$E:$E,RaceResults!$A:$A,A656,RaceResults!$D:$D,E656))</f>
        <v>25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20</v>
      </c>
      <c r="F657">
        <f>IF(E657="","",SUMIFS(RaceResults!$C:$C,RaceResults!$A:$A,A657,RaceResults!$D:$D,E657))</f>
        <v>2</v>
      </c>
      <c r="G657">
        <f>IF(E657="","",SUMIFS(RaceResults!$E:$E,RaceResults!$A:$A,A657,RaceResults!$D:$D,E657))</f>
        <v>35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11</v>
      </c>
      <c r="F658">
        <f>IF(E658="","",SUMIFS(RaceResults!$C:$C,RaceResults!$A:$A,A658,RaceResults!$D:$D,E658))</f>
        <v>5</v>
      </c>
      <c r="G658">
        <f>IF(E658="","",SUMIFS(RaceResults!$E:$E,RaceResults!$A:$A,A658,RaceResults!$D:$D,E658))</f>
        <v>32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54</v>
      </c>
      <c r="F659">
        <f>IF(E659="","",SUMIFS(RaceResults!$C:$C,RaceResults!$A:$A,A659,RaceResults!$D:$D,E659))</f>
        <v>12</v>
      </c>
      <c r="G659">
        <f>IF(E659="","",SUMIFS(RaceResults!$E:$E,RaceResults!$A:$A,A659,RaceResults!$D:$D,E659))</f>
        <v>25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11</v>
      </c>
      <c r="F660">
        <f>IF(E660="","",SUMIFS(RaceResults!$C:$C,RaceResults!$A:$A,A660,RaceResults!$D:$D,E660))</f>
        <v>5</v>
      </c>
      <c r="G660">
        <f>IF(E660="","",SUMIFS(RaceResults!$E:$E,RaceResults!$A:$A,A660,RaceResults!$D:$D,E660))</f>
        <v>32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45</v>
      </c>
      <c r="F661">
        <f>IF(E661="","",SUMIFS(RaceResults!$C:$C,RaceResults!$A:$A,A661,RaceResults!$D:$D,E661))</f>
        <v>10</v>
      </c>
      <c r="G661">
        <f>IF(E661="","",SUMIFS(RaceResults!$E:$E,RaceResults!$A:$A,A661,RaceResults!$D:$D,E661))</f>
        <v>27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12</v>
      </c>
      <c r="F662">
        <f>IF(E662="","",SUMIFS(RaceResults!$C:$C,RaceResults!$A:$A,A662,RaceResults!$D:$D,E662))</f>
        <v>3</v>
      </c>
      <c r="G662">
        <f>IF(E662="","",SUMIFS(RaceResults!$E:$E,RaceResults!$A:$A,A662,RaceResults!$D:$D,E662))</f>
        <v>34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5</v>
      </c>
      <c r="F663">
        <f>IF(E663="","",SUMIFS(RaceResults!$C:$C,RaceResults!$A:$A,A663,RaceResults!$D:$D,E663))</f>
        <v>33</v>
      </c>
      <c r="G663">
        <f>IF(E663="","",SUMIFS(RaceResults!$E:$E,RaceResults!$A:$A,A663,RaceResults!$D:$D,E663))</f>
        <v>4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45</v>
      </c>
      <c r="F664">
        <f>IF(E664="","",SUMIFS(RaceResults!$C:$C,RaceResults!$A:$A,A664,RaceResults!$D:$D,E664))</f>
        <v>36</v>
      </c>
      <c r="G664">
        <f>IF(E664="","",SUMIFS(RaceResults!$E:$E,RaceResults!$A:$A,A664,RaceResults!$D:$D,E664))</f>
        <v>1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12</v>
      </c>
      <c r="F668">
        <f>IF(E668="","",SUMIFS(RaceResults!$C:$C,RaceResults!$A:$A,A668,RaceResults!$D:$D,E668))</f>
        <v>3</v>
      </c>
      <c r="G668">
        <f>IF(E668="","",SUMIFS(RaceResults!$E:$E,RaceResults!$A:$A,A668,RaceResults!$D:$D,E668))</f>
        <v>34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5</v>
      </c>
      <c r="F669">
        <f>IF(E669="","",SUMIFS(RaceResults!$C:$C,RaceResults!$A:$A,A669,RaceResults!$D:$D,E669))</f>
        <v>33</v>
      </c>
      <c r="G669">
        <f>IF(E669="","",SUMIFS(RaceResults!$E:$E,RaceResults!$A:$A,A669,RaceResults!$D:$D,E669))</f>
        <v>4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54</v>
      </c>
      <c r="F670">
        <f>IF(E670="","",SUMIFS(RaceResults!$C:$C,RaceResults!$A:$A,A670,RaceResults!$D:$D,E670))</f>
        <v>1</v>
      </c>
      <c r="G670">
        <f>IF(E670="","",SUMIFS(RaceResults!$E:$E,RaceResults!$A:$A,A670,RaceResults!$D:$D,E670))</f>
        <v>55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12</v>
      </c>
      <c r="F671">
        <f>IF(E671="","",SUMIFS(RaceResults!$C:$C,RaceResults!$A:$A,A671,RaceResults!$D:$D,E671))</f>
        <v>3</v>
      </c>
      <c r="G671">
        <f>IF(E671="","",SUMIFS(RaceResults!$E:$E,RaceResults!$A:$A,A671,RaceResults!$D:$D,E671))</f>
        <v>34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45</v>
      </c>
      <c r="F672">
        <f>IF(E672="","",SUMIFS(RaceResults!$C:$C,RaceResults!$A:$A,A672,RaceResults!$D:$D,E672))</f>
        <v>36</v>
      </c>
      <c r="G672">
        <f>IF(E672="","",SUMIFS(RaceResults!$E:$E,RaceResults!$A:$A,A672,RaceResults!$D:$D,E672))</f>
        <v>1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54</v>
      </c>
      <c r="F673">
        <f>IF(E673="","",SUMIFS(RaceResults!$C:$C,RaceResults!$A:$A,A673,RaceResults!$D:$D,E673))</f>
        <v>1</v>
      </c>
      <c r="G673">
        <f>IF(E673="","",SUMIFS(RaceResults!$E:$E,RaceResults!$A:$A,A673,RaceResults!$D:$D,E673))</f>
        <v>55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12</v>
      </c>
      <c r="F674">
        <f>IF(E674="","",SUMIFS(RaceResults!$C:$C,RaceResults!$A:$A,A674,RaceResults!$D:$D,E674))</f>
        <v>3</v>
      </c>
      <c r="G674">
        <f>IF(E674="","",SUMIFS(RaceResults!$E:$E,RaceResults!$A:$A,A674,RaceResults!$D:$D,E674))</f>
        <v>34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22</v>
      </c>
      <c r="F675">
        <f>IF(E675="","",SUMIFS(RaceResults!$C:$C,RaceResults!$A:$A,A675,RaceResults!$D:$D,E675))</f>
        <v>14</v>
      </c>
      <c r="G675">
        <f>IF(E675="","",SUMIFS(RaceResults!$E:$E,RaceResults!$A:$A,A675,RaceResults!$D:$D,E675))</f>
        <v>23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2</v>
      </c>
      <c r="F676">
        <f>IF(E676="","",SUMIFS(RaceResults!$C:$C,RaceResults!$A:$A,A676,RaceResults!$D:$D,E676))</f>
        <v>29</v>
      </c>
      <c r="G676">
        <f>IF(E676="","",SUMIFS(RaceResults!$E:$E,RaceResults!$A:$A,A676,RaceResults!$D:$D,E676))</f>
        <v>8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11</v>
      </c>
      <c r="F677">
        <f>IF(E677="","",SUMIFS(RaceResults!$C:$C,RaceResults!$A:$A,A677,RaceResults!$D:$D,E677))</f>
        <v>5</v>
      </c>
      <c r="G677">
        <f>IF(E677="","",SUMIFS(RaceResults!$E:$E,RaceResults!$A:$A,A677,RaceResults!$D:$D,E677))</f>
        <v>32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12</v>
      </c>
      <c r="F678">
        <f>IF(E678="","",SUMIFS(RaceResults!$C:$C,RaceResults!$A:$A,A678,RaceResults!$D:$D,E678))</f>
        <v>3</v>
      </c>
      <c r="G678">
        <f>IF(E678="","",SUMIFS(RaceResults!$E:$E,RaceResults!$A:$A,A678,RaceResults!$D:$D,E678))</f>
        <v>34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20</v>
      </c>
      <c r="F679">
        <f>IF(E679="","",SUMIFS(RaceResults!$C:$C,RaceResults!$A:$A,A679,RaceResults!$D:$D,E679))</f>
        <v>2</v>
      </c>
      <c r="G679">
        <f>IF(E679="","",SUMIFS(RaceResults!$E:$E,RaceResults!$A:$A,A679,RaceResults!$D:$D,E679))</f>
        <v>35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5</v>
      </c>
      <c r="F689">
        <f>IF(E689="","",SUMIFS(RaceResults!$C:$C,RaceResults!$A:$A,A689,RaceResults!$D:$D,E689))</f>
        <v>33</v>
      </c>
      <c r="G689">
        <f>IF(E689="","",SUMIFS(RaceResults!$E:$E,RaceResults!$A:$A,A689,RaceResults!$D:$D,E689))</f>
        <v>4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12</v>
      </c>
      <c r="F690">
        <f>IF(E690="","",SUMIFS(RaceResults!$C:$C,RaceResults!$A:$A,A690,RaceResults!$D:$D,E690))</f>
        <v>3</v>
      </c>
      <c r="G690">
        <f>IF(E690="","",SUMIFS(RaceResults!$E:$E,RaceResults!$A:$A,A690,RaceResults!$D:$D,E690))</f>
        <v>34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54</v>
      </c>
      <c r="F691">
        <f>IF(E691="","",SUMIFS(RaceResults!$C:$C,RaceResults!$A:$A,A691,RaceResults!$D:$D,E691))</f>
        <v>1</v>
      </c>
      <c r="G691">
        <f>IF(E691="","",SUMIFS(RaceResults!$E:$E,RaceResults!$A:$A,A691,RaceResults!$D:$D,E691))</f>
        <v>55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12</v>
      </c>
      <c r="F692">
        <f>IF(E692="","",SUMIFS(RaceResults!$C:$C,RaceResults!$A:$A,A692,RaceResults!$D:$D,E692))</f>
        <v>13</v>
      </c>
      <c r="G692">
        <f>IF(E692="","",SUMIFS(RaceResults!$E:$E,RaceResults!$A:$A,A692,RaceResults!$D:$D,E692))</f>
        <v>24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24</v>
      </c>
      <c r="F693">
        <f>IF(E693="","",SUMIFS(RaceResults!$C:$C,RaceResults!$A:$A,A693,RaceResults!$D:$D,E693))</f>
        <v>9</v>
      </c>
      <c r="G693">
        <f>IF(E693="","",SUMIFS(RaceResults!$E:$E,RaceResults!$A:$A,A693,RaceResults!$D:$D,E693))</f>
        <v>28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11</v>
      </c>
      <c r="F694">
        <f>IF(E694="","",SUMIFS(RaceResults!$C:$C,RaceResults!$A:$A,A694,RaceResults!$D:$D,E694))</f>
        <v>4</v>
      </c>
      <c r="G694">
        <f>IF(E694="","",SUMIFS(RaceResults!$E:$E,RaceResults!$A:$A,A694,RaceResults!$D:$D,E694))</f>
        <v>33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12</v>
      </c>
      <c r="F698">
        <f>IF(E698="","",SUMIFS(RaceResults!$C:$C,RaceResults!$A:$A,A698,RaceResults!$D:$D,E698))</f>
        <v>13</v>
      </c>
      <c r="G698">
        <f>IF(E698="","",SUMIFS(RaceResults!$E:$E,RaceResults!$A:$A,A698,RaceResults!$D:$D,E698))</f>
        <v>24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19</v>
      </c>
      <c r="F699">
        <f>IF(E699="","",SUMIFS(RaceResults!$C:$C,RaceResults!$A:$A,A699,RaceResults!$D:$D,E699))</f>
        <v>2</v>
      </c>
      <c r="G699">
        <f>IF(E699="","",SUMIFS(RaceResults!$E:$E,RaceResults!$A:$A,A699,RaceResults!$D:$D,E699))</f>
        <v>35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20</v>
      </c>
      <c r="F700">
        <f>IF(E700="","",SUMIFS(RaceResults!$C:$C,RaceResults!$A:$A,A700,RaceResults!$D:$D,E700))</f>
        <v>7</v>
      </c>
      <c r="G700">
        <f>IF(E700="","",SUMIFS(RaceResults!$E:$E,RaceResults!$A:$A,A700,RaceResults!$D:$D,E700))</f>
        <v>30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11</v>
      </c>
      <c r="F701">
        <f>IF(E701="","",SUMIFS(RaceResults!$C:$C,RaceResults!$A:$A,A701,RaceResults!$D:$D,E701))</f>
        <v>4</v>
      </c>
      <c r="G701">
        <f>IF(E701="","",SUMIFS(RaceResults!$E:$E,RaceResults!$A:$A,A701,RaceResults!$D:$D,E701))</f>
        <v>33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12</v>
      </c>
      <c r="F702">
        <f>IF(E702="","",SUMIFS(RaceResults!$C:$C,RaceResults!$A:$A,A702,RaceResults!$D:$D,E702))</f>
        <v>13</v>
      </c>
      <c r="G702">
        <f>IF(E702="","",SUMIFS(RaceResults!$E:$E,RaceResults!$A:$A,A702,RaceResults!$D:$D,E702))</f>
        <v>24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22</v>
      </c>
      <c r="F703">
        <f>IF(E703="","",SUMIFS(RaceResults!$C:$C,RaceResults!$A:$A,A703,RaceResults!$D:$D,E703))</f>
        <v>1</v>
      </c>
      <c r="G703">
        <f>IF(E703="","",SUMIFS(RaceResults!$E:$E,RaceResults!$A:$A,A703,RaceResults!$D:$D,E703))</f>
        <v>55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12</v>
      </c>
      <c r="F704">
        <f>IF(E704="","",SUMIFS(RaceResults!$C:$C,RaceResults!$A:$A,A704,RaceResults!$D:$D,E704))</f>
        <v>13</v>
      </c>
      <c r="G704">
        <f>IF(E704="","",SUMIFS(RaceResults!$E:$E,RaceResults!$A:$A,A704,RaceResults!$D:$D,E704))</f>
        <v>24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20</v>
      </c>
      <c r="F705">
        <f>IF(E705="","",SUMIFS(RaceResults!$C:$C,RaceResults!$A:$A,A705,RaceResults!$D:$D,E705))</f>
        <v>7</v>
      </c>
      <c r="G705">
        <f>IF(E705="","",SUMIFS(RaceResults!$E:$E,RaceResults!$A:$A,A705,RaceResults!$D:$D,E705))</f>
        <v>30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22</v>
      </c>
      <c r="F706">
        <f>IF(E706="","",SUMIFS(RaceResults!$C:$C,RaceResults!$A:$A,A706,RaceResults!$D:$D,E706))</f>
        <v>1</v>
      </c>
      <c r="G706">
        <f>IF(E706="","",SUMIFS(RaceResults!$E:$E,RaceResults!$A:$A,A706,RaceResults!$D:$D,E706))</f>
        <v>55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12</v>
      </c>
      <c r="F707">
        <f>IF(E707="","",SUMIFS(RaceResults!$C:$C,RaceResults!$A:$A,A707,RaceResults!$D:$D,E707))</f>
        <v>13</v>
      </c>
      <c r="G707">
        <f>IF(E707="","",SUMIFS(RaceResults!$E:$E,RaceResults!$A:$A,A707,RaceResults!$D:$D,E707))</f>
        <v>24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20</v>
      </c>
      <c r="F708">
        <f>IF(E708="","",SUMIFS(RaceResults!$C:$C,RaceResults!$A:$A,A708,RaceResults!$D:$D,E708))</f>
        <v>7</v>
      </c>
      <c r="G708">
        <f>IF(E708="","",SUMIFS(RaceResults!$E:$E,RaceResults!$A:$A,A708,RaceResults!$D:$D,E708))</f>
        <v>30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22</v>
      </c>
      <c r="F709">
        <f>IF(E709="","",SUMIFS(RaceResults!$C:$C,RaceResults!$A:$A,A709,RaceResults!$D:$D,E709))</f>
        <v>1</v>
      </c>
      <c r="G709">
        <f>IF(E709="","",SUMIFS(RaceResults!$E:$E,RaceResults!$A:$A,A709,RaceResults!$D:$D,E709))</f>
        <v>55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20</v>
      </c>
      <c r="F716">
        <f>IF(E716="","",SUMIFS(RaceResults!$C:$C,RaceResults!$A:$A,A716,RaceResults!$D:$D,E716))</f>
        <v>7</v>
      </c>
      <c r="G716">
        <f>IF(E716="","",SUMIFS(RaceResults!$E:$E,RaceResults!$A:$A,A716,RaceResults!$D:$D,E716))</f>
        <v>30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12</v>
      </c>
      <c r="F717">
        <f>IF(E717="","",SUMIFS(RaceResults!$C:$C,RaceResults!$A:$A,A717,RaceResults!$D:$D,E717))</f>
        <v>13</v>
      </c>
      <c r="G717">
        <f>IF(E717="","",SUMIFS(RaceResults!$E:$E,RaceResults!$A:$A,A717,RaceResults!$D:$D,E717))</f>
        <v>24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54</v>
      </c>
      <c r="F718">
        <f>IF(E718="","",SUMIFS(RaceResults!$C:$C,RaceResults!$A:$A,A718,RaceResults!$D:$D,E718))</f>
        <v>15</v>
      </c>
      <c r="G718">
        <f>IF(E718="","",SUMIFS(RaceResults!$E:$E,RaceResults!$A:$A,A718,RaceResults!$D:$D,E718))</f>
        <v>22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54</v>
      </c>
      <c r="F719">
        <f>IF(E719="","",SUMIFS(RaceResults!$C:$C,RaceResults!$A:$A,A719,RaceResults!$D:$D,E719))</f>
        <v>15</v>
      </c>
      <c r="G719">
        <f>IF(E719="","",SUMIFS(RaceResults!$E:$E,RaceResults!$A:$A,A719,RaceResults!$D:$D,E719))</f>
        <v>22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12</v>
      </c>
      <c r="F720">
        <f>IF(E720="","",SUMIFS(RaceResults!$C:$C,RaceResults!$A:$A,A720,RaceResults!$D:$D,E720))</f>
        <v>13</v>
      </c>
      <c r="G720">
        <f>IF(E720="","",SUMIFS(RaceResults!$E:$E,RaceResults!$A:$A,A720,RaceResults!$D:$D,E720))</f>
        <v>24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24</v>
      </c>
      <c r="F721">
        <f>IF(E721="","",SUMIFS(RaceResults!$C:$C,RaceResults!$A:$A,A721,RaceResults!$D:$D,E721))</f>
        <v>9</v>
      </c>
      <c r="G721">
        <f>IF(E721="","",SUMIFS(RaceResults!$E:$E,RaceResults!$A:$A,A721,RaceResults!$D:$D,E721))</f>
        <v>28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11</v>
      </c>
      <c r="F722">
        <f>IF(E722="","",SUMIFS(RaceResults!$C:$C,RaceResults!$A:$A,A722,RaceResults!$D:$D,E722))</f>
        <v>7</v>
      </c>
      <c r="G722">
        <f>IF(E722="","",SUMIFS(RaceResults!$E:$E,RaceResults!$A:$A,A722,RaceResults!$D:$D,E722))</f>
        <v>30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54</v>
      </c>
      <c r="F723">
        <f>IF(E723="","",SUMIFS(RaceResults!$C:$C,RaceResults!$A:$A,A723,RaceResults!$D:$D,E723))</f>
        <v>6</v>
      </c>
      <c r="G723">
        <f>IF(E723="","",SUMIFS(RaceResults!$E:$E,RaceResults!$A:$A,A723,RaceResults!$D:$D,E723))</f>
        <v>31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5</v>
      </c>
      <c r="F724">
        <f>IF(E724="","",SUMIFS(RaceResults!$C:$C,RaceResults!$A:$A,A724,RaceResults!$D:$D,E724))</f>
        <v>5</v>
      </c>
      <c r="G724">
        <f>IF(E724="","",SUMIFS(RaceResults!$E:$E,RaceResults!$A:$A,A724,RaceResults!$D:$D,E724))</f>
        <v>32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11</v>
      </c>
      <c r="F728">
        <f>IF(E728="","",SUMIFS(RaceResults!$C:$C,RaceResults!$A:$A,A728,RaceResults!$D:$D,E728))</f>
        <v>7</v>
      </c>
      <c r="G728">
        <f>IF(E728="","",SUMIFS(RaceResults!$E:$E,RaceResults!$A:$A,A728,RaceResults!$D:$D,E728))</f>
        <v>30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12</v>
      </c>
      <c r="F729">
        <f>IF(E729="","",SUMIFS(RaceResults!$C:$C,RaceResults!$A:$A,A729,RaceResults!$D:$D,E729))</f>
        <v>1</v>
      </c>
      <c r="G729">
        <f>IF(E729="","",SUMIFS(RaceResults!$E:$E,RaceResults!$A:$A,A729,RaceResults!$D:$D,E729))</f>
        <v>55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20</v>
      </c>
      <c r="F730">
        <f>IF(E730="","",SUMIFS(RaceResults!$C:$C,RaceResults!$A:$A,A730,RaceResults!$D:$D,E730))</f>
        <v>4</v>
      </c>
      <c r="G730">
        <f>IF(E730="","",SUMIFS(RaceResults!$E:$E,RaceResults!$A:$A,A730,RaceResults!$D:$D,E730))</f>
        <v>33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12</v>
      </c>
      <c r="F731">
        <f>IF(E731="","",SUMIFS(RaceResults!$C:$C,RaceResults!$A:$A,A731,RaceResults!$D:$D,E731))</f>
        <v>1</v>
      </c>
      <c r="G731">
        <f>IF(E731="","",SUMIFS(RaceResults!$E:$E,RaceResults!$A:$A,A731,RaceResults!$D:$D,E731))</f>
        <v>55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11</v>
      </c>
      <c r="F732">
        <f>IF(E732="","",SUMIFS(RaceResults!$C:$C,RaceResults!$A:$A,A732,RaceResults!$D:$D,E732))</f>
        <v>7</v>
      </c>
      <c r="G732">
        <f>IF(E732="","",SUMIFS(RaceResults!$E:$E,RaceResults!$A:$A,A732,RaceResults!$D:$D,E732))</f>
        <v>30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22</v>
      </c>
      <c r="F733">
        <f>IF(E733="","",SUMIFS(RaceResults!$C:$C,RaceResults!$A:$A,A733,RaceResults!$D:$D,E733))</f>
        <v>14</v>
      </c>
      <c r="G733">
        <f>IF(E733="","",SUMIFS(RaceResults!$E:$E,RaceResults!$A:$A,A733,RaceResults!$D:$D,E733))</f>
        <v>23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11</v>
      </c>
      <c r="F734">
        <f>IF(E734="","",SUMIFS(RaceResults!$C:$C,RaceResults!$A:$A,A734,RaceResults!$D:$D,E734))</f>
        <v>7</v>
      </c>
      <c r="G734">
        <f>IF(E734="","",SUMIFS(RaceResults!$E:$E,RaceResults!$A:$A,A734,RaceResults!$D:$D,E734))</f>
        <v>30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12</v>
      </c>
      <c r="F735">
        <f>IF(E735="","",SUMIFS(RaceResults!$C:$C,RaceResults!$A:$A,A735,RaceResults!$D:$D,E735))</f>
        <v>1</v>
      </c>
      <c r="G735">
        <f>IF(E735="","",SUMIFS(RaceResults!$E:$E,RaceResults!$A:$A,A735,RaceResults!$D:$D,E735))</f>
        <v>55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20</v>
      </c>
      <c r="F736">
        <f>IF(E736="","",SUMIFS(RaceResults!$C:$C,RaceResults!$A:$A,A736,RaceResults!$D:$D,E736))</f>
        <v>4</v>
      </c>
      <c r="G736">
        <f>IF(E736="","",SUMIFS(RaceResults!$E:$E,RaceResults!$A:$A,A736,RaceResults!$D:$D,E736))</f>
        <v>33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20</v>
      </c>
      <c r="F737">
        <f>IF(E737="","",SUMIFS(RaceResults!$C:$C,RaceResults!$A:$A,A737,RaceResults!$D:$D,E737))</f>
        <v>4</v>
      </c>
      <c r="G737">
        <f>IF(E737="","",SUMIFS(RaceResults!$E:$E,RaceResults!$A:$A,A737,RaceResults!$D:$D,E737))</f>
        <v>33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12</v>
      </c>
      <c r="F738">
        <f>IF(E738="","",SUMIFS(RaceResults!$C:$C,RaceResults!$A:$A,A738,RaceResults!$D:$D,E738))</f>
        <v>1</v>
      </c>
      <c r="G738">
        <f>IF(E738="","",SUMIFS(RaceResults!$E:$E,RaceResults!$A:$A,A738,RaceResults!$D:$D,E738))</f>
        <v>55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11</v>
      </c>
      <c r="F739">
        <f>IF(E739="","",SUMIFS(RaceResults!$C:$C,RaceResults!$A:$A,A739,RaceResults!$D:$D,E739))</f>
        <v>7</v>
      </c>
      <c r="G739">
        <f>IF(E739="","",SUMIFS(RaceResults!$E:$E,RaceResults!$A:$A,A739,RaceResults!$D:$D,E739))</f>
        <v>30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45</v>
      </c>
      <c r="F743">
        <f>IF(E743="","",SUMIFS(RaceResults!$C:$C,RaceResults!$A:$A,A743,RaceResults!$D:$D,E743))</f>
        <v>8</v>
      </c>
      <c r="G743">
        <f>IF(E743="","",SUMIFS(RaceResults!$E:$E,RaceResults!$A:$A,A743,RaceResults!$D:$D,E743))</f>
        <v>29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21</v>
      </c>
      <c r="F744">
        <f>IF(E744="","",SUMIFS(RaceResults!$C:$C,RaceResults!$A:$A,A744,RaceResults!$D:$D,E744))</f>
        <v>3</v>
      </c>
      <c r="G744">
        <f>IF(E744="","",SUMIFS(RaceResults!$E:$E,RaceResults!$A:$A,A744,RaceResults!$D:$D,E744))</f>
        <v>34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12</v>
      </c>
      <c r="F745">
        <f>IF(E745="","",SUMIFS(RaceResults!$C:$C,RaceResults!$A:$A,A745,RaceResults!$D:$D,E745))</f>
        <v>1</v>
      </c>
      <c r="G745">
        <f>IF(E745="","",SUMIFS(RaceResults!$E:$E,RaceResults!$A:$A,A745,RaceResults!$D:$D,E745))</f>
        <v>55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20</v>
      </c>
      <c r="F746">
        <f>IF(E746="","",SUMIFS(RaceResults!$C:$C,RaceResults!$A:$A,A746,RaceResults!$D:$D,E746))</f>
        <v>4</v>
      </c>
      <c r="G746">
        <f>IF(E746="","",SUMIFS(RaceResults!$E:$E,RaceResults!$A:$A,A746,RaceResults!$D:$D,E746))</f>
        <v>33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54</v>
      </c>
      <c r="F747">
        <f>IF(E747="","",SUMIFS(RaceResults!$C:$C,RaceResults!$A:$A,A747,RaceResults!$D:$D,E747))</f>
        <v>6</v>
      </c>
      <c r="G747">
        <f>IF(E747="","",SUMIFS(RaceResults!$E:$E,RaceResults!$A:$A,A747,RaceResults!$D:$D,E747))</f>
        <v>31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12</v>
      </c>
      <c r="F748">
        <f>IF(E748="","",SUMIFS(RaceResults!$C:$C,RaceResults!$A:$A,A748,RaceResults!$D:$D,E748))</f>
        <v>1</v>
      </c>
      <c r="G748">
        <f>IF(E748="","",SUMIFS(RaceResults!$E:$E,RaceResults!$A:$A,A748,RaceResults!$D:$D,E748))</f>
        <v>55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54</v>
      </c>
      <c r="F749">
        <f>IF(E749="","",SUMIFS(RaceResults!$C:$C,RaceResults!$A:$A,A749,RaceResults!$D:$D,E749))</f>
        <v>6</v>
      </c>
      <c r="G749">
        <f>IF(E749="","",SUMIFS(RaceResults!$E:$E,RaceResults!$A:$A,A749,RaceResults!$D:$D,E749))</f>
        <v>31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12</v>
      </c>
      <c r="F750">
        <f>IF(E750="","",SUMIFS(RaceResults!$C:$C,RaceResults!$A:$A,A750,RaceResults!$D:$D,E750))</f>
        <v>1</v>
      </c>
      <c r="G750">
        <f>IF(E750="","",SUMIFS(RaceResults!$E:$E,RaceResults!$A:$A,A750,RaceResults!$D:$D,E750))</f>
        <v>55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24</v>
      </c>
      <c r="F751">
        <f>IF(E751="","",SUMIFS(RaceResults!$C:$C,RaceResults!$A:$A,A751,RaceResults!$D:$D,E751))</f>
        <v>30</v>
      </c>
      <c r="G751">
        <f>IF(E751="","",SUMIFS(RaceResults!$E:$E,RaceResults!$A:$A,A751,RaceResults!$D:$D,E751))</f>
        <v>7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2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1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4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1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5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4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1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1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1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5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1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1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3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2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6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4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2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6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1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4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6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1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4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4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3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2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5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1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7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1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1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4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1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1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1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2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1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1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1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6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1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1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2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1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1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2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7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7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1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2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1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1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1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1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2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3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1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1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6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8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7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1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1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4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1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2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1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4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2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3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1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7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1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1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1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1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1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1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1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4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5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5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1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1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2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3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1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1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1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1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5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1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1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2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3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3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1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1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3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1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6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1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1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2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3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2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7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1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4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3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2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2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1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5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7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4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1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1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1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1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3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55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5</v>
      </c>
      <c r="C2">
        <f>SUMIF(Calc!$E$2:$E$1081,A2,Calc!$G$2:$G$1081)</f>
        <v>33</v>
      </c>
      <c r="D2">
        <f>IF(B2=0,"",AVERAGEIF(Calc!$E$2:$E$1081,A2,Calc!$F$2:$F$1081))</f>
        <v>30.4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6</v>
      </c>
      <c r="C3">
        <f>SUMIF(Calc!$E$2:$E$1081,A3,Calc!$G$2:$G$1081)</f>
        <v>91</v>
      </c>
      <c r="D3">
        <f>IF(B3=0,"",AVERAGEIF(Calc!$E$2:$E$1081,A3,Calc!$F$2:$F$1081))</f>
        <v>22.166666666666668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76</v>
      </c>
      <c r="C6">
        <f>SUMIF(Calc!$E$2:$E$1081,A6,Calc!$G$2:$G$1081)</f>
        <v>1531</v>
      </c>
      <c r="D6">
        <f>IF(B6=0,"",AVERAGEIF(Calc!$E$2:$E$1081,A6,Calc!$F$2:$F$1081))</f>
        <v>17.210526315789473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9</v>
      </c>
      <c r="C8">
        <f>SUMIF(Calc!$E$2:$E$1081,A8,Calc!$G$2:$G$1081)</f>
        <v>174</v>
      </c>
      <c r="D8">
        <f>IF(B8=0,"",AVERAGEIF(Calc!$E$2:$E$1081,A8,Calc!$F$2:$F$1081))</f>
        <v>17.666666666666668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17</v>
      </c>
      <c r="C10">
        <f>SUMIF(Calc!$E$2:$E$1081,A10,Calc!$G$2:$G$1081)</f>
        <v>508</v>
      </c>
      <c r="D10">
        <f>IF(B10=0,"",AVERAGEIF(Calc!$E$2:$E$1081,A10,Calc!$F$2:$F$1081))</f>
        <v>11.647058823529411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88</v>
      </c>
      <c r="C12">
        <f>SUMIF(Calc!$E$2:$E$1081,A12,Calc!$G$2:$G$1081)</f>
        <v>3287</v>
      </c>
      <c r="D12">
        <f>IF(B12=0,"",AVERAGEIF(Calc!$E$2:$E$1081,A12,Calc!$F$2:$F$1081))</f>
        <v>4.6136363636363633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81</v>
      </c>
      <c r="C13">
        <f>SUMIF(Calc!$E$2:$E$1081,A13,Calc!$G$2:$G$1081)</f>
        <v>2588</v>
      </c>
      <c r="D13">
        <f>IF(B13=0,"",AVERAGEIF(Calc!$E$2:$E$1081,A13,Calc!$F$2:$F$1081))</f>
        <v>9.0864197530864192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7</v>
      </c>
      <c r="C18">
        <f>SUMIF(Calc!$E$2:$E$1081,A18,Calc!$G$2:$G$1081)</f>
        <v>175</v>
      </c>
      <c r="D18">
        <f>IF(B18=0,"",AVERAGEIF(Calc!$E$2:$E$1081,A18,Calc!$F$2:$F$1081))</f>
        <v>12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14</v>
      </c>
      <c r="C20">
        <f>SUMIF(Calc!$E$2:$E$1081,A20,Calc!$G$2:$G$1081)</f>
        <v>257</v>
      </c>
      <c r="D20">
        <f>IF(B20=0,"",AVERAGEIF(Calc!$E$2:$E$1081,A20,Calc!$F$2:$F$1081))</f>
        <v>18.857142857142858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43</v>
      </c>
      <c r="C21">
        <f>SUMIF(Calc!$E$2:$E$1081,A21,Calc!$G$2:$G$1081)</f>
        <v>1032</v>
      </c>
      <c r="D21">
        <f>IF(B21=0,"",AVERAGEIF(Calc!$E$2:$E$1081,A21,Calc!$F$2:$F$1081))</f>
        <v>13.093023255813954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2</v>
      </c>
      <c r="C22">
        <f>SUMIF(Calc!$E$2:$E$1081,A22,Calc!$G$2:$G$1081)</f>
        <v>39</v>
      </c>
      <c r="D22">
        <f>IF(B22=0,"",AVERAGEIF(Calc!$E$2:$E$1081,A22,Calc!$F$2:$F$1081))</f>
        <v>17.5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18</v>
      </c>
      <c r="C23">
        <f>SUMIF(Calc!$E$2:$E$1081,A23,Calc!$G$2:$G$1081)</f>
        <v>375</v>
      </c>
      <c r="D23">
        <f>IF(B23=0,"",AVERAGEIF(Calc!$E$2:$E$1081,A23,Calc!$F$2:$F$1081))</f>
        <v>21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8</v>
      </c>
      <c r="C24">
        <f>SUMIF(Calc!$E$2:$E$1081,A24,Calc!$G$2:$G$1081)</f>
        <v>103</v>
      </c>
      <c r="D24">
        <f>IF(B24=0,"",AVERAGEIF(Calc!$E$2:$E$1081,A24,Calc!$F$2:$F$1081))</f>
        <v>24.125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23</v>
      </c>
      <c r="C25">
        <f>SUMIF(Calc!$E$2:$E$1081,A25,Calc!$G$2:$G$1081)</f>
        <v>512</v>
      </c>
      <c r="D25">
        <f>IF(B25=0,"",AVERAGEIF(Calc!$E$2:$E$1081,A25,Calc!$F$2:$F$1081))</f>
        <v>14.739130434782609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2</v>
      </c>
      <c r="C39">
        <f>SUMIF(Calc!$E$2:$E$1081,A39,Calc!$G$2:$G$1081)</f>
        <v>66</v>
      </c>
      <c r="D39">
        <f>IF(B39=0,"",AVERAGEIF(Calc!$E$2:$E$1081,A39,Calc!$F$2:$F$1081))</f>
        <v>4</v>
      </c>
      <c r="E39" t="e">
        <f ca="1">IF(B39=0,"",_xludf.minifs(Calc!$F$2:$F$1081,Calc!$E$2:$E$1081,A39))</f>
        <v>#NAME?</v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54</v>
      </c>
      <c r="C46">
        <f>SUMIF(Calc!$E$2:$E$1081,A46,Calc!$G$2:$G$1081)</f>
        <v>1480</v>
      </c>
      <c r="D46">
        <f>IF(B46=0,"",AVERAGEIF(Calc!$E$2:$E$1081,A46,Calc!$F$2:$F$1081))</f>
        <v>12.407407407407407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3</v>
      </c>
      <c r="C49">
        <f>SUMIF(Calc!$E$2:$E$1081,A49,Calc!$G$2:$G$1081)</f>
        <v>69</v>
      </c>
      <c r="D49">
        <f>IF(B49=0,"",AVERAGEIF(Calc!$E$2:$E$1081,A49,Calc!$F$2:$F$1081))</f>
        <v>14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38</v>
      </c>
      <c r="C55">
        <f>SUMIF(Calc!$E$2:$E$1081,A55,Calc!$G$2:$G$1081)</f>
        <v>1156</v>
      </c>
      <c r="D55">
        <f>IF(B55=0,"",AVERAGEIF(Calc!$E$2:$E$1081,A55,Calc!$F$2:$F$1081))</f>
        <v>9.5789473684210531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1</v>
      </c>
      <c r="C72">
        <f>SUMIF(Calc!$E$2:$E$1081,A72,Calc!$G$2:$G$1081)</f>
        <v>28</v>
      </c>
      <c r="D72">
        <f>IF(B72=0,"",AVERAGEIF(Calc!$E$2:$E$1081,A72,Calc!$F$2:$F$1081))</f>
        <v>9</v>
      </c>
      <c r="E72" t="e">
        <f ca="1">IF(B72=0,"",_xludf.minifs(Calc!$F$2:$F$1081,Calc!$E$2:$E$1081,A72))</f>
        <v>#NAME?</v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10</v>
      </c>
      <c r="C78">
        <f>SUMIF(Calc!$E$2:$E$1081,A78,Calc!$G$2:$G$1081)</f>
        <v>274</v>
      </c>
      <c r="D78">
        <f>IF(B78=0,"",AVERAGEIF(Calc!$E$2:$E$1081,A78,Calc!$F$2:$F$1081))</f>
        <v>9.6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3</v>
      </c>
      <c r="C89">
        <f>SUMIF(Calc!$E$2:$E$1081,A89,Calc!$G$2:$G$1081)</f>
        <v>30</v>
      </c>
      <c r="D89">
        <f>IF(B89=0,"",AVERAGEIF(Calc!$E$2:$E$1081,A89,Calc!$F$2:$F$1081))</f>
        <v>2.3333333333333335</v>
      </c>
      <c r="E89" t="e">
        <f ca="1">IF(B89=0,"",_xludf.minifs(Calc!$F$2:$F$1081,Calc!$E$2:$E$1081,A89))</f>
        <v>#NAME?</v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24</v>
      </c>
      <c r="C98">
        <f>SUMIF(Calc!$E$2:$E$1081,A98,Calc!$G$2:$G$1081)</f>
        <v>821</v>
      </c>
      <c r="D98">
        <f>IF(B98=0,"",AVERAGEIF(Calc!$E$2:$E$1081,A98,Calc!$F$2:$F$1081))</f>
        <v>12.583333333333334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43" zoomScaleNormal="100" workbookViewId="0">
      <selection activeCell="A10" sqref="A10:F1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160</v>
      </c>
      <c r="B1" s="19"/>
      <c r="C1" s="19"/>
      <c r="D1" s="19"/>
      <c r="E1" s="19"/>
      <c r="F1" s="19"/>
      <c r="G1" s="19"/>
      <c r="I1" s="20" t="s">
        <v>142</v>
      </c>
      <c r="J1" s="20"/>
      <c r="K1" s="20"/>
      <c r="L1" s="20"/>
    </row>
    <row r="3" spans="1:12" ht="14.4" x14ac:dyDescent="0.3">
      <c r="A3" s="6" t="s">
        <v>143</v>
      </c>
      <c r="B3" s="6" t="s">
        <v>117</v>
      </c>
      <c r="C3" s="6" t="s">
        <v>144</v>
      </c>
      <c r="D3" s="6" t="s">
        <v>145</v>
      </c>
      <c r="E3" s="6" t="s">
        <v>146</v>
      </c>
      <c r="F3" s="6" t="s">
        <v>147</v>
      </c>
      <c r="G3" s="6" t="s">
        <v>148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SUMIF(WeeklyPicks!$C:$C,B4,WeeklyPicks!$O:$O)</f>
        <v>1912</v>
      </c>
      <c r="D4">
        <f>COUNTIF(RaceSummary!$C:$C,B4)</f>
        <v>4</v>
      </c>
      <c r="E4">
        <f>IF(COUNTIF(WeeklyPicks!$C:$C,B4)=0,"",AVERAGEIF(WeeklyPicks!$C:$C,B4,WeeklyPicks!$O:$O))</f>
        <v>53.111111111111114</v>
      </c>
      <c r="F4" t="e">
        <f ca="1">_xludf.maxifs(WeeklyPicks!$O:$O,WeeklyPicks!$C:$C,B4)</f>
        <v>#NAME?</v>
      </c>
      <c r="G4">
        <f>SUMIFS(WeeklyPicks!$O:$O,WeeklyPicks!$A:$A,Setup!$B$2,WeeklyPicks!$C:$C,B4)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6</v>
      </c>
      <c r="B5" t="s">
        <v>22</v>
      </c>
      <c r="C5">
        <f>SUMIF(WeeklyPicks!$C:$C,B5,WeeklyPicks!$O:$O)</f>
        <v>1594</v>
      </c>
      <c r="D5">
        <f>COUNTIF(RaceSummary!$C:$C,B5)</f>
        <v>5</v>
      </c>
      <c r="E5">
        <f>IF(COUNTIF(WeeklyPicks!$C:$C,B5)=0,"",AVERAGEIF(WeeklyPicks!$C:$C,B5,WeeklyPicks!$O:$O))</f>
        <v>44.277777777777779</v>
      </c>
      <c r="F5" t="e">
        <f ca="1">_xludf.maxifs(WeeklyPicks!$O:$O,WeeklyPicks!$C:$C,B5)</f>
        <v>#NAME?</v>
      </c>
      <c r="G5">
        <f>SUMIFS(WeeklyPicks!$O:$O,WeeklyPicks!$A:$A,Setup!$B$2,WeeklyPicks!$C:$C,B5)</f>
        <v>111</v>
      </c>
      <c r="I5" s="1" t="s">
        <v>149</v>
      </c>
      <c r="J5" t="str">
        <f>INDEX(RaceSummary!$C$2:$C$37,Setup!$B$2)</f>
        <v>Joe</v>
      </c>
    </row>
    <row r="6" spans="1:12" ht="14.4" x14ac:dyDescent="0.3">
      <c r="A6">
        <f t="shared" si="0"/>
        <v>3</v>
      </c>
      <c r="B6" t="s">
        <v>25</v>
      </c>
      <c r="C6">
        <f>SUMIF(WeeklyPicks!$C:$C,B6,WeeklyPicks!$O:$O)</f>
        <v>1883</v>
      </c>
      <c r="D6">
        <f>COUNTIF(RaceSummary!$C:$C,B6)</f>
        <v>1</v>
      </c>
      <c r="E6">
        <f>IF(COUNTIF(WeeklyPicks!$C:$C,B6)=0,"",AVERAGEIF(WeeklyPicks!$C:$C,B6,WeeklyPicks!$O:$O))</f>
        <v>52.305555555555557</v>
      </c>
      <c r="F6" t="e">
        <f ca="1">_xludf.maxifs(WeeklyPicks!$O:$O,WeeklyPicks!$C:$C,B6)</f>
        <v>#NAME?</v>
      </c>
      <c r="G6">
        <f>SUMIFS(WeeklyPicks!$O:$O,WeeklyPicks!$A:$A,Setup!$B$2,WeeklyPicks!$C:$C,B6)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SUMIF(WeeklyPicks!$C:$C,B7,WeeklyPicks!$O:$O)</f>
        <v>1981</v>
      </c>
      <c r="D7">
        <f>COUNTIF(RaceSummary!$C:$C,B7)</f>
        <v>3</v>
      </c>
      <c r="E7">
        <f>IF(COUNTIF(WeeklyPicks!$C:$C,B7)=0,"",AVERAGEIF(WeeklyPicks!$C:$C,B7,WeeklyPicks!$O:$O))</f>
        <v>55.027777777777779</v>
      </c>
      <c r="F7" t="e">
        <f ca="1">_xludf.maxifs(WeeklyPicks!$O:$O,WeeklyPicks!$C:$C,B7)</f>
        <v>#NAME?</v>
      </c>
      <c r="G7">
        <f>SUMIFS(WeeklyPicks!$O:$O,WeeklyPicks!$A:$A,Setup!$B$2,WeeklyPicks!$C:$C,B7)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SUMIF(WeeklyPicks!$C:$C,B8,WeeklyPicks!$O:$O)</f>
        <v>1708</v>
      </c>
      <c r="D8">
        <f>COUNTIF(RaceSummary!$C:$C,B8)</f>
        <v>3</v>
      </c>
      <c r="E8">
        <f>IF(COUNTIF(WeeklyPicks!$C:$C,B8)=0,"",AVERAGEIF(WeeklyPicks!$C:$C,B8,WeeklyPicks!$O:$O))</f>
        <v>47.444444444444443</v>
      </c>
      <c r="F8" t="e">
        <f ca="1">_xludf.maxifs(WeeklyPicks!$O:$O,WeeklyPicks!$C:$C,B8)</f>
        <v>#NAME?</v>
      </c>
      <c r="G8">
        <f>SUMIFS(WeeklyPicks!$O:$O,WeeklyPicks!$A:$A,Setup!$B$2,WeeklyPicks!$C:$C,B8)</f>
        <v>118</v>
      </c>
      <c r="I8" s="1" t="s">
        <v>150</v>
      </c>
      <c r="J8">
        <f>INDEX(RaceSummary!$G$2:$G$37,Setup!$B$2)</f>
        <v>12</v>
      </c>
    </row>
    <row r="9" spans="1:12" ht="14.4" x14ac:dyDescent="0.3">
      <c r="A9">
        <f t="shared" si="0"/>
        <v>3</v>
      </c>
      <c r="B9" t="s">
        <v>28</v>
      </c>
      <c r="C9">
        <f>SUMIF(WeeklyPicks!$C:$C,B9,WeeklyPicks!$O:$O)</f>
        <v>1883</v>
      </c>
      <c r="D9">
        <f>COUNTIF(RaceSummary!$C:$C,B9)</f>
        <v>5</v>
      </c>
      <c r="E9">
        <f>IF(COUNTIF(WeeklyPicks!$C:$C,B9)=0,"",AVERAGEIF(WeeklyPicks!$C:$C,B9,WeeklyPicks!$O:$O))</f>
        <v>52.305555555555557</v>
      </c>
      <c r="F9" t="e">
        <f ca="1">_xludf.maxifs(WeeklyPicks!$O:$O,WeeklyPicks!$C:$C,B9)</f>
        <v>#NAME?</v>
      </c>
      <c r="G9">
        <f>SUMIFS(WeeklyPicks!$O:$O,WeeklyPicks!$A:$A,Setup!$B$2,WeeklyPicks!$C:$C,B9)</f>
        <v>112</v>
      </c>
    </row>
    <row r="10" spans="1:12" ht="14.4" x14ac:dyDescent="0.3">
      <c r="A10" s="21"/>
      <c r="B10" s="21" t="s">
        <v>29</v>
      </c>
      <c r="C10" s="21">
        <f>SUMIF(WeeklyPicks!$C:$C,B10,WeeklyPicks!$O:$O)</f>
        <v>496</v>
      </c>
      <c r="D10" s="21">
        <f>COUNTIF(RaceSummary!$C:$C,B10)</f>
        <v>0</v>
      </c>
      <c r="E10" s="21">
        <f>IF(COUNTIF(WeeklyPicks!$C:$C,B10)=0,"",AVERAGEIF(WeeklyPicks!$C:$C,B10,WeeklyPicks!$O:$O))</f>
        <v>13.777777777777779</v>
      </c>
      <c r="F10" s="21" t="e">
        <f ca="1">_xludf.maxifs(WeeklyPicks!$O:$O,WeeklyPicks!$C:$C,B10)</f>
        <v>#NAME?</v>
      </c>
      <c r="G10">
        <f>SUMIFS(WeeklyPicks!$O:$O,WeeklyPicks!$A:$A,Setup!$B$2,WeeklyPicks!$C:$C,B10)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SUMIF(WeeklyPicks!$C:$C,B11,WeeklyPicks!$O:$O)</f>
        <v>0</v>
      </c>
      <c r="D11">
        <f>COUNTIF(RaceSummary!$C:$C,B11)</f>
        <v>0</v>
      </c>
      <c r="E11">
        <f>IF(COUNTIF(WeeklyPicks!$C:$C,B11)=0,"",AVERAGEIF(WeeklyPicks!$C:$C,B11,WeeklyPicks!$O:$O))</f>
        <v>0</v>
      </c>
      <c r="F11" t="e">
        <f ca="1">_xludf.maxifs(WeeklyPicks!$O:$O,WeeklyPicks!$C:$C,B11)</f>
        <v>#NAME?</v>
      </c>
      <c r="G11">
        <f>SUMIFS(WeeklyPicks!$O:$O,WeeklyPicks!$A:$A,Setup!$B$2,WeeklyPicks!$C:$C,B11)</f>
        <v>0</v>
      </c>
    </row>
    <row r="12" spans="1:12" ht="14.4" x14ac:dyDescent="0.3">
      <c r="A12">
        <f t="shared" si="0"/>
        <v>7</v>
      </c>
      <c r="B12" t="s">
        <v>31</v>
      </c>
      <c r="C12">
        <f>SUMIF(WeeklyPicks!$C:$C,B12,WeeklyPicks!$O:$O)</f>
        <v>1560</v>
      </c>
      <c r="D12">
        <f>COUNTIF(RaceSummary!$C:$C,B12)</f>
        <v>1</v>
      </c>
      <c r="E12">
        <f>IF(COUNTIF(WeeklyPicks!$C:$C,B12)=0,"",AVERAGEIF(WeeklyPicks!$C:$C,B12,WeeklyPicks!$O:$O))</f>
        <v>43.333333333333336</v>
      </c>
      <c r="F12" t="e">
        <f ca="1">_xludf.maxifs(WeeklyPicks!$O:$O,WeeklyPicks!$C:$C,B12)</f>
        <v>#NAME?</v>
      </c>
      <c r="G12">
        <f>SUMIFS(WeeklyPicks!$O:$O,WeeklyPicks!$A:$A,Setup!$B$2,WeeklyPicks!$C:$C,B12)</f>
        <v>0</v>
      </c>
    </row>
    <row r="13" spans="1:12" ht="14.4" x14ac:dyDescent="0.3">
      <c r="A13">
        <f t="shared" si="0"/>
        <v>8</v>
      </c>
      <c r="B13" t="s">
        <v>32</v>
      </c>
      <c r="C13">
        <f>SUMIF(WeeklyPicks!$C:$C,B13,WeeklyPicks!$O:$O)</f>
        <v>1517</v>
      </c>
      <c r="D13">
        <f>COUNTIF(RaceSummary!$C:$C,B13)</f>
        <v>1</v>
      </c>
      <c r="E13">
        <f>IF(COUNTIF(WeeklyPicks!$C:$C,B13)=0,"",AVERAGEIF(WeeklyPicks!$C:$C,B13,WeeklyPicks!$O:$O))</f>
        <v>42.138888888888886</v>
      </c>
      <c r="F13" t="e">
        <f ca="1">_xludf.maxifs(WeeklyPicks!$O:$O,WeeklyPicks!$C:$C,B13)</f>
        <v>#NAME?</v>
      </c>
      <c r="G13">
        <f>SUMIFS(WeeklyPicks!$O:$O,WeeklyPicks!$A:$A,Setup!$B$2,WeeklyPicks!$C:$C,B13)</f>
        <v>82</v>
      </c>
    </row>
    <row r="15" spans="1:12" ht="17.399999999999999" x14ac:dyDescent="0.35">
      <c r="A15" s="12" t="s">
        <v>151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SUMIFS(WeeklyPicks!$O:$O,WeeklyPicks!$A:$A,"&lt;="&amp;$A17,WeeklyPicks!$C:$C,C$16)</f>
        <v>0</v>
      </c>
      <c r="D17">
        <f>SUMIFS(WeeklyPicks!$O:$O,WeeklyPicks!$A:$A,"&lt;="&amp;$A17,WeeklyPicks!$C:$C,D$16)</f>
        <v>0</v>
      </c>
      <c r="E17">
        <f>SUMIFS(WeeklyPicks!$O:$O,WeeklyPicks!$A:$A,"&lt;="&amp;$A17,WeeklyPicks!$C:$C,E$16)</f>
        <v>0</v>
      </c>
      <c r="F17">
        <f>SUMIFS(WeeklyPicks!$O:$O,WeeklyPicks!$A:$A,"&lt;="&amp;$A17,WeeklyPicks!$C:$C,F$16)</f>
        <v>0</v>
      </c>
      <c r="G17">
        <f>SUMIFS(WeeklyPicks!$O:$O,WeeklyPicks!$A:$A,"&lt;="&amp;$A17,WeeklyPicks!$C:$C,G$16)</f>
        <v>0</v>
      </c>
      <c r="H17">
        <f>SUMIFS(WeeklyPicks!$O:$O,WeeklyPicks!$A:$A,"&lt;="&amp;$A17,WeeklyPicks!$C:$C,H$16)</f>
        <v>0</v>
      </c>
      <c r="I17">
        <f>SUMIFS(WeeklyPicks!$O:$O,WeeklyPicks!$A:$A,"&lt;="&amp;$A17,WeeklyPicks!$C:$C,I$16)</f>
        <v>0</v>
      </c>
      <c r="J17">
        <f>SUMIFS(WeeklyPicks!$O:$O,WeeklyPicks!$A:$A,"&lt;="&amp;$A17,WeeklyPicks!$C:$C,J$16)</f>
        <v>0</v>
      </c>
      <c r="K17">
        <f>SUMIFS(WeeklyPicks!$O:$O,WeeklyPicks!$A:$A,"&lt;="&amp;$A17,WeeklyPicks!$C:$C,K$16)</f>
        <v>0</v>
      </c>
      <c r="L17">
        <f>SUMIFS(WeeklyPicks!$O:$O,WeeklyPicks!$A:$A,"&lt;="&amp;$A17,WeeklyPicks!$C:$C,L$16)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SUMIFS(WeeklyPicks!$O:$O,WeeklyPicks!$A:$A,"&lt;="&amp;$A18,WeeklyPicks!$C:$C,C$16)</f>
        <v>0</v>
      </c>
      <c r="D18">
        <f>SUMIFS(WeeklyPicks!$O:$O,WeeklyPicks!$A:$A,"&lt;="&amp;$A18,WeeklyPicks!$C:$C,D$16)</f>
        <v>0</v>
      </c>
      <c r="E18">
        <f>SUMIFS(WeeklyPicks!$O:$O,WeeklyPicks!$A:$A,"&lt;="&amp;$A18,WeeklyPicks!$C:$C,E$16)</f>
        <v>0</v>
      </c>
      <c r="F18">
        <f>SUMIFS(WeeklyPicks!$O:$O,WeeklyPicks!$A:$A,"&lt;="&amp;$A18,WeeklyPicks!$C:$C,F$16)</f>
        <v>0</v>
      </c>
      <c r="G18">
        <f>SUMIFS(WeeklyPicks!$O:$O,WeeklyPicks!$A:$A,"&lt;="&amp;$A18,WeeklyPicks!$C:$C,G$16)</f>
        <v>0</v>
      </c>
      <c r="H18">
        <f>SUMIFS(WeeklyPicks!$O:$O,WeeklyPicks!$A:$A,"&lt;="&amp;$A18,WeeklyPicks!$C:$C,H$16)</f>
        <v>0</v>
      </c>
      <c r="I18">
        <f>SUMIFS(WeeklyPicks!$O:$O,WeeklyPicks!$A:$A,"&lt;="&amp;$A18,WeeklyPicks!$C:$C,I$16)</f>
        <v>0</v>
      </c>
      <c r="J18">
        <f>SUMIFS(WeeklyPicks!$O:$O,WeeklyPicks!$A:$A,"&lt;="&amp;$A18,WeeklyPicks!$C:$C,J$16)</f>
        <v>0</v>
      </c>
      <c r="K18">
        <f>SUMIFS(WeeklyPicks!$O:$O,WeeklyPicks!$A:$A,"&lt;="&amp;$A18,WeeklyPicks!$C:$C,K$16)</f>
        <v>0</v>
      </c>
      <c r="L18">
        <f>SUMIFS(WeeklyPicks!$O:$O,WeeklyPicks!$A:$A,"&lt;="&amp;$A18,WeeklyPicks!$C:$C,L$16)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SUMIFS(WeeklyPicks!$O:$O,WeeklyPicks!$A:$A,"&lt;="&amp;$A19,WeeklyPicks!$C:$C,C$16)</f>
        <v>99</v>
      </c>
      <c r="D19">
        <f>SUMIFS(WeeklyPicks!$O:$O,WeeklyPicks!$A:$A,"&lt;="&amp;$A19,WeeklyPicks!$C:$C,D$16)</f>
        <v>111</v>
      </c>
      <c r="E19">
        <f>SUMIFS(WeeklyPicks!$O:$O,WeeklyPicks!$A:$A,"&lt;="&amp;$A19,WeeklyPicks!$C:$C,E$16)</f>
        <v>59</v>
      </c>
      <c r="F19">
        <f>SUMIFS(WeeklyPicks!$O:$O,WeeklyPicks!$A:$A,"&lt;="&amp;$A19,WeeklyPicks!$C:$C,F$16)</f>
        <v>63</v>
      </c>
      <c r="G19">
        <f>SUMIFS(WeeklyPicks!$O:$O,WeeklyPicks!$A:$A,"&lt;="&amp;$A19,WeeklyPicks!$C:$C,G$16)</f>
        <v>0</v>
      </c>
      <c r="H19">
        <f>SUMIFS(WeeklyPicks!$O:$O,WeeklyPicks!$A:$A,"&lt;="&amp;$A19,WeeklyPicks!$C:$C,H$16)</f>
        <v>0</v>
      </c>
      <c r="I19">
        <f>SUMIFS(WeeklyPicks!$O:$O,WeeklyPicks!$A:$A,"&lt;="&amp;$A19,WeeklyPicks!$C:$C,I$16)</f>
        <v>0</v>
      </c>
      <c r="J19">
        <f>SUMIFS(WeeklyPicks!$O:$O,WeeklyPicks!$A:$A,"&lt;="&amp;$A19,WeeklyPicks!$C:$C,J$16)</f>
        <v>0</v>
      </c>
      <c r="K19">
        <f>SUMIFS(WeeklyPicks!$O:$O,WeeklyPicks!$A:$A,"&lt;="&amp;$A19,WeeklyPicks!$C:$C,K$16)</f>
        <v>0</v>
      </c>
      <c r="L19">
        <f>SUMIFS(WeeklyPicks!$O:$O,WeeklyPicks!$A:$A,"&lt;="&amp;$A19,WeeklyPicks!$C:$C,L$16)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SUMIFS(WeeklyPicks!$O:$O,WeeklyPicks!$A:$A,"&lt;="&amp;$A20,WeeklyPicks!$C:$C,C$16)</f>
        <v>194</v>
      </c>
      <c r="D20">
        <f>SUMIFS(WeeklyPicks!$O:$O,WeeklyPicks!$A:$A,"&lt;="&amp;$A20,WeeklyPicks!$C:$C,D$16)</f>
        <v>182</v>
      </c>
      <c r="E20">
        <f>SUMIFS(WeeklyPicks!$O:$O,WeeklyPicks!$A:$A,"&lt;="&amp;$A20,WeeklyPicks!$C:$C,E$16)</f>
        <v>100</v>
      </c>
      <c r="F20">
        <f>SUMIFS(WeeklyPicks!$O:$O,WeeklyPicks!$A:$A,"&lt;="&amp;$A20,WeeklyPicks!$C:$C,F$16)</f>
        <v>155</v>
      </c>
      <c r="G20">
        <f>SUMIFS(WeeklyPicks!$O:$O,WeeklyPicks!$A:$A,"&lt;="&amp;$A20,WeeklyPicks!$C:$C,G$16)</f>
        <v>85</v>
      </c>
      <c r="H20">
        <f>SUMIFS(WeeklyPicks!$O:$O,WeeklyPicks!$A:$A,"&lt;="&amp;$A20,WeeklyPicks!$C:$C,H$16)</f>
        <v>0</v>
      </c>
      <c r="I20">
        <f>SUMIFS(WeeklyPicks!$O:$O,WeeklyPicks!$A:$A,"&lt;="&amp;$A20,WeeklyPicks!$C:$C,I$16)</f>
        <v>0</v>
      </c>
      <c r="J20">
        <f>SUMIFS(WeeklyPicks!$O:$O,WeeklyPicks!$A:$A,"&lt;="&amp;$A20,WeeklyPicks!$C:$C,J$16)</f>
        <v>0</v>
      </c>
      <c r="K20">
        <f>SUMIFS(WeeklyPicks!$O:$O,WeeklyPicks!$A:$A,"&lt;="&amp;$A20,WeeklyPicks!$C:$C,K$16)</f>
        <v>0</v>
      </c>
      <c r="L20">
        <f>SUMIFS(WeeklyPicks!$O:$O,WeeklyPicks!$A:$A,"&lt;="&amp;$A20,WeeklyPicks!$C:$C,L$16)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SUMIFS(WeeklyPicks!$O:$O,WeeklyPicks!$A:$A,"&lt;="&amp;$A21,WeeklyPicks!$C:$C,C$16)</f>
        <v>276</v>
      </c>
      <c r="D21">
        <f>SUMIFS(WeeklyPicks!$O:$O,WeeklyPicks!$A:$A,"&lt;="&amp;$A21,WeeklyPicks!$C:$C,D$16)</f>
        <v>293</v>
      </c>
      <c r="E21">
        <f>SUMIFS(WeeklyPicks!$O:$O,WeeklyPicks!$A:$A,"&lt;="&amp;$A21,WeeklyPicks!$C:$C,E$16)</f>
        <v>195</v>
      </c>
      <c r="F21">
        <f>SUMIFS(WeeklyPicks!$O:$O,WeeklyPicks!$A:$A,"&lt;="&amp;$A21,WeeklyPicks!$C:$C,F$16)</f>
        <v>261</v>
      </c>
      <c r="G21">
        <f>SUMIFS(WeeklyPicks!$O:$O,WeeklyPicks!$A:$A,"&lt;="&amp;$A21,WeeklyPicks!$C:$C,G$16)</f>
        <v>203</v>
      </c>
      <c r="H21">
        <f>SUMIFS(WeeklyPicks!$O:$O,WeeklyPicks!$A:$A,"&lt;="&amp;$A21,WeeklyPicks!$C:$C,H$16)</f>
        <v>112</v>
      </c>
      <c r="I21">
        <f>SUMIFS(WeeklyPicks!$O:$O,WeeklyPicks!$A:$A,"&lt;="&amp;$A21,WeeklyPicks!$C:$C,I$16)</f>
        <v>0</v>
      </c>
      <c r="J21">
        <f>SUMIFS(WeeklyPicks!$O:$O,WeeklyPicks!$A:$A,"&lt;="&amp;$A21,WeeklyPicks!$C:$C,J$16)</f>
        <v>0</v>
      </c>
      <c r="K21">
        <f>SUMIFS(WeeklyPicks!$O:$O,WeeklyPicks!$A:$A,"&lt;="&amp;$A21,WeeklyPicks!$C:$C,K$16)</f>
        <v>0</v>
      </c>
      <c r="L21">
        <f>SUMIFS(WeeklyPicks!$O:$O,WeeklyPicks!$A:$A,"&lt;="&amp;$A21,WeeklyPicks!$C:$C,L$16)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SUMIFS(WeeklyPicks!$O:$O,WeeklyPicks!$A:$A,"&lt;="&amp;$A22,WeeklyPicks!$C:$C,C$16)</f>
        <v>370</v>
      </c>
      <c r="D22">
        <f>SUMIFS(WeeklyPicks!$O:$O,WeeklyPicks!$A:$A,"&lt;="&amp;$A22,WeeklyPicks!$C:$C,D$16)</f>
        <v>328</v>
      </c>
      <c r="E22">
        <f>SUMIFS(WeeklyPicks!$O:$O,WeeklyPicks!$A:$A,"&lt;="&amp;$A22,WeeklyPicks!$C:$C,E$16)</f>
        <v>277</v>
      </c>
      <c r="F22">
        <f>SUMIFS(WeeklyPicks!$O:$O,WeeklyPicks!$A:$A,"&lt;="&amp;$A22,WeeklyPicks!$C:$C,F$16)</f>
        <v>376</v>
      </c>
      <c r="G22">
        <f>SUMIFS(WeeklyPicks!$O:$O,WeeklyPicks!$A:$A,"&lt;="&amp;$A22,WeeklyPicks!$C:$C,G$16)</f>
        <v>263</v>
      </c>
      <c r="H22">
        <f>SUMIFS(WeeklyPicks!$O:$O,WeeklyPicks!$A:$A,"&lt;="&amp;$A22,WeeklyPicks!$C:$C,H$16)</f>
        <v>221</v>
      </c>
      <c r="I22">
        <f>SUMIFS(WeeklyPicks!$O:$O,WeeklyPicks!$A:$A,"&lt;="&amp;$A22,WeeklyPicks!$C:$C,I$16)</f>
        <v>0</v>
      </c>
      <c r="J22">
        <f>SUMIFS(WeeklyPicks!$O:$O,WeeklyPicks!$A:$A,"&lt;="&amp;$A22,WeeklyPicks!$C:$C,J$16)</f>
        <v>0</v>
      </c>
      <c r="K22">
        <f>SUMIFS(WeeklyPicks!$O:$O,WeeklyPicks!$A:$A,"&lt;="&amp;$A22,WeeklyPicks!$C:$C,K$16)</f>
        <v>86</v>
      </c>
      <c r="L22">
        <f>SUMIFS(WeeklyPicks!$O:$O,WeeklyPicks!$A:$A,"&lt;="&amp;$A22,WeeklyPicks!$C:$C,L$16)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SUMIFS(WeeklyPicks!$O:$O,WeeklyPicks!$A:$A,"&lt;="&amp;$A23,WeeklyPicks!$C:$C,C$16)</f>
        <v>453</v>
      </c>
      <c r="D23">
        <f>SUMIFS(WeeklyPicks!$O:$O,WeeklyPicks!$A:$A,"&lt;="&amp;$A23,WeeklyPicks!$C:$C,D$16)</f>
        <v>421</v>
      </c>
      <c r="E23">
        <f>SUMIFS(WeeklyPicks!$O:$O,WeeklyPicks!$A:$A,"&lt;="&amp;$A23,WeeklyPicks!$C:$C,E$16)</f>
        <v>399</v>
      </c>
      <c r="F23">
        <f>SUMIFS(WeeklyPicks!$O:$O,WeeklyPicks!$A:$A,"&lt;="&amp;$A23,WeeklyPicks!$C:$C,F$16)</f>
        <v>468</v>
      </c>
      <c r="G23">
        <f>SUMIFS(WeeklyPicks!$O:$O,WeeklyPicks!$A:$A,"&lt;="&amp;$A23,WeeklyPicks!$C:$C,G$16)</f>
        <v>375</v>
      </c>
      <c r="H23">
        <f>SUMIFS(WeeklyPicks!$O:$O,WeeklyPicks!$A:$A,"&lt;="&amp;$A23,WeeklyPicks!$C:$C,H$16)</f>
        <v>317</v>
      </c>
      <c r="I23">
        <f>SUMIFS(WeeklyPicks!$O:$O,WeeklyPicks!$A:$A,"&lt;="&amp;$A23,WeeklyPicks!$C:$C,I$16)</f>
        <v>115</v>
      </c>
      <c r="J23">
        <f>SUMIFS(WeeklyPicks!$O:$O,WeeklyPicks!$A:$A,"&lt;="&amp;$A23,WeeklyPicks!$C:$C,J$16)</f>
        <v>0</v>
      </c>
      <c r="K23">
        <f>SUMIFS(WeeklyPicks!$O:$O,WeeklyPicks!$A:$A,"&lt;="&amp;$A23,WeeklyPicks!$C:$C,K$16)</f>
        <v>184</v>
      </c>
      <c r="L23">
        <f>SUMIFS(WeeklyPicks!$O:$O,WeeklyPicks!$A:$A,"&lt;="&amp;$A23,WeeklyPicks!$C:$C,L$16)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SUMIFS(WeeklyPicks!$O:$O,WeeklyPicks!$A:$A,"&lt;="&amp;$A24,WeeklyPicks!$C:$C,C$16)</f>
        <v>555</v>
      </c>
      <c r="D24">
        <f>SUMIFS(WeeklyPicks!$O:$O,WeeklyPicks!$A:$A,"&lt;="&amp;$A24,WeeklyPicks!$C:$C,D$16)</f>
        <v>516</v>
      </c>
      <c r="E24">
        <f>SUMIFS(WeeklyPicks!$O:$O,WeeklyPicks!$A:$A,"&lt;="&amp;$A24,WeeklyPicks!$C:$C,E$16)</f>
        <v>513</v>
      </c>
      <c r="F24">
        <f>SUMIFS(WeeklyPicks!$O:$O,WeeklyPicks!$A:$A,"&lt;="&amp;$A24,WeeklyPicks!$C:$C,F$16)</f>
        <v>586</v>
      </c>
      <c r="G24">
        <f>SUMIFS(WeeklyPicks!$O:$O,WeeklyPicks!$A:$A,"&lt;="&amp;$A24,WeeklyPicks!$C:$C,G$16)</f>
        <v>449</v>
      </c>
      <c r="H24">
        <f>SUMIFS(WeeklyPicks!$O:$O,WeeklyPicks!$A:$A,"&lt;="&amp;$A24,WeeklyPicks!$C:$C,H$16)</f>
        <v>395</v>
      </c>
      <c r="I24">
        <f>SUMIFS(WeeklyPicks!$O:$O,WeeklyPicks!$A:$A,"&lt;="&amp;$A24,WeeklyPicks!$C:$C,I$16)</f>
        <v>115</v>
      </c>
      <c r="J24">
        <f>SUMIFS(WeeklyPicks!$O:$O,WeeklyPicks!$A:$A,"&lt;="&amp;$A24,WeeklyPicks!$C:$C,J$16)</f>
        <v>0</v>
      </c>
      <c r="K24">
        <f>SUMIFS(WeeklyPicks!$O:$O,WeeklyPicks!$A:$A,"&lt;="&amp;$A24,WeeklyPicks!$C:$C,K$16)</f>
        <v>281</v>
      </c>
      <c r="L24">
        <f>SUMIFS(WeeklyPicks!$O:$O,WeeklyPicks!$A:$A,"&lt;="&amp;$A24,WeeklyPicks!$C:$C,L$16)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SUMIFS(WeeklyPicks!$O:$O,WeeklyPicks!$A:$A,"&lt;="&amp;$A25,WeeklyPicks!$C:$C,C$16)</f>
        <v>678</v>
      </c>
      <c r="D25">
        <f>SUMIFS(WeeklyPicks!$O:$O,WeeklyPicks!$A:$A,"&lt;="&amp;$A25,WeeklyPicks!$C:$C,D$16)</f>
        <v>639</v>
      </c>
      <c r="E25">
        <f>SUMIFS(WeeklyPicks!$O:$O,WeeklyPicks!$A:$A,"&lt;="&amp;$A25,WeeklyPicks!$C:$C,E$16)</f>
        <v>589</v>
      </c>
      <c r="F25">
        <f>SUMIFS(WeeklyPicks!$O:$O,WeeklyPicks!$A:$A,"&lt;="&amp;$A25,WeeklyPicks!$C:$C,F$16)</f>
        <v>662</v>
      </c>
      <c r="G25">
        <f>SUMIFS(WeeklyPicks!$O:$O,WeeklyPicks!$A:$A,"&lt;="&amp;$A25,WeeklyPicks!$C:$C,G$16)</f>
        <v>534</v>
      </c>
      <c r="H25">
        <f>SUMIFS(WeeklyPicks!$O:$O,WeeklyPicks!$A:$A,"&lt;="&amp;$A25,WeeklyPicks!$C:$C,H$16)</f>
        <v>471</v>
      </c>
      <c r="I25">
        <f>SUMIFS(WeeklyPicks!$O:$O,WeeklyPicks!$A:$A,"&lt;="&amp;$A25,WeeklyPicks!$C:$C,I$16)</f>
        <v>209</v>
      </c>
      <c r="J25">
        <f>SUMIFS(WeeklyPicks!$O:$O,WeeklyPicks!$A:$A,"&lt;="&amp;$A25,WeeklyPicks!$C:$C,J$16)</f>
        <v>0</v>
      </c>
      <c r="K25">
        <f>SUMIFS(WeeklyPicks!$O:$O,WeeklyPicks!$A:$A,"&lt;="&amp;$A25,WeeklyPicks!$C:$C,K$16)</f>
        <v>357</v>
      </c>
      <c r="L25">
        <f>SUMIFS(WeeklyPicks!$O:$O,WeeklyPicks!$A:$A,"&lt;="&amp;$A25,WeeklyPicks!$C:$C,L$16)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SUMIFS(WeeklyPicks!$O:$O,WeeklyPicks!$A:$A,"&lt;="&amp;$A26,WeeklyPicks!$C:$C,C$16)</f>
        <v>703</v>
      </c>
      <c r="D26">
        <f>SUMIFS(WeeklyPicks!$O:$O,WeeklyPicks!$A:$A,"&lt;="&amp;$A26,WeeklyPicks!$C:$C,D$16)</f>
        <v>685</v>
      </c>
      <c r="E26">
        <f>SUMIFS(WeeklyPicks!$O:$O,WeeklyPicks!$A:$A,"&lt;="&amp;$A26,WeeklyPicks!$C:$C,E$16)</f>
        <v>593</v>
      </c>
      <c r="F26">
        <f>SUMIFS(WeeklyPicks!$O:$O,WeeklyPicks!$A:$A,"&lt;="&amp;$A26,WeeklyPicks!$C:$C,F$16)</f>
        <v>687</v>
      </c>
      <c r="G26">
        <f>SUMIFS(WeeklyPicks!$O:$O,WeeklyPicks!$A:$A,"&lt;="&amp;$A26,WeeklyPicks!$C:$C,G$16)</f>
        <v>538</v>
      </c>
      <c r="H26">
        <f>SUMIFS(WeeklyPicks!$O:$O,WeeklyPicks!$A:$A,"&lt;="&amp;$A26,WeeklyPicks!$C:$C,H$16)</f>
        <v>497</v>
      </c>
      <c r="I26">
        <f>SUMIFS(WeeklyPicks!$O:$O,WeeklyPicks!$A:$A,"&lt;="&amp;$A26,WeeklyPicks!$C:$C,I$16)</f>
        <v>245</v>
      </c>
      <c r="J26">
        <f>SUMIFS(WeeklyPicks!$O:$O,WeeklyPicks!$A:$A,"&lt;="&amp;$A26,WeeklyPicks!$C:$C,J$16)</f>
        <v>0</v>
      </c>
      <c r="K26">
        <f>SUMIFS(WeeklyPicks!$O:$O,WeeklyPicks!$A:$A,"&lt;="&amp;$A26,WeeklyPicks!$C:$C,K$16)</f>
        <v>365</v>
      </c>
      <c r="L26">
        <f>SUMIFS(WeeklyPicks!$O:$O,WeeklyPicks!$A:$A,"&lt;="&amp;$A26,WeeklyPicks!$C:$C,L$16)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SUMIFS(WeeklyPicks!$O:$O,WeeklyPicks!$A:$A,"&lt;="&amp;$A27,WeeklyPicks!$C:$C,C$16)</f>
        <v>771</v>
      </c>
      <c r="D27">
        <f>SUMIFS(WeeklyPicks!$O:$O,WeeklyPicks!$A:$A,"&lt;="&amp;$A27,WeeklyPicks!$C:$C,D$16)</f>
        <v>784</v>
      </c>
      <c r="E27">
        <f>SUMIFS(WeeklyPicks!$O:$O,WeeklyPicks!$A:$A,"&lt;="&amp;$A27,WeeklyPicks!$C:$C,E$16)</f>
        <v>640</v>
      </c>
      <c r="F27">
        <f>SUMIFS(WeeklyPicks!$O:$O,WeeklyPicks!$A:$A,"&lt;="&amp;$A27,WeeklyPicks!$C:$C,F$16)</f>
        <v>779</v>
      </c>
      <c r="G27">
        <f>SUMIFS(WeeklyPicks!$O:$O,WeeklyPicks!$A:$A,"&lt;="&amp;$A27,WeeklyPicks!$C:$C,G$16)</f>
        <v>575</v>
      </c>
      <c r="H27">
        <f>SUMIFS(WeeklyPicks!$O:$O,WeeklyPicks!$A:$A,"&lt;="&amp;$A27,WeeklyPicks!$C:$C,H$16)</f>
        <v>574</v>
      </c>
      <c r="I27">
        <f>SUMIFS(WeeklyPicks!$O:$O,WeeklyPicks!$A:$A,"&lt;="&amp;$A27,WeeklyPicks!$C:$C,I$16)</f>
        <v>337</v>
      </c>
      <c r="J27">
        <f>SUMIFS(WeeklyPicks!$O:$O,WeeklyPicks!$A:$A,"&lt;="&amp;$A27,WeeklyPicks!$C:$C,J$16)</f>
        <v>0</v>
      </c>
      <c r="K27">
        <f>SUMIFS(WeeklyPicks!$O:$O,WeeklyPicks!$A:$A,"&lt;="&amp;$A27,WeeklyPicks!$C:$C,K$16)</f>
        <v>433</v>
      </c>
      <c r="L27">
        <f>SUMIFS(WeeklyPicks!$O:$O,WeeklyPicks!$A:$A,"&lt;="&amp;$A27,WeeklyPicks!$C:$C,L$16)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SUMIFS(WeeklyPicks!$O:$O,WeeklyPicks!$A:$A,"&lt;="&amp;$A28,WeeklyPicks!$C:$C,C$16)</f>
        <v>880</v>
      </c>
      <c r="D28">
        <f>SUMIFS(WeeklyPicks!$O:$O,WeeklyPicks!$A:$A,"&lt;="&amp;$A28,WeeklyPicks!$C:$C,D$16)</f>
        <v>875</v>
      </c>
      <c r="E28">
        <f>SUMIFS(WeeklyPicks!$O:$O,WeeklyPicks!$A:$A,"&lt;="&amp;$A28,WeeklyPicks!$C:$C,E$16)</f>
        <v>736</v>
      </c>
      <c r="F28">
        <f>SUMIFS(WeeklyPicks!$O:$O,WeeklyPicks!$A:$A,"&lt;="&amp;$A28,WeeklyPicks!$C:$C,F$16)</f>
        <v>876</v>
      </c>
      <c r="G28">
        <f>SUMIFS(WeeklyPicks!$O:$O,WeeklyPicks!$A:$A,"&lt;="&amp;$A28,WeeklyPicks!$C:$C,G$16)</f>
        <v>620</v>
      </c>
      <c r="H28">
        <f>SUMIFS(WeeklyPicks!$O:$O,WeeklyPicks!$A:$A,"&lt;="&amp;$A28,WeeklyPicks!$C:$C,H$16)</f>
        <v>677</v>
      </c>
      <c r="I28">
        <f>SUMIFS(WeeklyPicks!$O:$O,WeeklyPicks!$A:$A,"&lt;="&amp;$A28,WeeklyPicks!$C:$C,I$16)</f>
        <v>365</v>
      </c>
      <c r="J28">
        <f>SUMIFS(WeeklyPicks!$O:$O,WeeklyPicks!$A:$A,"&lt;="&amp;$A28,WeeklyPicks!$C:$C,J$16)</f>
        <v>0</v>
      </c>
      <c r="K28">
        <f>SUMIFS(WeeklyPicks!$O:$O,WeeklyPicks!$A:$A,"&lt;="&amp;$A28,WeeklyPicks!$C:$C,K$16)</f>
        <v>515</v>
      </c>
      <c r="L28">
        <f>SUMIFS(WeeklyPicks!$O:$O,WeeklyPicks!$A:$A,"&lt;="&amp;$A28,WeeklyPicks!$C:$C,L$16)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SUMIFS(WeeklyPicks!$O:$O,WeeklyPicks!$A:$A,"&lt;="&amp;$A29,WeeklyPicks!$C:$C,C$16)</f>
        <v>945</v>
      </c>
      <c r="D29">
        <f>SUMIFS(WeeklyPicks!$O:$O,WeeklyPicks!$A:$A,"&lt;="&amp;$A29,WeeklyPicks!$C:$C,D$16)</f>
        <v>974</v>
      </c>
      <c r="E29">
        <f>SUMIFS(WeeklyPicks!$O:$O,WeeklyPicks!$A:$A,"&lt;="&amp;$A29,WeeklyPicks!$C:$C,E$16)</f>
        <v>800</v>
      </c>
      <c r="F29">
        <f>SUMIFS(WeeklyPicks!$O:$O,WeeklyPicks!$A:$A,"&lt;="&amp;$A29,WeeklyPicks!$C:$C,F$16)</f>
        <v>973</v>
      </c>
      <c r="G29">
        <f>SUMIFS(WeeklyPicks!$O:$O,WeeklyPicks!$A:$A,"&lt;="&amp;$A29,WeeklyPicks!$C:$C,G$16)</f>
        <v>684</v>
      </c>
      <c r="H29">
        <f>SUMIFS(WeeklyPicks!$O:$O,WeeklyPicks!$A:$A,"&lt;="&amp;$A29,WeeklyPicks!$C:$C,H$16)</f>
        <v>758</v>
      </c>
      <c r="I29">
        <f>SUMIFS(WeeklyPicks!$O:$O,WeeklyPicks!$A:$A,"&lt;="&amp;$A29,WeeklyPicks!$C:$C,I$16)</f>
        <v>418</v>
      </c>
      <c r="J29">
        <f>SUMIFS(WeeklyPicks!$O:$O,WeeklyPicks!$A:$A,"&lt;="&amp;$A29,WeeklyPicks!$C:$C,J$16)</f>
        <v>0</v>
      </c>
      <c r="K29">
        <f>SUMIFS(WeeklyPicks!$O:$O,WeeklyPicks!$A:$A,"&lt;="&amp;$A29,WeeklyPicks!$C:$C,K$16)</f>
        <v>611</v>
      </c>
      <c r="L29">
        <f>SUMIFS(WeeklyPicks!$O:$O,WeeklyPicks!$A:$A,"&lt;="&amp;$A29,WeeklyPicks!$C:$C,L$16)</f>
        <v>611</v>
      </c>
    </row>
    <row r="30" spans="1:12" ht="14.4" x14ac:dyDescent="0.3">
      <c r="A30">
        <v>14</v>
      </c>
      <c r="B30" t="s">
        <v>76</v>
      </c>
      <c r="C30">
        <f>SUMIFS(WeeklyPicks!$O:$O,WeeklyPicks!$A:$A,"&lt;="&amp;$A30,WeeklyPicks!$C:$C,C$16)</f>
        <v>1019</v>
      </c>
      <c r="D30">
        <f>SUMIFS(WeeklyPicks!$O:$O,WeeklyPicks!$A:$A,"&lt;="&amp;$A30,WeeklyPicks!$C:$C,D$16)</f>
        <v>1078</v>
      </c>
      <c r="E30">
        <f>SUMIFS(WeeklyPicks!$O:$O,WeeklyPicks!$A:$A,"&lt;="&amp;$A30,WeeklyPicks!$C:$C,E$16)</f>
        <v>919</v>
      </c>
      <c r="F30">
        <f>SUMIFS(WeeklyPicks!$O:$O,WeeklyPicks!$A:$A,"&lt;="&amp;$A30,WeeklyPicks!$C:$C,F$16)</f>
        <v>1088</v>
      </c>
      <c r="G30">
        <f>SUMIFS(WeeklyPicks!$O:$O,WeeklyPicks!$A:$A,"&lt;="&amp;$A30,WeeklyPicks!$C:$C,G$16)</f>
        <v>788</v>
      </c>
      <c r="H30">
        <f>SUMIFS(WeeklyPicks!$O:$O,WeeklyPicks!$A:$A,"&lt;="&amp;$A30,WeeklyPicks!$C:$C,H$16)</f>
        <v>879</v>
      </c>
      <c r="I30">
        <f>SUMIFS(WeeklyPicks!$O:$O,WeeklyPicks!$A:$A,"&lt;="&amp;$A30,WeeklyPicks!$C:$C,I$16)</f>
        <v>418</v>
      </c>
      <c r="J30">
        <f>SUMIFS(WeeklyPicks!$O:$O,WeeklyPicks!$A:$A,"&lt;="&amp;$A30,WeeklyPicks!$C:$C,J$16)</f>
        <v>0</v>
      </c>
      <c r="K30">
        <f>SUMIFS(WeeklyPicks!$O:$O,WeeklyPicks!$A:$A,"&lt;="&amp;$A30,WeeklyPicks!$C:$C,K$16)</f>
        <v>709</v>
      </c>
      <c r="L30">
        <f>SUMIFS(WeeklyPicks!$O:$O,WeeklyPicks!$A:$A,"&lt;="&amp;$A30,WeeklyPicks!$C:$C,L$16)</f>
        <v>680</v>
      </c>
    </row>
    <row r="31" spans="1:12" ht="14.4" x14ac:dyDescent="0.3">
      <c r="A31">
        <v>15</v>
      </c>
      <c r="B31" t="s">
        <v>78</v>
      </c>
      <c r="C31">
        <f>SUMIFS(WeeklyPicks!$O:$O,WeeklyPicks!$A:$A,"&lt;="&amp;$A31,WeeklyPicks!$C:$C,C$16)</f>
        <v>1139</v>
      </c>
      <c r="D31">
        <f>SUMIFS(WeeklyPicks!$O:$O,WeeklyPicks!$A:$A,"&lt;="&amp;$A31,WeeklyPicks!$C:$C,D$16)</f>
        <v>1168</v>
      </c>
      <c r="E31">
        <f>SUMIFS(WeeklyPicks!$O:$O,WeeklyPicks!$A:$A,"&lt;="&amp;$A31,WeeklyPicks!$C:$C,E$16)</f>
        <v>992</v>
      </c>
      <c r="F31">
        <f>SUMIFS(WeeklyPicks!$O:$O,WeeklyPicks!$A:$A,"&lt;="&amp;$A31,WeeklyPicks!$C:$C,F$16)</f>
        <v>1157</v>
      </c>
      <c r="G31">
        <f>SUMIFS(WeeklyPicks!$O:$O,WeeklyPicks!$A:$A,"&lt;="&amp;$A31,WeeklyPicks!$C:$C,G$16)</f>
        <v>851</v>
      </c>
      <c r="H31">
        <f>SUMIFS(WeeklyPicks!$O:$O,WeeklyPicks!$A:$A,"&lt;="&amp;$A31,WeeklyPicks!$C:$C,H$16)</f>
        <v>942</v>
      </c>
      <c r="I31">
        <f>SUMIFS(WeeklyPicks!$O:$O,WeeklyPicks!$A:$A,"&lt;="&amp;$A31,WeeklyPicks!$C:$C,I$16)</f>
        <v>418</v>
      </c>
      <c r="J31">
        <f>SUMIFS(WeeklyPicks!$O:$O,WeeklyPicks!$A:$A,"&lt;="&amp;$A31,WeeklyPicks!$C:$C,J$16)</f>
        <v>0</v>
      </c>
      <c r="K31">
        <f>SUMIFS(WeeklyPicks!$O:$O,WeeklyPicks!$A:$A,"&lt;="&amp;$A31,WeeklyPicks!$C:$C,K$16)</f>
        <v>780</v>
      </c>
      <c r="L31">
        <f>SUMIFS(WeeklyPicks!$O:$O,WeeklyPicks!$A:$A,"&lt;="&amp;$A31,WeeklyPicks!$C:$C,L$16)</f>
        <v>754</v>
      </c>
    </row>
    <row r="32" spans="1:12" ht="14.4" x14ac:dyDescent="0.3">
      <c r="A32">
        <v>16</v>
      </c>
      <c r="B32" t="s">
        <v>80</v>
      </c>
      <c r="C32">
        <f>SUMIFS(WeeklyPicks!$O:$O,WeeklyPicks!$A:$A,"&lt;="&amp;$A32,WeeklyPicks!$C:$C,C$16)</f>
        <v>1253</v>
      </c>
      <c r="D32">
        <f>SUMIFS(WeeklyPicks!$O:$O,WeeklyPicks!$A:$A,"&lt;="&amp;$A32,WeeklyPicks!$C:$C,D$16)</f>
        <v>1258</v>
      </c>
      <c r="E32">
        <f>SUMIFS(WeeklyPicks!$O:$O,WeeklyPicks!$A:$A,"&lt;="&amp;$A32,WeeklyPicks!$C:$C,E$16)</f>
        <v>1102</v>
      </c>
      <c r="F32">
        <f>SUMIFS(WeeklyPicks!$O:$O,WeeklyPicks!$A:$A,"&lt;="&amp;$A32,WeeklyPicks!$C:$C,F$16)</f>
        <v>1269</v>
      </c>
      <c r="G32">
        <f>SUMIFS(WeeklyPicks!$O:$O,WeeklyPicks!$A:$A,"&lt;="&amp;$A32,WeeklyPicks!$C:$C,G$16)</f>
        <v>935</v>
      </c>
      <c r="H32">
        <f>SUMIFS(WeeklyPicks!$O:$O,WeeklyPicks!$A:$A,"&lt;="&amp;$A32,WeeklyPicks!$C:$C,H$16)</f>
        <v>1060</v>
      </c>
      <c r="I32">
        <f>SUMIFS(WeeklyPicks!$O:$O,WeeklyPicks!$A:$A,"&lt;="&amp;$A32,WeeklyPicks!$C:$C,I$16)</f>
        <v>418</v>
      </c>
      <c r="J32">
        <f>SUMIFS(WeeklyPicks!$O:$O,WeeklyPicks!$A:$A,"&lt;="&amp;$A32,WeeklyPicks!$C:$C,J$16)</f>
        <v>0</v>
      </c>
      <c r="K32">
        <f>SUMIFS(WeeklyPicks!$O:$O,WeeklyPicks!$A:$A,"&lt;="&amp;$A32,WeeklyPicks!$C:$C,K$16)</f>
        <v>892</v>
      </c>
      <c r="L32">
        <f>SUMIFS(WeeklyPicks!$O:$O,WeeklyPicks!$A:$A,"&lt;="&amp;$A32,WeeklyPicks!$C:$C,L$16)</f>
        <v>869</v>
      </c>
    </row>
    <row r="33" spans="1:12" ht="14.4" x14ac:dyDescent="0.3">
      <c r="A33">
        <v>17</v>
      </c>
      <c r="B33" t="s">
        <v>82</v>
      </c>
      <c r="C33">
        <f>SUMIFS(WeeklyPicks!$O:$O,WeeklyPicks!$A:$A,"&lt;="&amp;$A33,WeeklyPicks!$C:$C,C$16)</f>
        <v>1300</v>
      </c>
      <c r="D33">
        <f>SUMIFS(WeeklyPicks!$O:$O,WeeklyPicks!$A:$A,"&lt;="&amp;$A33,WeeklyPicks!$C:$C,D$16)</f>
        <v>1283</v>
      </c>
      <c r="E33">
        <f>SUMIFS(WeeklyPicks!$O:$O,WeeklyPicks!$A:$A,"&lt;="&amp;$A33,WeeklyPicks!$C:$C,E$16)</f>
        <v>1164</v>
      </c>
      <c r="F33">
        <f>SUMIFS(WeeklyPicks!$O:$O,WeeklyPicks!$A:$A,"&lt;="&amp;$A33,WeeklyPicks!$C:$C,F$16)</f>
        <v>1321</v>
      </c>
      <c r="G33">
        <f>SUMIFS(WeeklyPicks!$O:$O,WeeklyPicks!$A:$A,"&lt;="&amp;$A33,WeeklyPicks!$C:$C,G$16)</f>
        <v>1002</v>
      </c>
      <c r="H33">
        <f>SUMIFS(WeeklyPicks!$O:$O,WeeklyPicks!$A:$A,"&lt;="&amp;$A33,WeeklyPicks!$C:$C,H$16)</f>
        <v>1107</v>
      </c>
      <c r="I33">
        <f>SUMIFS(WeeklyPicks!$O:$O,WeeklyPicks!$A:$A,"&lt;="&amp;$A33,WeeklyPicks!$C:$C,I$16)</f>
        <v>418</v>
      </c>
      <c r="J33">
        <f>SUMIFS(WeeklyPicks!$O:$O,WeeklyPicks!$A:$A,"&lt;="&amp;$A33,WeeklyPicks!$C:$C,J$16)</f>
        <v>0</v>
      </c>
      <c r="K33">
        <f>SUMIFS(WeeklyPicks!$O:$O,WeeklyPicks!$A:$A,"&lt;="&amp;$A33,WeeklyPicks!$C:$C,K$16)</f>
        <v>921</v>
      </c>
      <c r="L33">
        <f>SUMIFS(WeeklyPicks!$O:$O,WeeklyPicks!$A:$A,"&lt;="&amp;$A33,WeeklyPicks!$C:$C,L$16)</f>
        <v>931</v>
      </c>
    </row>
    <row r="34" spans="1:12" ht="14.4" x14ac:dyDescent="0.3">
      <c r="A34">
        <v>18</v>
      </c>
      <c r="B34" t="s">
        <v>84</v>
      </c>
      <c r="C34">
        <f>SUMIFS(WeeklyPicks!$O:$O,WeeklyPicks!$A:$A,"&lt;="&amp;$A34,WeeklyPicks!$C:$C,C$16)</f>
        <v>1399</v>
      </c>
      <c r="D34">
        <f>SUMIFS(WeeklyPicks!$O:$O,WeeklyPicks!$A:$A,"&lt;="&amp;$A34,WeeklyPicks!$C:$C,D$16)</f>
        <v>1382</v>
      </c>
      <c r="E34">
        <f>SUMIFS(WeeklyPicks!$O:$O,WeeklyPicks!$A:$A,"&lt;="&amp;$A34,WeeklyPicks!$C:$C,E$16)</f>
        <v>1281</v>
      </c>
      <c r="F34">
        <f>SUMIFS(WeeklyPicks!$O:$O,WeeklyPicks!$A:$A,"&lt;="&amp;$A34,WeeklyPicks!$C:$C,F$16)</f>
        <v>1443</v>
      </c>
      <c r="G34">
        <f>SUMIFS(WeeklyPicks!$O:$O,WeeklyPicks!$A:$A,"&lt;="&amp;$A34,WeeklyPicks!$C:$C,G$16)</f>
        <v>1083</v>
      </c>
      <c r="H34">
        <f>SUMIFS(WeeklyPicks!$O:$O,WeeklyPicks!$A:$A,"&lt;="&amp;$A34,WeeklyPicks!$C:$C,H$16)</f>
        <v>1197</v>
      </c>
      <c r="I34">
        <f>SUMIFS(WeeklyPicks!$O:$O,WeeklyPicks!$A:$A,"&lt;="&amp;$A34,WeeklyPicks!$C:$C,I$16)</f>
        <v>496</v>
      </c>
      <c r="J34">
        <f>SUMIFS(WeeklyPicks!$O:$O,WeeklyPicks!$A:$A,"&lt;="&amp;$A34,WeeklyPicks!$C:$C,J$16)</f>
        <v>0</v>
      </c>
      <c r="K34">
        <f>SUMIFS(WeeklyPicks!$O:$O,WeeklyPicks!$A:$A,"&lt;="&amp;$A34,WeeklyPicks!$C:$C,K$16)</f>
        <v>1024</v>
      </c>
      <c r="L34">
        <f>SUMIFS(WeeklyPicks!$O:$O,WeeklyPicks!$A:$A,"&lt;="&amp;$A34,WeeklyPicks!$C:$C,L$16)</f>
        <v>1000</v>
      </c>
    </row>
    <row r="35" spans="1:12" ht="14.4" x14ac:dyDescent="0.3">
      <c r="A35">
        <v>19</v>
      </c>
      <c r="B35" t="s">
        <v>87</v>
      </c>
      <c r="C35">
        <f>SUMIFS(WeeklyPicks!$O:$O,WeeklyPicks!$A:$A,"&lt;="&amp;$A35,WeeklyPicks!$C:$C,C$16)</f>
        <v>1465</v>
      </c>
      <c r="D35">
        <f>SUMIFS(WeeklyPicks!$O:$O,WeeklyPicks!$A:$A,"&lt;="&amp;$A35,WeeklyPicks!$C:$C,D$16)</f>
        <v>1454</v>
      </c>
      <c r="E35">
        <f>SUMIFS(WeeklyPicks!$O:$O,WeeklyPicks!$A:$A,"&lt;="&amp;$A35,WeeklyPicks!$C:$C,E$16)</f>
        <v>1336</v>
      </c>
      <c r="F35">
        <f>SUMIFS(WeeklyPicks!$O:$O,WeeklyPicks!$A:$A,"&lt;="&amp;$A35,WeeklyPicks!$C:$C,F$16)</f>
        <v>1510</v>
      </c>
      <c r="G35">
        <f>SUMIFS(WeeklyPicks!$O:$O,WeeklyPicks!$A:$A,"&lt;="&amp;$A35,WeeklyPicks!$C:$C,G$16)</f>
        <v>1155</v>
      </c>
      <c r="H35">
        <f>SUMIFS(WeeklyPicks!$O:$O,WeeklyPicks!$A:$A,"&lt;="&amp;$A35,WeeklyPicks!$C:$C,H$16)</f>
        <v>1269</v>
      </c>
      <c r="I35">
        <f>SUMIFS(WeeklyPicks!$O:$O,WeeklyPicks!$A:$A,"&lt;="&amp;$A35,WeeklyPicks!$C:$C,I$16)</f>
        <v>496</v>
      </c>
      <c r="J35">
        <f>SUMIFS(WeeklyPicks!$O:$O,WeeklyPicks!$A:$A,"&lt;="&amp;$A35,WeeklyPicks!$C:$C,J$16)</f>
        <v>0</v>
      </c>
      <c r="K35">
        <f>SUMIFS(WeeklyPicks!$O:$O,WeeklyPicks!$A:$A,"&lt;="&amp;$A35,WeeklyPicks!$C:$C,K$16)</f>
        <v>1096</v>
      </c>
      <c r="L35">
        <f>SUMIFS(WeeklyPicks!$O:$O,WeeklyPicks!$A:$A,"&lt;="&amp;$A35,WeeklyPicks!$C:$C,L$16)</f>
        <v>1033</v>
      </c>
    </row>
    <row r="36" spans="1:12" ht="14.4" x14ac:dyDescent="0.3">
      <c r="A36">
        <v>20</v>
      </c>
      <c r="B36" t="s">
        <v>50</v>
      </c>
      <c r="C36">
        <f>SUMIFS(WeeklyPicks!$O:$O,WeeklyPicks!$A:$A,"&lt;="&amp;$A36,WeeklyPicks!$C:$C,C$16)</f>
        <v>1546</v>
      </c>
      <c r="D36">
        <f>SUMIFS(WeeklyPicks!$O:$O,WeeklyPicks!$A:$A,"&lt;="&amp;$A36,WeeklyPicks!$C:$C,D$16)</f>
        <v>1528</v>
      </c>
      <c r="E36">
        <f>SUMIFS(WeeklyPicks!$O:$O,WeeklyPicks!$A:$A,"&lt;="&amp;$A36,WeeklyPicks!$C:$C,E$16)</f>
        <v>1430</v>
      </c>
      <c r="F36">
        <f>SUMIFS(WeeklyPicks!$O:$O,WeeklyPicks!$A:$A,"&lt;="&amp;$A36,WeeklyPicks!$C:$C,F$16)</f>
        <v>1592</v>
      </c>
      <c r="G36">
        <f>SUMIFS(WeeklyPicks!$O:$O,WeeklyPicks!$A:$A,"&lt;="&amp;$A36,WeeklyPicks!$C:$C,G$16)</f>
        <v>1254</v>
      </c>
      <c r="H36">
        <f>SUMIFS(WeeklyPicks!$O:$O,WeeklyPicks!$A:$A,"&lt;="&amp;$A36,WeeklyPicks!$C:$C,H$16)</f>
        <v>1384</v>
      </c>
      <c r="I36">
        <f>SUMIFS(WeeklyPicks!$O:$O,WeeklyPicks!$A:$A,"&lt;="&amp;$A36,WeeklyPicks!$C:$C,I$16)</f>
        <v>496</v>
      </c>
      <c r="J36">
        <f>SUMIFS(WeeklyPicks!$O:$O,WeeklyPicks!$A:$A,"&lt;="&amp;$A36,WeeklyPicks!$C:$C,J$16)</f>
        <v>0</v>
      </c>
      <c r="K36">
        <f>SUMIFS(WeeklyPicks!$O:$O,WeeklyPicks!$A:$A,"&lt;="&amp;$A36,WeeklyPicks!$C:$C,K$16)</f>
        <v>1196</v>
      </c>
      <c r="L36">
        <f>SUMIFS(WeeklyPicks!$O:$O,WeeklyPicks!$A:$A,"&lt;="&amp;$A36,WeeklyPicks!$C:$C,L$16)</f>
        <v>1098</v>
      </c>
    </row>
    <row r="37" spans="1:12" ht="14.4" x14ac:dyDescent="0.3">
      <c r="A37">
        <v>21</v>
      </c>
      <c r="B37" t="s">
        <v>90</v>
      </c>
      <c r="C37">
        <f>SUMIFS(WeeklyPicks!$O:$O,WeeklyPicks!$A:$A,"&lt;="&amp;$A37,WeeklyPicks!$C:$C,C$16)</f>
        <v>1639</v>
      </c>
      <c r="D37">
        <f>SUMIFS(WeeklyPicks!$O:$O,WeeklyPicks!$A:$A,"&lt;="&amp;$A37,WeeklyPicks!$C:$C,D$16)</f>
        <v>1594</v>
      </c>
      <c r="E37">
        <f>SUMIFS(WeeklyPicks!$O:$O,WeeklyPicks!$A:$A,"&lt;="&amp;$A37,WeeklyPicks!$C:$C,E$16)</f>
        <v>1493</v>
      </c>
      <c r="F37">
        <f>SUMIFS(WeeklyPicks!$O:$O,WeeklyPicks!$A:$A,"&lt;="&amp;$A37,WeeklyPicks!$C:$C,F$16)</f>
        <v>1671</v>
      </c>
      <c r="G37">
        <f>SUMIFS(WeeklyPicks!$O:$O,WeeklyPicks!$A:$A,"&lt;="&amp;$A37,WeeklyPicks!$C:$C,G$16)</f>
        <v>1353</v>
      </c>
      <c r="H37">
        <f>SUMIFS(WeeklyPicks!$O:$O,WeeklyPicks!$A:$A,"&lt;="&amp;$A37,WeeklyPicks!$C:$C,H$16)</f>
        <v>1461</v>
      </c>
      <c r="I37">
        <f>SUMIFS(WeeklyPicks!$O:$O,WeeklyPicks!$A:$A,"&lt;="&amp;$A37,WeeklyPicks!$C:$C,I$16)</f>
        <v>496</v>
      </c>
      <c r="J37">
        <f>SUMIFS(WeeklyPicks!$O:$O,WeeklyPicks!$A:$A,"&lt;="&amp;$A37,WeeklyPicks!$C:$C,J$16)</f>
        <v>0</v>
      </c>
      <c r="K37">
        <f>SUMIFS(WeeklyPicks!$O:$O,WeeklyPicks!$A:$A,"&lt;="&amp;$A37,WeeklyPicks!$C:$C,K$16)</f>
        <v>1273</v>
      </c>
      <c r="L37">
        <f>SUMIFS(WeeklyPicks!$O:$O,WeeklyPicks!$A:$A,"&lt;="&amp;$A37,WeeklyPicks!$C:$C,L$16)</f>
        <v>1173</v>
      </c>
    </row>
    <row r="38" spans="1:12" ht="14.4" x14ac:dyDescent="0.3">
      <c r="A38">
        <v>22</v>
      </c>
      <c r="B38" t="s">
        <v>92</v>
      </c>
      <c r="C38">
        <f>SUMIFS(WeeklyPicks!$O:$O,WeeklyPicks!$A:$A,"&lt;="&amp;$A38,WeeklyPicks!$C:$C,C$16)</f>
        <v>1695</v>
      </c>
      <c r="D38">
        <f>SUMIFS(WeeklyPicks!$O:$O,WeeklyPicks!$A:$A,"&lt;="&amp;$A38,WeeklyPicks!$C:$C,D$16)</f>
        <v>1594</v>
      </c>
      <c r="E38">
        <f>SUMIFS(WeeklyPicks!$O:$O,WeeklyPicks!$A:$A,"&lt;="&amp;$A38,WeeklyPicks!$C:$C,E$16)</f>
        <v>1583</v>
      </c>
      <c r="F38">
        <f>SUMIFS(WeeklyPicks!$O:$O,WeeklyPicks!$A:$A,"&lt;="&amp;$A38,WeeklyPicks!$C:$C,F$16)</f>
        <v>1671</v>
      </c>
      <c r="G38">
        <f>SUMIFS(WeeklyPicks!$O:$O,WeeklyPicks!$A:$A,"&lt;="&amp;$A38,WeeklyPicks!$C:$C,G$16)</f>
        <v>1416</v>
      </c>
      <c r="H38">
        <f>SUMIFS(WeeklyPicks!$O:$O,WeeklyPicks!$A:$A,"&lt;="&amp;$A38,WeeklyPicks!$C:$C,H$16)</f>
        <v>1555</v>
      </c>
      <c r="I38">
        <f>SUMIFS(WeeklyPicks!$O:$O,WeeklyPicks!$A:$A,"&lt;="&amp;$A38,WeeklyPicks!$C:$C,I$16)</f>
        <v>496</v>
      </c>
      <c r="J38">
        <f>SUMIFS(WeeklyPicks!$O:$O,WeeklyPicks!$A:$A,"&lt;="&amp;$A38,WeeklyPicks!$C:$C,J$16)</f>
        <v>0</v>
      </c>
      <c r="K38">
        <f>SUMIFS(WeeklyPicks!$O:$O,WeeklyPicks!$A:$A,"&lt;="&amp;$A38,WeeklyPicks!$C:$C,K$16)</f>
        <v>1365</v>
      </c>
      <c r="L38">
        <f>SUMIFS(WeeklyPicks!$O:$O,WeeklyPicks!$A:$A,"&lt;="&amp;$A38,WeeklyPicks!$C:$C,L$16)</f>
        <v>1257</v>
      </c>
    </row>
    <row r="39" spans="1:12" ht="14.4" x14ac:dyDescent="0.3">
      <c r="A39">
        <v>23</v>
      </c>
      <c r="B39" t="s">
        <v>94</v>
      </c>
      <c r="C39">
        <f>SUMIFS(WeeklyPicks!$O:$O,WeeklyPicks!$A:$A,"&lt;="&amp;$A39,WeeklyPicks!$C:$C,C$16)</f>
        <v>1734</v>
      </c>
      <c r="D39">
        <f>SUMIFS(WeeklyPicks!$O:$O,WeeklyPicks!$A:$A,"&lt;="&amp;$A39,WeeklyPicks!$C:$C,D$16)</f>
        <v>1594</v>
      </c>
      <c r="E39">
        <f>SUMIFS(WeeklyPicks!$O:$O,WeeklyPicks!$A:$A,"&lt;="&amp;$A39,WeeklyPicks!$C:$C,E$16)</f>
        <v>1676</v>
      </c>
      <c r="F39">
        <f>SUMIFS(WeeklyPicks!$O:$O,WeeklyPicks!$A:$A,"&lt;="&amp;$A39,WeeklyPicks!$C:$C,F$16)</f>
        <v>1761</v>
      </c>
      <c r="G39">
        <f>SUMIFS(WeeklyPicks!$O:$O,WeeklyPicks!$A:$A,"&lt;="&amp;$A39,WeeklyPicks!$C:$C,G$16)</f>
        <v>1481</v>
      </c>
      <c r="H39">
        <f>SUMIFS(WeeklyPicks!$O:$O,WeeklyPicks!$A:$A,"&lt;="&amp;$A39,WeeklyPicks!$C:$C,H$16)</f>
        <v>1656</v>
      </c>
      <c r="I39">
        <f>SUMIFS(WeeklyPicks!$O:$O,WeeklyPicks!$A:$A,"&lt;="&amp;$A39,WeeklyPicks!$C:$C,I$16)</f>
        <v>496</v>
      </c>
      <c r="J39">
        <f>SUMIFS(WeeklyPicks!$O:$O,WeeklyPicks!$A:$A,"&lt;="&amp;$A39,WeeklyPicks!$C:$C,J$16)</f>
        <v>0</v>
      </c>
      <c r="K39">
        <f>SUMIFS(WeeklyPicks!$O:$O,WeeklyPicks!$A:$A,"&lt;="&amp;$A39,WeeklyPicks!$C:$C,K$16)</f>
        <v>1365</v>
      </c>
      <c r="L39">
        <f>SUMIFS(WeeklyPicks!$O:$O,WeeklyPicks!$A:$A,"&lt;="&amp;$A39,WeeklyPicks!$C:$C,L$16)</f>
        <v>1350</v>
      </c>
    </row>
    <row r="40" spans="1:12" ht="14.4" x14ac:dyDescent="0.3">
      <c r="A40">
        <v>24</v>
      </c>
      <c r="B40" t="s">
        <v>97</v>
      </c>
      <c r="C40">
        <f>SUMIFS(WeeklyPicks!$O:$O,WeeklyPicks!$A:$A,"&lt;="&amp;$A40,WeeklyPicks!$C:$C,C$16)</f>
        <v>1819</v>
      </c>
      <c r="D40">
        <f>SUMIFS(WeeklyPicks!$O:$O,WeeklyPicks!$A:$A,"&lt;="&amp;$A40,WeeklyPicks!$C:$C,D$16)</f>
        <v>1594</v>
      </c>
      <c r="E40">
        <f>SUMIFS(WeeklyPicks!$O:$O,WeeklyPicks!$A:$A,"&lt;="&amp;$A40,WeeklyPicks!$C:$C,E$16)</f>
        <v>1765</v>
      </c>
      <c r="F40">
        <f>SUMIFS(WeeklyPicks!$O:$O,WeeklyPicks!$A:$A,"&lt;="&amp;$A40,WeeklyPicks!$C:$C,F$16)</f>
        <v>1873</v>
      </c>
      <c r="G40">
        <f>SUMIFS(WeeklyPicks!$O:$O,WeeklyPicks!$A:$A,"&lt;="&amp;$A40,WeeklyPicks!$C:$C,G$16)</f>
        <v>1590</v>
      </c>
      <c r="H40">
        <f>SUMIFS(WeeklyPicks!$O:$O,WeeklyPicks!$A:$A,"&lt;="&amp;$A40,WeeklyPicks!$C:$C,H$16)</f>
        <v>1765</v>
      </c>
      <c r="I40">
        <f>SUMIFS(WeeklyPicks!$O:$O,WeeklyPicks!$A:$A,"&lt;="&amp;$A40,WeeklyPicks!$C:$C,I$16)</f>
        <v>496</v>
      </c>
      <c r="J40">
        <f>SUMIFS(WeeklyPicks!$O:$O,WeeklyPicks!$A:$A,"&lt;="&amp;$A40,WeeklyPicks!$C:$C,J$16)</f>
        <v>0</v>
      </c>
      <c r="K40">
        <f>SUMIFS(WeeklyPicks!$O:$O,WeeklyPicks!$A:$A,"&lt;="&amp;$A40,WeeklyPicks!$C:$C,K$16)</f>
        <v>1441</v>
      </c>
      <c r="L40">
        <f>SUMIFS(WeeklyPicks!$O:$O,WeeklyPicks!$A:$A,"&lt;="&amp;$A40,WeeklyPicks!$C:$C,L$16)</f>
        <v>1424</v>
      </c>
    </row>
    <row r="41" spans="1:12" ht="14.4" x14ac:dyDescent="0.3">
      <c r="A41">
        <v>25</v>
      </c>
      <c r="B41" t="s">
        <v>99</v>
      </c>
      <c r="C41">
        <f>SUMIFS(WeeklyPicks!$O:$O,WeeklyPicks!$A:$A,"&lt;="&amp;$A41,WeeklyPicks!$C:$C,C$16)</f>
        <v>1912</v>
      </c>
      <c r="D41">
        <f>SUMIFS(WeeklyPicks!$O:$O,WeeklyPicks!$A:$A,"&lt;="&amp;$A41,WeeklyPicks!$C:$C,D$16)</f>
        <v>1594</v>
      </c>
      <c r="E41">
        <f>SUMIFS(WeeklyPicks!$O:$O,WeeklyPicks!$A:$A,"&lt;="&amp;$A41,WeeklyPicks!$C:$C,E$16)</f>
        <v>1883</v>
      </c>
      <c r="F41">
        <f>SUMIFS(WeeklyPicks!$O:$O,WeeklyPicks!$A:$A,"&lt;="&amp;$A41,WeeklyPicks!$C:$C,F$16)</f>
        <v>1981</v>
      </c>
      <c r="G41">
        <f>SUMIFS(WeeklyPicks!$O:$O,WeeklyPicks!$A:$A,"&lt;="&amp;$A41,WeeklyPicks!$C:$C,G$16)</f>
        <v>1708</v>
      </c>
      <c r="H41">
        <f>SUMIFS(WeeklyPicks!$O:$O,WeeklyPicks!$A:$A,"&lt;="&amp;$A41,WeeklyPicks!$C:$C,H$16)</f>
        <v>1883</v>
      </c>
      <c r="I41">
        <f>SUMIFS(WeeklyPicks!$O:$O,WeeklyPicks!$A:$A,"&lt;="&amp;$A41,WeeklyPicks!$C:$C,I$16)</f>
        <v>496</v>
      </c>
      <c r="J41">
        <f>SUMIFS(WeeklyPicks!$O:$O,WeeklyPicks!$A:$A,"&lt;="&amp;$A41,WeeklyPicks!$C:$C,J$16)</f>
        <v>0</v>
      </c>
      <c r="K41">
        <f>SUMIFS(WeeklyPicks!$O:$O,WeeklyPicks!$A:$A,"&lt;="&amp;$A41,WeeklyPicks!$C:$C,K$16)</f>
        <v>1560</v>
      </c>
      <c r="L41">
        <f>SUMIFS(WeeklyPicks!$O:$O,WeeklyPicks!$A:$A,"&lt;="&amp;$A41,WeeklyPicks!$C:$C,L$16)</f>
        <v>1517</v>
      </c>
    </row>
    <row r="42" spans="1:12" ht="14.4" x14ac:dyDescent="0.3">
      <c r="A42">
        <v>26</v>
      </c>
      <c r="B42" t="s">
        <v>101</v>
      </c>
      <c r="C42">
        <f>SUMIFS(WeeklyPicks!$O:$O,WeeklyPicks!$A:$A,"&lt;="&amp;$A42,WeeklyPicks!$C:$C,C$16)</f>
        <v>1912</v>
      </c>
      <c r="D42">
        <f>SUMIFS(WeeklyPicks!$O:$O,WeeklyPicks!$A:$A,"&lt;="&amp;$A42,WeeklyPicks!$C:$C,D$16)</f>
        <v>1594</v>
      </c>
      <c r="E42">
        <f>SUMIFS(WeeklyPicks!$O:$O,WeeklyPicks!$A:$A,"&lt;="&amp;$A42,WeeklyPicks!$C:$C,E$16)</f>
        <v>1883</v>
      </c>
      <c r="F42">
        <f>SUMIFS(WeeklyPicks!$O:$O,WeeklyPicks!$A:$A,"&lt;="&amp;$A42,WeeklyPicks!$C:$C,F$16)</f>
        <v>1981</v>
      </c>
      <c r="G42">
        <f>SUMIFS(WeeklyPicks!$O:$O,WeeklyPicks!$A:$A,"&lt;="&amp;$A42,WeeklyPicks!$C:$C,G$16)</f>
        <v>1708</v>
      </c>
      <c r="H42">
        <f>SUMIFS(WeeklyPicks!$O:$O,WeeklyPicks!$A:$A,"&lt;="&amp;$A42,WeeklyPicks!$C:$C,H$16)</f>
        <v>1883</v>
      </c>
      <c r="I42">
        <f>SUMIFS(WeeklyPicks!$O:$O,WeeklyPicks!$A:$A,"&lt;="&amp;$A42,WeeklyPicks!$C:$C,I$16)</f>
        <v>496</v>
      </c>
      <c r="J42">
        <f>SUMIFS(WeeklyPicks!$O:$O,WeeklyPicks!$A:$A,"&lt;="&amp;$A42,WeeklyPicks!$C:$C,J$16)</f>
        <v>0</v>
      </c>
      <c r="K42">
        <f>SUMIFS(WeeklyPicks!$O:$O,WeeklyPicks!$A:$A,"&lt;="&amp;$A42,WeeklyPicks!$C:$C,K$16)</f>
        <v>1560</v>
      </c>
      <c r="L42">
        <f>SUMIFS(WeeklyPicks!$O:$O,WeeklyPicks!$A:$A,"&lt;="&amp;$A42,WeeklyPicks!$C:$C,L$16)</f>
        <v>1517</v>
      </c>
    </row>
    <row r="43" spans="1:12" ht="14.4" x14ac:dyDescent="0.3">
      <c r="A43">
        <v>27</v>
      </c>
      <c r="B43" t="s">
        <v>59</v>
      </c>
      <c r="C43">
        <f>SUMIFS(WeeklyPicks!$O:$O,WeeklyPicks!$A:$A,"&lt;="&amp;$A43,WeeklyPicks!$C:$C,C$16)</f>
        <v>1912</v>
      </c>
      <c r="D43">
        <f>SUMIFS(WeeklyPicks!$O:$O,WeeklyPicks!$A:$A,"&lt;="&amp;$A43,WeeklyPicks!$C:$C,D$16)</f>
        <v>1594</v>
      </c>
      <c r="E43">
        <f>SUMIFS(WeeklyPicks!$O:$O,WeeklyPicks!$A:$A,"&lt;="&amp;$A43,WeeklyPicks!$C:$C,E$16)</f>
        <v>1883</v>
      </c>
      <c r="F43">
        <f>SUMIFS(WeeklyPicks!$O:$O,WeeklyPicks!$A:$A,"&lt;="&amp;$A43,WeeklyPicks!$C:$C,F$16)</f>
        <v>1981</v>
      </c>
      <c r="G43">
        <f>SUMIFS(WeeklyPicks!$O:$O,WeeklyPicks!$A:$A,"&lt;="&amp;$A43,WeeklyPicks!$C:$C,G$16)</f>
        <v>1708</v>
      </c>
      <c r="H43">
        <f>SUMIFS(WeeklyPicks!$O:$O,WeeklyPicks!$A:$A,"&lt;="&amp;$A43,WeeklyPicks!$C:$C,H$16)</f>
        <v>1883</v>
      </c>
      <c r="I43">
        <f>SUMIFS(WeeklyPicks!$O:$O,WeeklyPicks!$A:$A,"&lt;="&amp;$A43,WeeklyPicks!$C:$C,I$16)</f>
        <v>496</v>
      </c>
      <c r="J43">
        <f>SUMIFS(WeeklyPicks!$O:$O,WeeklyPicks!$A:$A,"&lt;="&amp;$A43,WeeklyPicks!$C:$C,J$16)</f>
        <v>0</v>
      </c>
      <c r="K43">
        <f>SUMIFS(WeeklyPicks!$O:$O,WeeklyPicks!$A:$A,"&lt;="&amp;$A43,WeeklyPicks!$C:$C,K$16)</f>
        <v>1560</v>
      </c>
      <c r="L43">
        <f>SUMIFS(WeeklyPicks!$O:$O,WeeklyPicks!$A:$A,"&lt;="&amp;$A43,WeeklyPicks!$C:$C,L$16)</f>
        <v>1517</v>
      </c>
    </row>
    <row r="44" spans="1:12" ht="14.4" x14ac:dyDescent="0.3">
      <c r="A44">
        <v>28</v>
      </c>
      <c r="B44" t="s">
        <v>106</v>
      </c>
      <c r="C44">
        <f>SUMIFS(WeeklyPicks!$O:$O,WeeklyPicks!$A:$A,"&lt;="&amp;$A44,WeeklyPicks!$C:$C,C$16)</f>
        <v>1912</v>
      </c>
      <c r="D44">
        <f>SUMIFS(WeeklyPicks!$O:$O,WeeklyPicks!$A:$A,"&lt;="&amp;$A44,WeeklyPicks!$C:$C,D$16)</f>
        <v>1594</v>
      </c>
      <c r="E44">
        <f>SUMIFS(WeeklyPicks!$O:$O,WeeklyPicks!$A:$A,"&lt;="&amp;$A44,WeeklyPicks!$C:$C,E$16)</f>
        <v>1883</v>
      </c>
      <c r="F44">
        <f>SUMIFS(WeeklyPicks!$O:$O,WeeklyPicks!$A:$A,"&lt;="&amp;$A44,WeeklyPicks!$C:$C,F$16)</f>
        <v>1981</v>
      </c>
      <c r="G44">
        <f>SUMIFS(WeeklyPicks!$O:$O,WeeklyPicks!$A:$A,"&lt;="&amp;$A44,WeeklyPicks!$C:$C,G$16)</f>
        <v>1708</v>
      </c>
      <c r="H44">
        <f>SUMIFS(WeeklyPicks!$O:$O,WeeklyPicks!$A:$A,"&lt;="&amp;$A44,WeeklyPicks!$C:$C,H$16)</f>
        <v>1883</v>
      </c>
      <c r="I44">
        <f>SUMIFS(WeeklyPicks!$O:$O,WeeklyPicks!$A:$A,"&lt;="&amp;$A44,WeeklyPicks!$C:$C,I$16)</f>
        <v>496</v>
      </c>
      <c r="J44">
        <f>SUMIFS(WeeklyPicks!$O:$O,WeeklyPicks!$A:$A,"&lt;="&amp;$A44,WeeklyPicks!$C:$C,J$16)</f>
        <v>0</v>
      </c>
      <c r="K44">
        <f>SUMIFS(WeeklyPicks!$O:$O,WeeklyPicks!$A:$A,"&lt;="&amp;$A44,WeeklyPicks!$C:$C,K$16)</f>
        <v>1560</v>
      </c>
      <c r="L44">
        <f>SUMIFS(WeeklyPicks!$O:$O,WeeklyPicks!$A:$A,"&lt;="&amp;$A44,WeeklyPicks!$C:$C,L$16)</f>
        <v>1517</v>
      </c>
    </row>
    <row r="45" spans="1:12" ht="14.4" x14ac:dyDescent="0.3">
      <c r="A45">
        <v>29</v>
      </c>
      <c r="B45" t="s">
        <v>63</v>
      </c>
      <c r="C45">
        <f>SUMIFS(WeeklyPicks!$O:$O,WeeklyPicks!$A:$A,"&lt;="&amp;$A45,WeeklyPicks!$C:$C,C$16)</f>
        <v>1912</v>
      </c>
      <c r="D45">
        <f>SUMIFS(WeeklyPicks!$O:$O,WeeklyPicks!$A:$A,"&lt;="&amp;$A45,WeeklyPicks!$C:$C,D$16)</f>
        <v>1594</v>
      </c>
      <c r="E45">
        <f>SUMIFS(WeeklyPicks!$O:$O,WeeklyPicks!$A:$A,"&lt;="&amp;$A45,WeeklyPicks!$C:$C,E$16)</f>
        <v>1883</v>
      </c>
      <c r="F45">
        <f>SUMIFS(WeeklyPicks!$O:$O,WeeklyPicks!$A:$A,"&lt;="&amp;$A45,WeeklyPicks!$C:$C,F$16)</f>
        <v>1981</v>
      </c>
      <c r="G45">
        <f>SUMIFS(WeeklyPicks!$O:$O,WeeklyPicks!$A:$A,"&lt;="&amp;$A45,WeeklyPicks!$C:$C,G$16)</f>
        <v>1708</v>
      </c>
      <c r="H45">
        <f>SUMIFS(WeeklyPicks!$O:$O,WeeklyPicks!$A:$A,"&lt;="&amp;$A45,WeeklyPicks!$C:$C,H$16)</f>
        <v>1883</v>
      </c>
      <c r="I45">
        <f>SUMIFS(WeeklyPicks!$O:$O,WeeklyPicks!$A:$A,"&lt;="&amp;$A45,WeeklyPicks!$C:$C,I$16)</f>
        <v>496</v>
      </c>
      <c r="J45">
        <f>SUMIFS(WeeklyPicks!$O:$O,WeeklyPicks!$A:$A,"&lt;="&amp;$A45,WeeklyPicks!$C:$C,J$16)</f>
        <v>0</v>
      </c>
      <c r="K45">
        <f>SUMIFS(WeeklyPicks!$O:$O,WeeklyPicks!$A:$A,"&lt;="&amp;$A45,WeeklyPicks!$C:$C,K$16)</f>
        <v>1560</v>
      </c>
      <c r="L45">
        <f>SUMIFS(WeeklyPicks!$O:$O,WeeklyPicks!$A:$A,"&lt;="&amp;$A45,WeeklyPicks!$C:$C,L$16)</f>
        <v>1517</v>
      </c>
    </row>
    <row r="46" spans="1:12" ht="14.4" x14ac:dyDescent="0.3">
      <c r="A46">
        <v>30</v>
      </c>
      <c r="B46" t="s">
        <v>65</v>
      </c>
      <c r="C46">
        <f>SUMIFS(WeeklyPicks!$O:$O,WeeklyPicks!$A:$A,"&lt;="&amp;$A46,WeeklyPicks!$C:$C,C$16)</f>
        <v>1912</v>
      </c>
      <c r="D46">
        <f>SUMIFS(WeeklyPicks!$O:$O,WeeklyPicks!$A:$A,"&lt;="&amp;$A46,WeeklyPicks!$C:$C,D$16)</f>
        <v>1594</v>
      </c>
      <c r="E46">
        <f>SUMIFS(WeeklyPicks!$O:$O,WeeklyPicks!$A:$A,"&lt;="&amp;$A46,WeeklyPicks!$C:$C,E$16)</f>
        <v>1883</v>
      </c>
      <c r="F46">
        <f>SUMIFS(WeeklyPicks!$O:$O,WeeklyPicks!$A:$A,"&lt;="&amp;$A46,WeeklyPicks!$C:$C,F$16)</f>
        <v>1981</v>
      </c>
      <c r="G46">
        <f>SUMIFS(WeeklyPicks!$O:$O,WeeklyPicks!$A:$A,"&lt;="&amp;$A46,WeeklyPicks!$C:$C,G$16)</f>
        <v>1708</v>
      </c>
      <c r="H46">
        <f>SUMIFS(WeeklyPicks!$O:$O,WeeklyPicks!$A:$A,"&lt;="&amp;$A46,WeeklyPicks!$C:$C,H$16)</f>
        <v>1883</v>
      </c>
      <c r="I46">
        <f>SUMIFS(WeeklyPicks!$O:$O,WeeklyPicks!$A:$A,"&lt;="&amp;$A46,WeeklyPicks!$C:$C,I$16)</f>
        <v>496</v>
      </c>
      <c r="J46">
        <f>SUMIFS(WeeklyPicks!$O:$O,WeeklyPicks!$A:$A,"&lt;="&amp;$A46,WeeklyPicks!$C:$C,J$16)</f>
        <v>0</v>
      </c>
      <c r="K46">
        <f>SUMIFS(WeeklyPicks!$O:$O,WeeklyPicks!$A:$A,"&lt;="&amp;$A46,WeeklyPicks!$C:$C,K$16)</f>
        <v>1560</v>
      </c>
      <c r="L46">
        <f>SUMIFS(WeeklyPicks!$O:$O,WeeklyPicks!$A:$A,"&lt;="&amp;$A46,WeeklyPicks!$C:$C,L$16)</f>
        <v>1517</v>
      </c>
    </row>
    <row r="47" spans="1:12" ht="14.4" x14ac:dyDescent="0.3">
      <c r="A47">
        <v>31</v>
      </c>
      <c r="B47" t="s">
        <v>57</v>
      </c>
      <c r="C47">
        <f>SUMIFS(WeeklyPicks!$O:$O,WeeklyPicks!$A:$A,"&lt;="&amp;$A47,WeeklyPicks!$C:$C,C$16)</f>
        <v>1912</v>
      </c>
      <c r="D47">
        <f>SUMIFS(WeeklyPicks!$O:$O,WeeklyPicks!$A:$A,"&lt;="&amp;$A47,WeeklyPicks!$C:$C,D$16)</f>
        <v>1594</v>
      </c>
      <c r="E47">
        <f>SUMIFS(WeeklyPicks!$O:$O,WeeklyPicks!$A:$A,"&lt;="&amp;$A47,WeeklyPicks!$C:$C,E$16)</f>
        <v>1883</v>
      </c>
      <c r="F47">
        <f>SUMIFS(WeeklyPicks!$O:$O,WeeklyPicks!$A:$A,"&lt;="&amp;$A47,WeeklyPicks!$C:$C,F$16)</f>
        <v>1981</v>
      </c>
      <c r="G47">
        <f>SUMIFS(WeeklyPicks!$O:$O,WeeklyPicks!$A:$A,"&lt;="&amp;$A47,WeeklyPicks!$C:$C,G$16)</f>
        <v>1708</v>
      </c>
      <c r="H47">
        <f>SUMIFS(WeeklyPicks!$O:$O,WeeklyPicks!$A:$A,"&lt;="&amp;$A47,WeeklyPicks!$C:$C,H$16)</f>
        <v>1883</v>
      </c>
      <c r="I47">
        <f>SUMIFS(WeeklyPicks!$O:$O,WeeklyPicks!$A:$A,"&lt;="&amp;$A47,WeeklyPicks!$C:$C,I$16)</f>
        <v>496</v>
      </c>
      <c r="J47">
        <f>SUMIFS(WeeklyPicks!$O:$O,WeeklyPicks!$A:$A,"&lt;="&amp;$A47,WeeklyPicks!$C:$C,J$16)</f>
        <v>0</v>
      </c>
      <c r="K47">
        <f>SUMIFS(WeeklyPicks!$O:$O,WeeklyPicks!$A:$A,"&lt;="&amp;$A47,WeeklyPicks!$C:$C,K$16)</f>
        <v>1560</v>
      </c>
      <c r="L47">
        <f>SUMIFS(WeeklyPicks!$O:$O,WeeklyPicks!$A:$A,"&lt;="&amp;$A47,WeeklyPicks!$C:$C,L$16)</f>
        <v>1517</v>
      </c>
    </row>
    <row r="48" spans="1:12" ht="14.4" x14ac:dyDescent="0.3">
      <c r="A48">
        <v>32</v>
      </c>
      <c r="B48" t="s">
        <v>73</v>
      </c>
      <c r="C48">
        <f>SUMIFS(WeeklyPicks!$O:$O,WeeklyPicks!$A:$A,"&lt;="&amp;$A48,WeeklyPicks!$C:$C,C$16)</f>
        <v>1912</v>
      </c>
      <c r="D48">
        <f>SUMIFS(WeeklyPicks!$O:$O,WeeklyPicks!$A:$A,"&lt;="&amp;$A48,WeeklyPicks!$C:$C,D$16)</f>
        <v>1594</v>
      </c>
      <c r="E48">
        <f>SUMIFS(WeeklyPicks!$O:$O,WeeklyPicks!$A:$A,"&lt;="&amp;$A48,WeeklyPicks!$C:$C,E$16)</f>
        <v>1883</v>
      </c>
      <c r="F48">
        <f>SUMIFS(WeeklyPicks!$O:$O,WeeklyPicks!$A:$A,"&lt;="&amp;$A48,WeeklyPicks!$C:$C,F$16)</f>
        <v>1981</v>
      </c>
      <c r="G48">
        <f>SUMIFS(WeeklyPicks!$O:$O,WeeklyPicks!$A:$A,"&lt;="&amp;$A48,WeeklyPicks!$C:$C,G$16)</f>
        <v>1708</v>
      </c>
      <c r="H48">
        <f>SUMIFS(WeeklyPicks!$O:$O,WeeklyPicks!$A:$A,"&lt;="&amp;$A48,WeeklyPicks!$C:$C,H$16)</f>
        <v>1883</v>
      </c>
      <c r="I48">
        <f>SUMIFS(WeeklyPicks!$O:$O,WeeklyPicks!$A:$A,"&lt;="&amp;$A48,WeeklyPicks!$C:$C,I$16)</f>
        <v>496</v>
      </c>
      <c r="J48">
        <f>SUMIFS(WeeklyPicks!$O:$O,WeeklyPicks!$A:$A,"&lt;="&amp;$A48,WeeklyPicks!$C:$C,J$16)</f>
        <v>0</v>
      </c>
      <c r="K48">
        <f>SUMIFS(WeeklyPicks!$O:$O,WeeklyPicks!$A:$A,"&lt;="&amp;$A48,WeeklyPicks!$C:$C,K$16)</f>
        <v>1560</v>
      </c>
      <c r="L48">
        <f>SUMIFS(WeeklyPicks!$O:$O,WeeklyPicks!$A:$A,"&lt;="&amp;$A48,WeeklyPicks!$C:$C,L$16)</f>
        <v>1517</v>
      </c>
    </row>
    <row r="49" spans="1:12" ht="14.4" x14ac:dyDescent="0.3">
      <c r="A49">
        <v>33</v>
      </c>
      <c r="B49" t="s">
        <v>54</v>
      </c>
      <c r="C49">
        <f>SUMIFS(WeeklyPicks!$O:$O,WeeklyPicks!$A:$A,"&lt;="&amp;$A49,WeeklyPicks!$C:$C,C$16)</f>
        <v>1912</v>
      </c>
      <c r="D49">
        <f>SUMIFS(WeeklyPicks!$O:$O,WeeklyPicks!$A:$A,"&lt;="&amp;$A49,WeeklyPicks!$C:$C,D$16)</f>
        <v>1594</v>
      </c>
      <c r="E49">
        <f>SUMIFS(WeeklyPicks!$O:$O,WeeklyPicks!$A:$A,"&lt;="&amp;$A49,WeeklyPicks!$C:$C,E$16)</f>
        <v>1883</v>
      </c>
      <c r="F49">
        <f>SUMIFS(WeeklyPicks!$O:$O,WeeklyPicks!$A:$A,"&lt;="&amp;$A49,WeeklyPicks!$C:$C,F$16)</f>
        <v>1981</v>
      </c>
      <c r="G49">
        <f>SUMIFS(WeeklyPicks!$O:$O,WeeklyPicks!$A:$A,"&lt;="&amp;$A49,WeeklyPicks!$C:$C,G$16)</f>
        <v>1708</v>
      </c>
      <c r="H49">
        <f>SUMIFS(WeeklyPicks!$O:$O,WeeklyPicks!$A:$A,"&lt;="&amp;$A49,WeeklyPicks!$C:$C,H$16)</f>
        <v>1883</v>
      </c>
      <c r="I49">
        <f>SUMIFS(WeeklyPicks!$O:$O,WeeklyPicks!$A:$A,"&lt;="&amp;$A49,WeeklyPicks!$C:$C,I$16)</f>
        <v>496</v>
      </c>
      <c r="J49">
        <f>SUMIFS(WeeklyPicks!$O:$O,WeeklyPicks!$A:$A,"&lt;="&amp;$A49,WeeklyPicks!$C:$C,J$16)</f>
        <v>0</v>
      </c>
      <c r="K49">
        <f>SUMIFS(WeeklyPicks!$O:$O,WeeklyPicks!$A:$A,"&lt;="&amp;$A49,WeeklyPicks!$C:$C,K$16)</f>
        <v>1560</v>
      </c>
      <c r="L49">
        <f>SUMIFS(WeeklyPicks!$O:$O,WeeklyPicks!$A:$A,"&lt;="&amp;$A49,WeeklyPicks!$C:$C,L$16)</f>
        <v>1517</v>
      </c>
    </row>
    <row r="50" spans="1:12" ht="14.4" x14ac:dyDescent="0.3">
      <c r="A50">
        <v>34</v>
      </c>
      <c r="B50" t="s">
        <v>67</v>
      </c>
      <c r="C50">
        <f>SUMIFS(WeeklyPicks!$O:$O,WeeklyPicks!$A:$A,"&lt;="&amp;$A50,WeeklyPicks!$C:$C,C$16)</f>
        <v>1912</v>
      </c>
      <c r="D50">
        <f>SUMIFS(WeeklyPicks!$O:$O,WeeklyPicks!$A:$A,"&lt;="&amp;$A50,WeeklyPicks!$C:$C,D$16)</f>
        <v>1594</v>
      </c>
      <c r="E50">
        <f>SUMIFS(WeeklyPicks!$O:$O,WeeklyPicks!$A:$A,"&lt;="&amp;$A50,WeeklyPicks!$C:$C,E$16)</f>
        <v>1883</v>
      </c>
      <c r="F50">
        <f>SUMIFS(WeeklyPicks!$O:$O,WeeklyPicks!$A:$A,"&lt;="&amp;$A50,WeeklyPicks!$C:$C,F$16)</f>
        <v>1981</v>
      </c>
      <c r="G50">
        <f>SUMIFS(WeeklyPicks!$O:$O,WeeklyPicks!$A:$A,"&lt;="&amp;$A50,WeeklyPicks!$C:$C,G$16)</f>
        <v>1708</v>
      </c>
      <c r="H50">
        <f>SUMIFS(WeeklyPicks!$O:$O,WeeklyPicks!$A:$A,"&lt;="&amp;$A50,WeeklyPicks!$C:$C,H$16)</f>
        <v>1883</v>
      </c>
      <c r="I50">
        <f>SUMIFS(WeeklyPicks!$O:$O,WeeklyPicks!$A:$A,"&lt;="&amp;$A50,WeeklyPicks!$C:$C,I$16)</f>
        <v>496</v>
      </c>
      <c r="J50">
        <f>SUMIFS(WeeklyPicks!$O:$O,WeeklyPicks!$A:$A,"&lt;="&amp;$A50,WeeklyPicks!$C:$C,J$16)</f>
        <v>0</v>
      </c>
      <c r="K50">
        <f>SUMIFS(WeeklyPicks!$O:$O,WeeklyPicks!$A:$A,"&lt;="&amp;$A50,WeeklyPicks!$C:$C,K$16)</f>
        <v>1560</v>
      </c>
      <c r="L50">
        <f>SUMIFS(WeeklyPicks!$O:$O,WeeklyPicks!$A:$A,"&lt;="&amp;$A50,WeeklyPicks!$C:$C,L$16)</f>
        <v>1517</v>
      </c>
    </row>
    <row r="51" spans="1:12" ht="14.4" x14ac:dyDescent="0.3">
      <c r="A51">
        <v>35</v>
      </c>
      <c r="B51" t="s">
        <v>61</v>
      </c>
      <c r="C51">
        <f>SUMIFS(WeeklyPicks!$O:$O,WeeklyPicks!$A:$A,"&lt;="&amp;$A51,WeeklyPicks!$C:$C,C$16)</f>
        <v>1912</v>
      </c>
      <c r="D51">
        <f>SUMIFS(WeeklyPicks!$O:$O,WeeklyPicks!$A:$A,"&lt;="&amp;$A51,WeeklyPicks!$C:$C,D$16)</f>
        <v>1594</v>
      </c>
      <c r="E51">
        <f>SUMIFS(WeeklyPicks!$O:$O,WeeklyPicks!$A:$A,"&lt;="&amp;$A51,WeeklyPicks!$C:$C,E$16)</f>
        <v>1883</v>
      </c>
      <c r="F51">
        <f>SUMIFS(WeeklyPicks!$O:$O,WeeklyPicks!$A:$A,"&lt;="&amp;$A51,WeeklyPicks!$C:$C,F$16)</f>
        <v>1981</v>
      </c>
      <c r="G51">
        <f>SUMIFS(WeeklyPicks!$O:$O,WeeklyPicks!$A:$A,"&lt;="&amp;$A51,WeeklyPicks!$C:$C,G$16)</f>
        <v>1708</v>
      </c>
      <c r="H51">
        <f>SUMIFS(WeeklyPicks!$O:$O,WeeklyPicks!$A:$A,"&lt;="&amp;$A51,WeeklyPicks!$C:$C,H$16)</f>
        <v>1883</v>
      </c>
      <c r="I51">
        <f>SUMIFS(WeeklyPicks!$O:$O,WeeklyPicks!$A:$A,"&lt;="&amp;$A51,WeeklyPicks!$C:$C,I$16)</f>
        <v>496</v>
      </c>
      <c r="J51">
        <f>SUMIFS(WeeklyPicks!$O:$O,WeeklyPicks!$A:$A,"&lt;="&amp;$A51,WeeklyPicks!$C:$C,J$16)</f>
        <v>0</v>
      </c>
      <c r="K51">
        <f>SUMIFS(WeeklyPicks!$O:$O,WeeklyPicks!$A:$A,"&lt;="&amp;$A51,WeeklyPicks!$C:$C,K$16)</f>
        <v>1560</v>
      </c>
      <c r="L51">
        <f>SUMIFS(WeeklyPicks!$O:$O,WeeklyPicks!$A:$A,"&lt;="&amp;$A51,WeeklyPicks!$C:$C,L$16)</f>
        <v>1517</v>
      </c>
    </row>
    <row r="52" spans="1:12" ht="14.4" x14ac:dyDescent="0.3">
      <c r="A52">
        <v>36</v>
      </c>
      <c r="B52" t="s">
        <v>115</v>
      </c>
      <c r="C52">
        <f>SUMIFS(WeeklyPicks!$O:$O,WeeklyPicks!$A:$A,"&lt;="&amp;$A52,WeeklyPicks!$C:$C,C$16)</f>
        <v>1912</v>
      </c>
      <c r="D52">
        <f>SUMIFS(WeeklyPicks!$O:$O,WeeklyPicks!$A:$A,"&lt;="&amp;$A52,WeeklyPicks!$C:$C,D$16)</f>
        <v>1594</v>
      </c>
      <c r="E52">
        <f>SUMIFS(WeeklyPicks!$O:$O,WeeklyPicks!$A:$A,"&lt;="&amp;$A52,WeeklyPicks!$C:$C,E$16)</f>
        <v>1883</v>
      </c>
      <c r="F52">
        <f>SUMIFS(WeeklyPicks!$O:$O,WeeklyPicks!$A:$A,"&lt;="&amp;$A52,WeeklyPicks!$C:$C,F$16)</f>
        <v>1981</v>
      </c>
      <c r="G52">
        <f>SUMIFS(WeeklyPicks!$O:$O,WeeklyPicks!$A:$A,"&lt;="&amp;$A52,WeeklyPicks!$C:$C,G$16)</f>
        <v>1708</v>
      </c>
      <c r="H52">
        <f>SUMIFS(WeeklyPicks!$O:$O,WeeklyPicks!$A:$A,"&lt;="&amp;$A52,WeeklyPicks!$C:$C,H$16)</f>
        <v>1883</v>
      </c>
      <c r="I52">
        <f>SUMIFS(WeeklyPicks!$O:$O,WeeklyPicks!$A:$A,"&lt;="&amp;$A52,WeeklyPicks!$C:$C,I$16)</f>
        <v>496</v>
      </c>
      <c r="J52">
        <f>SUMIFS(WeeklyPicks!$O:$O,WeeklyPicks!$A:$A,"&lt;="&amp;$A52,WeeklyPicks!$C:$C,J$16)</f>
        <v>0</v>
      </c>
      <c r="K52">
        <f>SUMIFS(WeeklyPicks!$O:$O,WeeklyPicks!$A:$A,"&lt;="&amp;$A52,WeeklyPicks!$C:$C,K$16)</f>
        <v>1560</v>
      </c>
      <c r="L52">
        <f>SUMIFS(WeeklyPicks!$O:$O,WeeklyPicks!$A:$A,"&lt;="&amp;$A52,WeeklyPicks!$C:$C,L$16)</f>
        <v>1517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E5" sqref="E5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7" customWidth="1"/>
    <col min="5" max="5" width="16" customWidth="1"/>
    <col min="6" max="6" width="6" customWidth="1"/>
  </cols>
  <sheetData>
    <row r="1" spans="1:6" ht="30.75" customHeight="1" x14ac:dyDescent="0.6">
      <c r="A1" s="22" t="s">
        <v>159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">
        <v>157</v>
      </c>
      <c r="D2" s="13" t="s">
        <v>149</v>
      </c>
      <c r="E2" s="14" t="s">
        <v>158</v>
      </c>
    </row>
    <row r="4" spans="1:6" ht="14.4" x14ac:dyDescent="0.3">
      <c r="A4" s="15" t="s">
        <v>152</v>
      </c>
      <c r="B4" s="15" t="s">
        <v>153</v>
      </c>
      <c r="C4" s="15" t="s">
        <v>154</v>
      </c>
      <c r="D4" s="15" t="s">
        <v>155</v>
      </c>
      <c r="E4" s="15" t="s">
        <v>156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1912</v>
      </c>
      <c r="D5" s="16">
        <f>Dashboard!D4</f>
        <v>4</v>
      </c>
      <c r="E5" s="16">
        <v>120</v>
      </c>
    </row>
    <row r="6" spans="1:6" ht="18" customHeight="1" x14ac:dyDescent="0.3">
      <c r="A6" s="16">
        <f>Dashboard!A5</f>
        <v>6</v>
      </c>
      <c r="B6" s="16" t="str">
        <f>Dashboard!B5</f>
        <v>Meg</v>
      </c>
      <c r="C6" s="16">
        <f>Dashboard!C5</f>
        <v>1594</v>
      </c>
      <c r="D6" s="16">
        <f>Dashboard!D5</f>
        <v>5</v>
      </c>
      <c r="E6" s="16">
        <f>Dashboard!G5</f>
        <v>111</v>
      </c>
    </row>
    <row r="7" spans="1:6" ht="18" customHeight="1" x14ac:dyDescent="0.3">
      <c r="A7" s="16">
        <f>Dashboard!A6</f>
        <v>3</v>
      </c>
      <c r="B7" s="16" t="str">
        <f>Dashboard!B6</f>
        <v>Darin</v>
      </c>
      <c r="C7" s="16">
        <f>Dashboard!C6</f>
        <v>1883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1981</v>
      </c>
      <c r="D8" s="16">
        <f>Dashboard!D7</f>
        <v>3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1708</v>
      </c>
      <c r="D9" s="16">
        <f>Dashboard!D8</f>
        <v>3</v>
      </c>
      <c r="E9" s="16">
        <f>Dashboard!G8</f>
        <v>118</v>
      </c>
    </row>
    <row r="10" spans="1:6" ht="18" customHeight="1" x14ac:dyDescent="0.3">
      <c r="A10" s="16">
        <f>Dashboard!A9</f>
        <v>3</v>
      </c>
      <c r="B10" s="16" t="str">
        <f>Dashboard!B9</f>
        <v>Evelyn</v>
      </c>
      <c r="C10" s="16">
        <f>Dashboard!C9</f>
        <v>1883</v>
      </c>
      <c r="D10" s="16">
        <f>Dashboard!D9</f>
        <v>5</v>
      </c>
      <c r="E10" s="16">
        <f>Dashboard!G9</f>
        <v>112</v>
      </c>
    </row>
    <row r="11" spans="1:6" ht="18" customHeight="1" x14ac:dyDescent="0.3">
      <c r="A11" s="16">
        <f>Dashboard!A10</f>
        <v>0</v>
      </c>
      <c r="B11" s="16" t="str">
        <f>Dashboard!B10</f>
        <v>Deric</v>
      </c>
      <c r="C11" s="16">
        <f>Dashboard!C10</f>
        <v>496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7</v>
      </c>
      <c r="B13" s="16" t="str">
        <f>Dashboard!B12</f>
        <v>Jay</v>
      </c>
      <c r="C13" s="16">
        <f>Dashboard!C12</f>
        <v>1560</v>
      </c>
      <c r="D13" s="16">
        <f>Dashboard!D12</f>
        <v>1</v>
      </c>
      <c r="E13" s="16">
        <f>Dashboard!G12</f>
        <v>0</v>
      </c>
    </row>
    <row r="14" spans="1:6" ht="18" customHeight="1" x14ac:dyDescent="0.3">
      <c r="A14" s="16">
        <f>Dashboard!A13</f>
        <v>8</v>
      </c>
      <c r="B14" s="16" t="str">
        <f>Dashboard!B13</f>
        <v>Ryan</v>
      </c>
      <c r="C14" s="16">
        <f>Dashboard!C13</f>
        <v>1517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150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2026-08-24T01:34:32Z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