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284" documentId="8_{64ED620B-E9CD-47B3-A172-B982AAA909D5}" xr6:coauthVersionLast="47" xr6:coauthVersionMax="47" xr10:uidLastSave="{E7324428-D253-42EF-ADB7-051B6F1A294B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47" i="5"/>
  <c r="G9" i="11" s="1"/>
  <c r="E10" i="12" s="1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C8" i="10" s="1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C18" i="10" s="1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9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9" i="10"/>
  <c r="C7" i="10"/>
  <c r="C4" i="10"/>
  <c r="C90" i="10"/>
  <c r="C78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55" i="10" l="1"/>
  <c r="C23" i="10"/>
  <c r="M51" i="5"/>
  <c r="G13" i="11" s="1"/>
  <c r="E14" i="12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L31" i="11"/>
  <c r="D10" i="6"/>
  <c r="D14" i="6"/>
  <c r="C98" i="10"/>
  <c r="K20" i="11"/>
  <c r="D32" i="6"/>
  <c r="C11" i="6"/>
  <c r="K18" i="11"/>
  <c r="C9" i="6"/>
  <c r="L21" i="11"/>
  <c r="K19" i="11"/>
  <c r="H33" i="6"/>
  <c r="I33" i="6" s="1"/>
  <c r="D34" i="6"/>
  <c r="H38" i="11"/>
  <c r="D7" i="6"/>
  <c r="C24" i="6"/>
  <c r="H50" i="11"/>
  <c r="D27" i="6"/>
  <c r="C16" i="6"/>
  <c r="D24" i="11"/>
  <c r="D21" i="11"/>
  <c r="C37" i="6"/>
  <c r="C12" i="10"/>
  <c r="H29" i="11"/>
  <c r="C33" i="6"/>
  <c r="D44" i="11"/>
  <c r="D18" i="6"/>
  <c r="D15" i="6"/>
  <c r="C10" i="6"/>
  <c r="D31" i="6"/>
  <c r="J37" i="11"/>
  <c r="D30" i="11"/>
  <c r="D36" i="11"/>
  <c r="D50" i="11"/>
  <c r="L24" i="11"/>
  <c r="K23" i="11"/>
  <c r="L28" i="11"/>
  <c r="H25" i="11"/>
  <c r="H21" i="6"/>
  <c r="I21" i="6" s="1"/>
  <c r="C34" i="6"/>
  <c r="C27" i="6"/>
  <c r="D36" i="6"/>
  <c r="K35" i="11"/>
  <c r="C22" i="6"/>
  <c r="H37" i="11"/>
  <c r="L36" i="11"/>
  <c r="H23" i="11"/>
  <c r="L48" i="11"/>
  <c r="K41" i="11"/>
  <c r="H43" i="11"/>
  <c r="C25" i="6"/>
  <c r="H42" i="11"/>
  <c r="K52" i="11"/>
  <c r="H22" i="11"/>
  <c r="D29" i="11"/>
  <c r="D21" i="6"/>
  <c r="L29" i="11"/>
  <c r="H17" i="6"/>
  <c r="I17" i="6" s="1"/>
  <c r="D20" i="6"/>
  <c r="D30" i="6"/>
  <c r="H36" i="11"/>
  <c r="D13" i="6"/>
  <c r="K25" i="11"/>
  <c r="C12" i="11"/>
  <c r="C13" i="12" s="1"/>
  <c r="H28" i="11"/>
  <c r="C18" i="6"/>
  <c r="L26" i="11"/>
  <c r="L35" i="11"/>
  <c r="C13" i="6"/>
  <c r="D23" i="6"/>
  <c r="H30" i="11"/>
  <c r="G15" i="6"/>
  <c r="J46" i="11"/>
  <c r="H21" i="11"/>
  <c r="D52" i="11"/>
  <c r="L32" i="11"/>
  <c r="H48" i="11"/>
  <c r="G14" i="6"/>
  <c r="L41" i="11"/>
  <c r="H24" i="11"/>
  <c r="G19" i="6"/>
  <c r="H27" i="11"/>
  <c r="E5" i="11"/>
  <c r="J29" i="11"/>
  <c r="H49" i="11"/>
  <c r="H41" i="11"/>
  <c r="K37" i="11"/>
  <c r="C12" i="6"/>
  <c r="H33" i="11"/>
  <c r="K33" i="11"/>
  <c r="H26" i="11"/>
  <c r="L25" i="11"/>
  <c r="K21" i="11"/>
  <c r="B17" i="12"/>
  <c r="J7" i="11"/>
  <c r="D23" i="11"/>
  <c r="H35" i="11"/>
  <c r="H6" i="6"/>
  <c r="I6" i="6" s="1"/>
  <c r="B18" i="12" s="1"/>
  <c r="G2" i="6"/>
  <c r="H16" i="6"/>
  <c r="I16" i="6" s="1"/>
  <c r="H39" i="1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H31" i="11"/>
  <c r="D46" i="11"/>
  <c r="D38" i="11"/>
  <c r="C15" i="6"/>
  <c r="J31" i="11"/>
  <c r="J23" i="11"/>
  <c r="L40" i="11"/>
  <c r="D8" i="6"/>
  <c r="L50" i="11"/>
  <c r="L42" i="11"/>
  <c r="H32" i="11"/>
  <c r="E58" i="10"/>
  <c r="D58" i="10"/>
  <c r="E61" i="10"/>
  <c r="D61" i="10"/>
  <c r="H5" i="6"/>
  <c r="I5" i="6" s="1"/>
  <c r="G5" i="6"/>
  <c r="J35" i="11"/>
  <c r="E13" i="11"/>
  <c r="E86" i="10"/>
  <c r="D86" i="10"/>
  <c r="H8" i="6"/>
  <c r="I8" i="6" s="1"/>
  <c r="K47" i="11"/>
  <c r="D33" i="6"/>
  <c r="D9" i="6"/>
  <c r="J49" i="11"/>
  <c r="J41" i="11"/>
  <c r="G6" i="6"/>
  <c r="L46" i="11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C9" i="11"/>
  <c r="H45" i="11"/>
  <c r="D35" i="11"/>
  <c r="D27" i="11"/>
  <c r="D25" i="11"/>
  <c r="C30" i="6"/>
  <c r="J20" i="11"/>
  <c r="J47" i="11"/>
  <c r="L39" i="11"/>
  <c r="L3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H51" i="11"/>
  <c r="D41" i="11"/>
  <c r="D33" i="11"/>
  <c r="D31" i="11"/>
  <c r="J26" i="11"/>
  <c r="J24" i="11"/>
  <c r="E11" i="11"/>
  <c r="L45" i="11"/>
  <c r="L43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L51" i="11"/>
  <c r="L49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H34" i="11"/>
  <c r="D42" i="11"/>
  <c r="C5" i="11"/>
  <c r="D45" i="11"/>
  <c r="D43" i="11"/>
  <c r="C26" i="6"/>
  <c r="J38" i="11"/>
  <c r="J36" i="11"/>
  <c r="J28" i="11"/>
  <c r="C31" i="6"/>
  <c r="C13" i="11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L52" i="11"/>
  <c r="K50" i="11"/>
  <c r="K42" i="11"/>
  <c r="D22" i="6"/>
  <c r="C19" i="6"/>
  <c r="H40" i="11"/>
  <c r="D51" i="11"/>
  <c r="D49" i="11"/>
  <c r="D26" i="6"/>
  <c r="J44" i="11"/>
  <c r="J42" i="11"/>
  <c r="J34" i="11"/>
  <c r="L47" i="11"/>
  <c r="H4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H46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H52" i="11"/>
  <c r="D34" i="11"/>
  <c r="D26" i="11"/>
  <c r="H47" i="11"/>
  <c r="C11" i="11"/>
  <c r="L38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E9" i="11"/>
  <c r="D40" i="11"/>
  <c r="D32" i="11"/>
  <c r="J25" i="11"/>
  <c r="J52" i="11"/>
  <c r="C8" i="6"/>
  <c r="L44" i="11"/>
  <c r="D48" i="11"/>
  <c r="L27" i="11" l="1"/>
  <c r="E41" i="11"/>
  <c r="E8" i="11"/>
  <c r="G50" i="11"/>
  <c r="C8" i="11"/>
  <c r="C9" i="12" s="1"/>
  <c r="L30" i="11"/>
  <c r="L23" i="11"/>
  <c r="C6" i="6"/>
  <c r="E2" i="12" s="1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J5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4" i="12"/>
  <c r="C11" i="12"/>
  <c r="C12" i="12"/>
  <c r="C10" i="12"/>
  <c r="C6" i="12"/>
  <c r="E17" i="12"/>
  <c r="J8" i="11"/>
  <c r="D13" i="11" l="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<sst xmlns="http://schemas.openxmlformats.org/spreadsheetml/2006/main" count="8285" uniqueCount="159">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</sst>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357</c:v>
                </c:pt>
                <c:pt idx="1">
                  <c:v>459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678</c:v>
                </c:pt>
                <c:pt idx="15">
                  <c:v>678</c:v>
                </c:pt>
                <c:pt idx="16">
                  <c:v>678</c:v>
                </c:pt>
                <c:pt idx="17">
                  <c:v>678</c:v>
                </c:pt>
                <c:pt idx="18">
                  <c:v>678</c:v>
                </c:pt>
                <c:pt idx="19">
                  <c:v>678</c:v>
                </c:pt>
                <c:pt idx="20">
                  <c:v>678</c:v>
                </c:pt>
                <c:pt idx="21">
                  <c:v>678</c:v>
                </c:pt>
                <c:pt idx="22">
                  <c:v>678</c:v>
                </c:pt>
                <c:pt idx="23">
                  <c:v>678</c:v>
                </c:pt>
                <c:pt idx="24">
                  <c:v>678</c:v>
                </c:pt>
                <c:pt idx="25">
                  <c:v>678</c:v>
                </c:pt>
                <c:pt idx="26">
                  <c:v>678</c:v>
                </c:pt>
                <c:pt idx="27">
                  <c:v>678</c:v>
                </c:pt>
                <c:pt idx="28">
                  <c:v>678</c:v>
                </c:pt>
                <c:pt idx="29">
                  <c:v>678</c:v>
                </c:pt>
                <c:pt idx="30">
                  <c:v>678</c:v>
                </c:pt>
                <c:pt idx="31">
                  <c:v>678</c:v>
                </c:pt>
                <c:pt idx="32">
                  <c:v>678</c:v>
                </c:pt>
                <c:pt idx="33">
                  <c:v>678</c:v>
                </c:pt>
                <c:pt idx="34">
                  <c:v>678</c:v>
                </c:pt>
                <c:pt idx="35">
                  <c:v>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639</c:v>
                </c:pt>
                <c:pt idx="15">
                  <c:v>639</c:v>
                </c:pt>
                <c:pt idx="16">
                  <c:v>639</c:v>
                </c:pt>
                <c:pt idx="17">
                  <c:v>639</c:v>
                </c:pt>
                <c:pt idx="18">
                  <c:v>639</c:v>
                </c:pt>
                <c:pt idx="19">
                  <c:v>639</c:v>
                </c:pt>
                <c:pt idx="20">
                  <c:v>639</c:v>
                </c:pt>
                <c:pt idx="21">
                  <c:v>639</c:v>
                </c:pt>
                <c:pt idx="22">
                  <c:v>639</c:v>
                </c:pt>
                <c:pt idx="23">
                  <c:v>639</c:v>
                </c:pt>
                <c:pt idx="24">
                  <c:v>639</c:v>
                </c:pt>
                <c:pt idx="25">
                  <c:v>639</c:v>
                </c:pt>
                <c:pt idx="26">
                  <c:v>639</c:v>
                </c:pt>
                <c:pt idx="27">
                  <c:v>639</c:v>
                </c:pt>
                <c:pt idx="28">
                  <c:v>639</c:v>
                </c:pt>
                <c:pt idx="29">
                  <c:v>639</c:v>
                </c:pt>
                <c:pt idx="30">
                  <c:v>639</c:v>
                </c:pt>
                <c:pt idx="31">
                  <c:v>639</c:v>
                </c:pt>
                <c:pt idx="32">
                  <c:v>639</c:v>
                </c:pt>
                <c:pt idx="33">
                  <c:v>639</c:v>
                </c:pt>
                <c:pt idx="34">
                  <c:v>639</c:v>
                </c:pt>
                <c:pt idx="35">
                  <c:v>639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9.9166666666666661</c:v>
                </c:pt>
                <c:pt idx="1">
                  <c:v>12.75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589</c:v>
                </c:pt>
                <c:pt idx="15">
                  <c:v>589</c:v>
                </c:pt>
                <c:pt idx="16">
                  <c:v>589</c:v>
                </c:pt>
                <c:pt idx="17">
                  <c:v>589</c:v>
                </c:pt>
                <c:pt idx="18">
                  <c:v>589</c:v>
                </c:pt>
                <c:pt idx="19">
                  <c:v>589</c:v>
                </c:pt>
                <c:pt idx="20">
                  <c:v>589</c:v>
                </c:pt>
                <c:pt idx="21">
                  <c:v>589</c:v>
                </c:pt>
                <c:pt idx="22">
                  <c:v>589</c:v>
                </c:pt>
                <c:pt idx="23">
                  <c:v>589</c:v>
                </c:pt>
                <c:pt idx="24">
                  <c:v>589</c:v>
                </c:pt>
                <c:pt idx="25">
                  <c:v>589</c:v>
                </c:pt>
                <c:pt idx="26">
                  <c:v>589</c:v>
                </c:pt>
                <c:pt idx="27">
                  <c:v>589</c:v>
                </c:pt>
                <c:pt idx="28">
                  <c:v>589</c:v>
                </c:pt>
                <c:pt idx="29">
                  <c:v>589</c:v>
                </c:pt>
                <c:pt idx="30">
                  <c:v>589</c:v>
                </c:pt>
                <c:pt idx="31">
                  <c:v>589</c:v>
                </c:pt>
                <c:pt idx="32">
                  <c:v>589</c:v>
                </c:pt>
                <c:pt idx="33">
                  <c:v>589</c:v>
                </c:pt>
                <c:pt idx="34">
                  <c:v>589</c:v>
                </c:pt>
                <c:pt idx="35">
                  <c:v>589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662</c:v>
                </c:pt>
                <c:pt idx="15">
                  <c:v>662</c:v>
                </c:pt>
                <c:pt idx="16">
                  <c:v>662</c:v>
                </c:pt>
                <c:pt idx="17">
                  <c:v>662</c:v>
                </c:pt>
                <c:pt idx="18">
                  <c:v>662</c:v>
                </c:pt>
                <c:pt idx="19">
                  <c:v>662</c:v>
                </c:pt>
                <c:pt idx="20">
                  <c:v>662</c:v>
                </c:pt>
                <c:pt idx="21">
                  <c:v>662</c:v>
                </c:pt>
                <c:pt idx="22">
                  <c:v>662</c:v>
                </c:pt>
                <c:pt idx="23">
                  <c:v>662</c:v>
                </c:pt>
                <c:pt idx="24">
                  <c:v>662</c:v>
                </c:pt>
                <c:pt idx="25">
                  <c:v>662</c:v>
                </c:pt>
                <c:pt idx="26">
                  <c:v>662</c:v>
                </c:pt>
                <c:pt idx="27">
                  <c:v>662</c:v>
                </c:pt>
                <c:pt idx="28">
                  <c:v>662</c:v>
                </c:pt>
                <c:pt idx="29">
                  <c:v>662</c:v>
                </c:pt>
                <c:pt idx="30">
                  <c:v>662</c:v>
                </c:pt>
                <c:pt idx="31">
                  <c:v>662</c:v>
                </c:pt>
                <c:pt idx="32">
                  <c:v>662</c:v>
                </c:pt>
                <c:pt idx="33">
                  <c:v>662</c:v>
                </c:pt>
                <c:pt idx="34">
                  <c:v>662</c:v>
                </c:pt>
                <c:pt idx="35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92" activePane="bottomLeft" state="frozen"/>
      <selection pane="bottomLeft" activeCell="F101" sqref="F10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0</v>
      </c>
      <c r="H92" s="11">
        <f>IF(E92="","",SUMIFS(RaceResults!$C:$C,RaceResults!$A:$A,$A92,RaceResults!$D:$D,E92))</f>
        <v>0</v>
      </c>
      <c r="I92" s="11">
        <f>IF(F92="","",SUMIFS(RaceResults!$C:$C,RaceResults!$A:$A,$A92,RaceResults!$D:$D,F92))</f>
        <v>0</v>
      </c>
      <c r="J92" s="11">
        <f>IF(D92="","",SUMIFS(RaceResults!$E:$E,RaceResults!$A:$A,$A92,RaceResults!$D:$D,D92))</f>
        <v>0</v>
      </c>
      <c r="K92" s="11">
        <f>IF(E92="","",SUMIFS(RaceResults!$E:$E,RaceResults!$A:$A,$A92,RaceResults!$D:$D,E92))</f>
        <v>0</v>
      </c>
      <c r="L92" s="11">
        <f>IF(F92="","",SUMIFS(RaceResults!$E:$E,RaceResults!$A:$A,$A92,RaceResults!$D:$D,F92))</f>
        <v>0</v>
      </c>
      <c r="M92" s="11">
        <f t="shared" si="1"/>
        <v>0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0</v>
      </c>
      <c r="H93" s="11">
        <f>IF(E93="","",SUMIFS(RaceResults!$C:$C,RaceResults!$A:$A,$A93,RaceResults!$D:$D,E93))</f>
        <v>0</v>
      </c>
      <c r="I93" s="11">
        <f>IF(F93="","",SUMIFS(RaceResults!$C:$C,RaceResults!$A:$A,$A93,RaceResults!$D:$D,F93))</f>
        <v>0</v>
      </c>
      <c r="J93" s="11">
        <f>IF(D93="","",SUMIFS(RaceResults!$E:$E,RaceResults!$A:$A,$A93,RaceResults!$D:$D,D93))</f>
        <v>0</v>
      </c>
      <c r="K93" s="11">
        <f>IF(E93="","",SUMIFS(RaceResults!$E:$E,RaceResults!$A:$A,$A93,RaceResults!$D:$D,E93))</f>
        <v>0</v>
      </c>
      <c r="L93" s="11">
        <f>IF(F93="","",SUMIFS(RaceResults!$E:$E,RaceResults!$A:$A,$A93,RaceResults!$D:$D,F93))</f>
        <v>0</v>
      </c>
      <c r="M93" s="11">
        <f t="shared" si="1"/>
        <v>0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0</v>
      </c>
      <c r="H94" s="11">
        <f>IF(E94="","",SUMIFS(RaceResults!$C:$C,RaceResults!$A:$A,$A94,RaceResults!$D:$D,E94))</f>
        <v>0</v>
      </c>
      <c r="I94" s="11">
        <f>IF(F94="","",SUMIFS(RaceResults!$C:$C,RaceResults!$A:$A,$A94,RaceResults!$D:$D,F94))</f>
        <v>0</v>
      </c>
      <c r="J94" s="11">
        <f>IF(D94="","",SUMIFS(RaceResults!$E:$E,RaceResults!$A:$A,$A94,RaceResults!$D:$D,D94))</f>
        <v>0</v>
      </c>
      <c r="K94" s="11">
        <f>IF(E94="","",SUMIFS(RaceResults!$E:$E,RaceResults!$A:$A,$A94,RaceResults!$D:$D,E94))</f>
        <v>0</v>
      </c>
      <c r="L94" s="11">
        <f>IF(F94="","",SUMIFS(RaceResults!$E:$E,RaceResults!$A:$A,$A94,RaceResults!$D:$D,F94))</f>
        <v>0</v>
      </c>
      <c r="M94" s="11">
        <f t="shared" si="1"/>
        <v>0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0</v>
      </c>
      <c r="H95" s="11">
        <f>IF(E95="","",SUMIFS(RaceResults!$C:$C,RaceResults!$A:$A,$A95,RaceResults!$D:$D,E95))</f>
        <v>0</v>
      </c>
      <c r="I95" s="11">
        <f>IF(F95="","",SUMIFS(RaceResults!$C:$C,RaceResults!$A:$A,$A95,RaceResults!$D:$D,F95))</f>
        <v>0</v>
      </c>
      <c r="J95" s="11">
        <f>IF(D95="","",SUMIFS(RaceResults!$E:$E,RaceResults!$A:$A,$A95,RaceResults!$D:$D,D95))</f>
        <v>0</v>
      </c>
      <c r="K95" s="11">
        <f>IF(E95="","",SUMIFS(RaceResults!$E:$E,RaceResults!$A:$A,$A95,RaceResults!$D:$D,E95))</f>
        <v>0</v>
      </c>
      <c r="L95" s="11">
        <f>IF(F95="","",SUMIFS(RaceResults!$E:$E,RaceResults!$A:$A,$A95,RaceResults!$D:$D,F95))</f>
        <v>0</v>
      </c>
      <c r="M95" s="11">
        <f t="shared" si="1"/>
        <v>0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0</v>
      </c>
      <c r="H96" s="11">
        <f>IF(E96="","",SUMIFS(RaceResults!$C:$C,RaceResults!$A:$A,$A96,RaceResults!$D:$D,E96))</f>
        <v>0</v>
      </c>
      <c r="I96" s="11">
        <f>IF(F96="","",SUMIFS(RaceResults!$C:$C,RaceResults!$A:$A,$A96,RaceResults!$D:$D,F96))</f>
        <v>0</v>
      </c>
      <c r="J96" s="11">
        <f>IF(D96="","",SUMIFS(RaceResults!$E:$E,RaceResults!$A:$A,$A96,RaceResults!$D:$D,D96))</f>
        <v>0</v>
      </c>
      <c r="K96" s="11">
        <f>IF(E96="","",SUMIFS(RaceResults!$E:$E,RaceResults!$A:$A,$A96,RaceResults!$D:$D,E96))</f>
        <v>0</v>
      </c>
      <c r="L96" s="11">
        <f>IF(F96="","",SUMIFS(RaceResults!$E:$E,RaceResults!$A:$A,$A96,RaceResults!$D:$D,F96))</f>
        <v>0</v>
      </c>
      <c r="M96" s="11">
        <f t="shared" si="1"/>
        <v>0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0</v>
      </c>
      <c r="H97" s="11">
        <f>IF(E97="","",SUMIFS(RaceResults!$C:$C,RaceResults!$A:$A,$A97,RaceResults!$D:$D,E97))</f>
        <v>0</v>
      </c>
      <c r="I97" s="11">
        <f>IF(F97="","",SUMIFS(RaceResults!$C:$C,RaceResults!$A:$A,$A97,RaceResults!$D:$D,F97))</f>
        <v>0</v>
      </c>
      <c r="J97" s="11">
        <f>IF(D97="","",SUMIFS(RaceResults!$E:$E,RaceResults!$A:$A,$A97,RaceResults!$D:$D,D97))</f>
        <v>0</v>
      </c>
      <c r="K97" s="11">
        <f>IF(E97="","",SUMIFS(RaceResults!$E:$E,RaceResults!$A:$A,$A97,RaceResults!$D:$D,E97))</f>
        <v>0</v>
      </c>
      <c r="L97" s="11">
        <f>IF(F97="","",SUMIFS(RaceResults!$E:$E,RaceResults!$A:$A,$A97,RaceResults!$D:$D,F97))</f>
        <v>0</v>
      </c>
      <c r="M97" s="11">
        <f t="shared" si="1"/>
        <v>0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0</v>
      </c>
      <c r="H98" s="11">
        <f>IF(E98="","",SUMIFS(RaceResults!$C:$C,RaceResults!$A:$A,$A98,RaceResults!$D:$D,E98))</f>
        <v>0</v>
      </c>
      <c r="I98" s="11">
        <f>IF(F98="","",SUMIFS(RaceResults!$C:$C,RaceResults!$A:$A,$A98,RaceResults!$D:$D,F98))</f>
        <v>0</v>
      </c>
      <c r="J98" s="11">
        <f>IF(D98="","",SUMIFS(RaceResults!$E:$E,RaceResults!$A:$A,$A98,RaceResults!$D:$D,D98))</f>
        <v>0</v>
      </c>
      <c r="K98" s="11">
        <f>IF(E98="","",SUMIFS(RaceResults!$E:$E,RaceResults!$A:$A,$A98,RaceResults!$D:$D,E98))</f>
        <v>0</v>
      </c>
      <c r="L98" s="11">
        <f>IF(F98="","",SUMIFS(RaceResults!$E:$E,RaceResults!$A:$A,$A98,RaceResults!$D:$D,F98))</f>
        <v>0</v>
      </c>
      <c r="M98" s="11">
        <f t="shared" si="1"/>
        <v>0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0</v>
      </c>
      <c r="H100" s="11">
        <f>IF(E100="","",SUMIFS(RaceResults!$C:$C,RaceResults!$A:$A,$A100,RaceResults!$D:$D,E100))</f>
        <v>0</v>
      </c>
      <c r="I100" s="11">
        <f>IF(F100="","",SUMIFS(RaceResults!$C:$C,RaceResults!$A:$A,$A100,RaceResults!$D:$D,F100))</f>
        <v>0</v>
      </c>
      <c r="J100" s="11">
        <f>IF(D100="","",SUMIFS(RaceResults!$E:$E,RaceResults!$A:$A,$A100,RaceResults!$D:$D,D100))</f>
        <v>0</v>
      </c>
      <c r="K100" s="11">
        <f>IF(E100="","",SUMIFS(RaceResults!$E:$E,RaceResults!$A:$A,$A100,RaceResults!$D:$D,E100))</f>
        <v>0</v>
      </c>
      <c r="L100" s="11">
        <f>IF(F100="","",SUMIFS(RaceResults!$E:$E,RaceResults!$A:$A,$A100,RaceResults!$D:$D,F100))</f>
        <v>0</v>
      </c>
      <c r="M100" s="11">
        <f t="shared" si="1"/>
        <v>0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0</v>
      </c>
      <c r="H101" s="11">
        <f>IF(E101="","",SUMIFS(RaceResults!$C:$C,RaceResults!$A:$A,$A101,RaceResults!$D:$D,E101))</f>
        <v>0</v>
      </c>
      <c r="I101" s="11">
        <f>IF(F101="","",SUMIFS(RaceResults!$C:$C,RaceResults!$A:$A,$A101,RaceResults!$D:$D,F101))</f>
        <v>0</v>
      </c>
      <c r="J101" s="11">
        <f>IF(D101="","",SUMIFS(RaceResults!$E:$E,RaceResults!$A:$A,$A101,RaceResults!$D:$D,D101))</f>
        <v>0</v>
      </c>
      <c r="K101" s="11">
        <f>IF(E101="","",SUMIFS(RaceResults!$E:$E,RaceResults!$A:$A,$A101,RaceResults!$D:$D,E101))</f>
        <v>0</v>
      </c>
      <c r="L101" s="11">
        <f>IF(F101="","",SUMIFS(RaceResults!$E:$E,RaceResults!$A:$A,$A101,RaceResults!$D:$D,F101))</f>
        <v>0</v>
      </c>
      <c r="M101" s="11">
        <f t="shared" si="1"/>
        <v>0</v>
      </c>
    </row>
    <row r="102" spans="1:13" x14ac:dyDescent="0.3">
      <c r="A102" s="9">
        <v>11</v>
      </c>
      <c r="B102" s="9" t="s">
        <v>69</v>
      </c>
      <c r="C102" s="10" t="s">
        <v>21</v>
      </c>
      <c r="D102" s="3"/>
      <c r="E102" s="3"/>
      <c r="F102" s="3"/>
      <c r="G102" s="11" t="str">
        <f>IF(D102="","",SUMIFS(RaceResults!$C:$C,RaceResults!$A:$A,$A102,RaceResults!$D:$D,D102))</f>
        <v/>
      </c>
      <c r="H102" s="11" t="str">
        <f>IF(E102="","",SUMIFS(RaceResults!$C:$C,RaceResults!$A:$A,$A102,RaceResults!$D:$D,E102))</f>
        <v/>
      </c>
      <c r="I102" s="11" t="str">
        <f>IF(F102="","",SUMIFS(RaceResults!$C:$C,RaceResults!$A:$A,$A102,RaceResults!$D:$D,F102))</f>
        <v/>
      </c>
      <c r="J102" s="11" t="str">
        <f>IF(D102="","",SUMIFS(RaceResults!$E:$E,RaceResults!$A:$A,$A102,RaceResults!$D:$D,D102))</f>
        <v/>
      </c>
      <c r="K102" s="11" t="str">
        <f>IF(E102="","",SUMIFS(RaceResults!$E:$E,RaceResults!$A:$A,$A102,RaceResults!$D:$D,E102))</f>
        <v/>
      </c>
      <c r="L102" s="11" t="str">
        <f>IF(F102="","",SUMIFS(RaceResults!$E:$E,RaceResults!$A:$A,$A102,RaceResults!$D:$D,F102))</f>
        <v/>
      </c>
      <c r="M102" s="11">
        <f t="shared" si="1"/>
        <v>0</v>
      </c>
    </row>
    <row r="103" spans="1:13" x14ac:dyDescent="0.3">
      <c r="A103" s="9">
        <v>11</v>
      </c>
      <c r="B103" s="9" t="s">
        <v>69</v>
      </c>
      <c r="C103" s="10" t="s">
        <v>22</v>
      </c>
      <c r="D103" s="3"/>
      <c r="E103" s="3"/>
      <c r="F103" s="3"/>
      <c r="G103" s="11" t="str">
        <f>IF(D103="","",SUMIFS(RaceResults!$C:$C,RaceResults!$A:$A,$A103,RaceResults!$D:$D,D103))</f>
        <v/>
      </c>
      <c r="H103" s="11" t="str">
        <f>IF(E103="","",SUMIFS(RaceResults!$C:$C,RaceResults!$A:$A,$A103,RaceResults!$D:$D,E103))</f>
        <v/>
      </c>
      <c r="I103" s="11" t="str">
        <f>IF(F103="","",SUMIFS(RaceResults!$C:$C,RaceResults!$A:$A,$A103,RaceResults!$D:$D,F103))</f>
        <v/>
      </c>
      <c r="J103" s="11" t="str">
        <f>IF(D103="","",SUMIFS(RaceResults!$E:$E,RaceResults!$A:$A,$A103,RaceResults!$D:$D,D103))</f>
        <v/>
      </c>
      <c r="K103" s="11" t="str">
        <f>IF(E103="","",SUMIFS(RaceResults!$E:$E,RaceResults!$A:$A,$A103,RaceResults!$D:$D,E103))</f>
        <v/>
      </c>
      <c r="L103" s="11" t="str">
        <f>IF(F103="","",SUMIFS(RaceResults!$E:$E,RaceResults!$A:$A,$A103,RaceResults!$D:$D,F103))</f>
        <v/>
      </c>
      <c r="M103" s="11">
        <f t="shared" si="1"/>
        <v>0</v>
      </c>
    </row>
    <row r="104" spans="1:13" x14ac:dyDescent="0.3">
      <c r="A104" s="9">
        <v>11</v>
      </c>
      <c r="B104" s="9" t="s">
        <v>69</v>
      </c>
      <c r="C104" s="10" t="s">
        <v>25</v>
      </c>
      <c r="D104" s="3"/>
      <c r="E104" s="3"/>
      <c r="F104" s="3"/>
      <c r="G104" s="11" t="str">
        <f>IF(D104="","",SUMIFS(RaceResults!$C:$C,RaceResults!$A:$A,$A104,RaceResults!$D:$D,D104))</f>
        <v/>
      </c>
      <c r="H104" s="11" t="str">
        <f>IF(E104="","",SUMIFS(RaceResults!$C:$C,RaceResults!$A:$A,$A104,RaceResults!$D:$D,E104))</f>
        <v/>
      </c>
      <c r="I104" s="11" t="str">
        <f>IF(F104="","",SUMIFS(RaceResults!$C:$C,RaceResults!$A:$A,$A104,RaceResults!$D:$D,F104))</f>
        <v/>
      </c>
      <c r="J104" s="11" t="str">
        <f>IF(D104="","",SUMIFS(RaceResults!$E:$E,RaceResults!$A:$A,$A104,RaceResults!$D:$D,D104))</f>
        <v/>
      </c>
      <c r="K104" s="11" t="str">
        <f>IF(E104="","",SUMIFS(RaceResults!$E:$E,RaceResults!$A:$A,$A104,RaceResults!$D:$D,E104))</f>
        <v/>
      </c>
      <c r="L104" s="11" t="str">
        <f>IF(F104="","",SUMIFS(RaceResults!$E:$E,RaceResults!$A:$A,$A104,RaceResults!$D:$D,F104))</f>
        <v/>
      </c>
      <c r="M104" s="11">
        <f t="shared" si="1"/>
        <v>0</v>
      </c>
    </row>
    <row r="105" spans="1:13" x14ac:dyDescent="0.3">
      <c r="A105" s="9">
        <v>11</v>
      </c>
      <c r="B105" s="9" t="s">
        <v>69</v>
      </c>
      <c r="C105" s="10" t="s">
        <v>26</v>
      </c>
      <c r="D105" s="3"/>
      <c r="E105" s="3"/>
      <c r="F105" s="3"/>
      <c r="G105" s="11" t="str">
        <f>IF(D105="","",SUMIFS(RaceResults!$C:$C,RaceResults!$A:$A,$A105,RaceResults!$D:$D,D105))</f>
        <v/>
      </c>
      <c r="H105" s="11" t="str">
        <f>IF(E105="","",SUMIFS(RaceResults!$C:$C,RaceResults!$A:$A,$A105,RaceResults!$D:$D,E105))</f>
        <v/>
      </c>
      <c r="I105" s="11" t="str">
        <f>IF(F105="","",SUMIFS(RaceResults!$C:$C,RaceResults!$A:$A,$A105,RaceResults!$D:$D,F105))</f>
        <v/>
      </c>
      <c r="J105" s="11" t="str">
        <f>IF(D105="","",SUMIFS(RaceResults!$E:$E,RaceResults!$A:$A,$A105,RaceResults!$D:$D,D105))</f>
        <v/>
      </c>
      <c r="K105" s="11" t="str">
        <f>IF(E105="","",SUMIFS(RaceResults!$E:$E,RaceResults!$A:$A,$A105,RaceResults!$D:$D,E105))</f>
        <v/>
      </c>
      <c r="L105" s="11" t="str">
        <f>IF(F105="","",SUMIFS(RaceResults!$E:$E,RaceResults!$A:$A,$A105,RaceResults!$D:$D,F105))</f>
        <v/>
      </c>
      <c r="M105" s="11">
        <f t="shared" si="1"/>
        <v>0</v>
      </c>
    </row>
    <row r="106" spans="1:13" x14ac:dyDescent="0.3">
      <c r="A106" s="9">
        <v>11</v>
      </c>
      <c r="B106" s="9" t="s">
        <v>69</v>
      </c>
      <c r="C106" s="10" t="s">
        <v>27</v>
      </c>
      <c r="D106" s="3"/>
      <c r="E106" s="3"/>
      <c r="F106" s="3"/>
      <c r="G106" s="11" t="str">
        <f>IF(D106="","",SUMIFS(RaceResults!$C:$C,RaceResults!$A:$A,$A106,RaceResults!$D:$D,D106))</f>
        <v/>
      </c>
      <c r="H106" s="11" t="str">
        <f>IF(E106="","",SUMIFS(RaceResults!$C:$C,RaceResults!$A:$A,$A106,RaceResults!$D:$D,E106))</f>
        <v/>
      </c>
      <c r="I106" s="11" t="str">
        <f>IF(F106="","",SUMIFS(RaceResults!$C:$C,RaceResults!$A:$A,$A106,RaceResults!$D:$D,F106))</f>
        <v/>
      </c>
      <c r="J106" s="11" t="str">
        <f>IF(D106="","",SUMIFS(RaceResults!$E:$E,RaceResults!$A:$A,$A106,RaceResults!$D:$D,D106))</f>
        <v/>
      </c>
      <c r="K106" s="11" t="str">
        <f>IF(E106="","",SUMIFS(RaceResults!$E:$E,RaceResults!$A:$A,$A106,RaceResults!$D:$D,E106))</f>
        <v/>
      </c>
      <c r="L106" s="11" t="str">
        <f>IF(F106="","",SUMIFS(RaceResults!$E:$E,RaceResults!$A:$A,$A106,RaceResults!$D:$D,F106))</f>
        <v/>
      </c>
      <c r="M106" s="11">
        <f t="shared" si="1"/>
        <v>0</v>
      </c>
    </row>
    <row r="107" spans="1:13" x14ac:dyDescent="0.3">
      <c r="A107" s="9">
        <v>11</v>
      </c>
      <c r="B107" s="9" t="s">
        <v>69</v>
      </c>
      <c r="C107" s="10" t="s">
        <v>28</v>
      </c>
      <c r="D107" s="3"/>
      <c r="E107" s="3"/>
      <c r="F107" s="3"/>
      <c r="G107" s="11" t="str">
        <f>IF(D107="","",SUMIFS(RaceResults!$C:$C,RaceResults!$A:$A,$A107,RaceResults!$D:$D,D107))</f>
        <v/>
      </c>
      <c r="H107" s="11" t="str">
        <f>IF(E107="","",SUMIFS(RaceResults!$C:$C,RaceResults!$A:$A,$A107,RaceResults!$D:$D,E107))</f>
        <v/>
      </c>
      <c r="I107" s="11" t="str">
        <f>IF(F107="","",SUMIFS(RaceResults!$C:$C,RaceResults!$A:$A,$A107,RaceResults!$D:$D,F107))</f>
        <v/>
      </c>
      <c r="J107" s="11" t="str">
        <f>IF(D107="","",SUMIFS(RaceResults!$E:$E,RaceResults!$A:$A,$A107,RaceResults!$D:$D,D107))</f>
        <v/>
      </c>
      <c r="K107" s="11" t="str">
        <f>IF(E107="","",SUMIFS(RaceResults!$E:$E,RaceResults!$A:$A,$A107,RaceResults!$D:$D,E107))</f>
        <v/>
      </c>
      <c r="L107" s="11" t="str">
        <f>IF(F107="","",SUMIFS(RaceResults!$E:$E,RaceResults!$A:$A,$A107,RaceResults!$D:$D,F107))</f>
        <v/>
      </c>
      <c r="M107" s="11">
        <f t="shared" si="1"/>
        <v>0</v>
      </c>
    </row>
    <row r="108" spans="1:13" x14ac:dyDescent="0.3">
      <c r="A108" s="9">
        <v>11</v>
      </c>
      <c r="B108" s="9" t="s">
        <v>69</v>
      </c>
      <c r="C108" s="10" t="s">
        <v>29</v>
      </c>
      <c r="D108" s="3"/>
      <c r="E108" s="3"/>
      <c r="F108" s="3"/>
      <c r="G108" s="11" t="str">
        <f>IF(D108="","",SUMIFS(RaceResults!$C:$C,RaceResults!$A:$A,$A108,RaceResults!$D:$D,D108))</f>
        <v/>
      </c>
      <c r="H108" s="11" t="str">
        <f>IF(E108="","",SUMIFS(RaceResults!$C:$C,RaceResults!$A:$A,$A108,RaceResults!$D:$D,E108))</f>
        <v/>
      </c>
      <c r="I108" s="11" t="str">
        <f>IF(F108="","",SUMIFS(RaceResults!$C:$C,RaceResults!$A:$A,$A108,RaceResults!$D:$D,F108))</f>
        <v/>
      </c>
      <c r="J108" s="11" t="str">
        <f>IF(D108="","",SUMIFS(RaceResults!$E:$E,RaceResults!$A:$A,$A108,RaceResults!$D:$D,D108))</f>
        <v/>
      </c>
      <c r="K108" s="11" t="str">
        <f>IF(E108="","",SUMIFS(RaceResults!$E:$E,RaceResults!$A:$A,$A108,RaceResults!$D:$D,E108))</f>
        <v/>
      </c>
      <c r="L108" s="11" t="str">
        <f>IF(F108="","",SUMIFS(RaceResults!$E:$E,RaceResults!$A:$A,$A108,RaceResults!$D:$D,F108))</f>
        <v/>
      </c>
      <c r="M108" s="11">
        <f t="shared" si="1"/>
        <v>0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/>
      <c r="E110" s="3"/>
      <c r="F110" s="3"/>
      <c r="G110" s="11" t="str">
        <f>IF(D110="","",SUMIFS(RaceResults!$C:$C,RaceResults!$A:$A,$A110,RaceResults!$D:$D,D110))</f>
        <v/>
      </c>
      <c r="H110" s="11" t="str">
        <f>IF(E110="","",SUMIFS(RaceResults!$C:$C,RaceResults!$A:$A,$A110,RaceResults!$D:$D,E110))</f>
        <v/>
      </c>
      <c r="I110" s="11" t="str">
        <f>IF(F110="","",SUMIFS(RaceResults!$C:$C,RaceResults!$A:$A,$A110,RaceResults!$D:$D,F110))</f>
        <v/>
      </c>
      <c r="J110" s="11" t="str">
        <f>IF(D110="","",SUMIFS(RaceResults!$E:$E,RaceResults!$A:$A,$A110,RaceResults!$D:$D,D110))</f>
        <v/>
      </c>
      <c r="K110" s="11" t="str">
        <f>IF(E110="","",SUMIFS(RaceResults!$E:$E,RaceResults!$A:$A,$A110,RaceResults!$D:$D,E110))</f>
        <v/>
      </c>
      <c r="L110" s="11" t="str">
        <f>IF(F110="","",SUMIFS(RaceResults!$E:$E,RaceResults!$A:$A,$A110,RaceResults!$D:$D,F110))</f>
        <v/>
      </c>
      <c r="M110" s="11">
        <f t="shared" si="1"/>
        <v>0</v>
      </c>
    </row>
    <row r="111" spans="1:13" x14ac:dyDescent="0.3">
      <c r="A111" s="9">
        <v>11</v>
      </c>
      <c r="B111" s="9" t="s">
        <v>69</v>
      </c>
      <c r="C111" s="10" t="s">
        <v>32</v>
      </c>
      <c r="D111" s="3"/>
      <c r="E111" s="3"/>
      <c r="F111" s="3"/>
      <c r="G111" s="11" t="str">
        <f>IF(D111="","",SUMIFS(RaceResults!$C:$C,RaceResults!$A:$A,$A111,RaceResults!$D:$D,D111))</f>
        <v/>
      </c>
      <c r="H111" s="11" t="str">
        <f>IF(E111="","",SUMIFS(RaceResults!$C:$C,RaceResults!$A:$A,$A111,RaceResults!$D:$D,E111))</f>
        <v/>
      </c>
      <c r="I111" s="11" t="str">
        <f>IF(F111="","",SUMIFS(RaceResults!$C:$C,RaceResults!$A:$A,$A111,RaceResults!$D:$D,F111))</f>
        <v/>
      </c>
      <c r="J111" s="11" t="str">
        <f>IF(D111="","",SUMIFS(RaceResults!$E:$E,RaceResults!$A:$A,$A111,RaceResults!$D:$D,D111))</f>
        <v/>
      </c>
      <c r="K111" s="11" t="str">
        <f>IF(E111="","",SUMIFS(RaceResults!$E:$E,RaceResults!$A:$A,$A111,RaceResults!$D:$D,E111))</f>
        <v/>
      </c>
      <c r="L111" s="11" t="str">
        <f>IF(F111="","",SUMIFS(RaceResults!$E:$E,RaceResults!$A:$A,$A111,RaceResults!$D:$D,F111))</f>
        <v/>
      </c>
      <c r="M111" s="11">
        <f t="shared" si="1"/>
        <v>0</v>
      </c>
    </row>
    <row r="112" spans="1:13" x14ac:dyDescent="0.3">
      <c r="A112" s="9">
        <v>12</v>
      </c>
      <c r="B112" s="9" t="s">
        <v>71</v>
      </c>
      <c r="C112" s="10" t="s">
        <v>21</v>
      </c>
      <c r="D112" s="3"/>
      <c r="E112" s="3"/>
      <c r="F112" s="3"/>
      <c r="G112" s="11" t="str">
        <f>IF(D112="","",SUMIFS(RaceResults!$C:$C,RaceResults!$A:$A,$A112,RaceResults!$D:$D,D112))</f>
        <v/>
      </c>
      <c r="H112" s="11" t="str">
        <f>IF(E112="","",SUMIFS(RaceResults!$C:$C,RaceResults!$A:$A,$A112,RaceResults!$D:$D,E112))</f>
        <v/>
      </c>
      <c r="I112" s="11" t="str">
        <f>IF(F112="","",SUMIFS(RaceResults!$C:$C,RaceResults!$A:$A,$A112,RaceResults!$D:$D,F112))</f>
        <v/>
      </c>
      <c r="J112" s="11" t="str">
        <f>IF(D112="","",SUMIFS(RaceResults!$E:$E,RaceResults!$A:$A,$A112,RaceResults!$D:$D,D112))</f>
        <v/>
      </c>
      <c r="K112" s="11" t="str">
        <f>IF(E112="","",SUMIFS(RaceResults!$E:$E,RaceResults!$A:$A,$A112,RaceResults!$D:$D,E112))</f>
        <v/>
      </c>
      <c r="L112" s="11" t="str">
        <f>IF(F112="","",SUMIFS(RaceResults!$E:$E,RaceResults!$A:$A,$A112,RaceResults!$D:$D,F112))</f>
        <v/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/>
      </c>
      <c r="D11">
        <f>MAX(WeeklyPicks!$M$92:$M$101)</f>
        <v>0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 t="str">
        <f>IF(MAX(Calc!$F$272:$F$301)=0,"",INDEX(Calc!$E$272:$E$301,MATCH(MAX(Calc!$F$272:$F$301),Calc!$F$272:$F$301,0)))</f>
        <v/>
      </c>
      <c r="H11">
        <f>MAX(Calc!$F$272:$F$301)</f>
        <v>0</v>
      </c>
      <c r="I11" t="str">
        <f>IF(H11=0,"",INDEX(Calc!$C$272:$C$301,MATCH(H11,Calc!$F$272:$F$301,0)))</f>
        <v/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/>
      </c>
      <c r="D12">
        <f>MAX(WeeklyPicks!$M$102:$M$111)</f>
        <v>0</v>
      </c>
      <c r="E12" t="str">
        <f>IF(MAX(CountCalc!$D$992:$D$1090)=0,"",INDEX(CountCalc!$C$992:$C$1090,MATCH(MAX(CountCalc!$D$992:$D$1090),CountCalc!$D$992:$D$1090,0)))</f>
        <v/>
      </c>
      <c r="F12">
        <f>MAX(CountCalc!$D$992:$D$1090)</f>
        <v>0</v>
      </c>
      <c r="G12" t="str">
        <f>IF(MAX(Calc!$F$302:$F$331)=0,"",INDEX(Calc!$E$302:$E$331,MATCH(MAX(Calc!$F$302:$F$331),Calc!$F$302:$F$331,0)))</f>
        <v/>
      </c>
      <c r="H12">
        <f>MAX(Calc!$F$302:$F$331)</f>
        <v>0</v>
      </c>
      <c r="I12" t="str">
        <f>IF(H12=0,"",INDEX(Calc!$C$302:$C$331,MATCH(H12,Calc!$F$302:$F$331,0)))</f>
        <v/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 t="str">
        <f>IF(MAX(CountCalc!$D$1091:$D$1189)=0,"",INDEX(CountCalc!$C$1091:$C$1189,MATCH(MAX(CountCalc!$D$1091:$D$1189),CountCalc!$D$1091:$D$1189,0)))</f>
        <v/>
      </c>
      <c r="F13">
        <f>MAX(CountCalc!$D$1091:$D$1189)</f>
        <v>0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342" activePane="bottomLeft" state="frozen"/>
      <selection pane="bottomLeft" activeCell="D360" sqref="D360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/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/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/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/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/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/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/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/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/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/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/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/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/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/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/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/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/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/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/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/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/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/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/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/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/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/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/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/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/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/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/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/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/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/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/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/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/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/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/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/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/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/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/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/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/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/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/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/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/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/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/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/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/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/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/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/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/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/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/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/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/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/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/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/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/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/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/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/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/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/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/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/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/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/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/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/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/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/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0</v>
      </c>
      <c r="G272">
        <f>IF(E272="","",SUMIFS(RaceResults!$E:$E,RaceResults!$A:$A,A272,RaceResults!$D:$D,E272))</f>
        <v>0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0</v>
      </c>
      <c r="G273">
        <f>IF(E273="","",SUMIFS(RaceResults!$E:$E,RaceResults!$A:$A,A273,RaceResults!$D:$D,E273))</f>
        <v>0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0</v>
      </c>
      <c r="G274">
        <f>IF(E274="","",SUMIFS(RaceResults!$E:$E,RaceResults!$A:$A,A274,RaceResults!$D:$D,E274))</f>
        <v>0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0</v>
      </c>
      <c r="G275">
        <f>IF(E275="","",SUMIFS(RaceResults!$E:$E,RaceResults!$A:$A,A275,RaceResults!$D:$D,E275))</f>
        <v>0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0</v>
      </c>
      <c r="G276">
        <f>IF(E276="","",SUMIFS(RaceResults!$E:$E,RaceResults!$A:$A,A276,RaceResults!$D:$D,E276))</f>
        <v>0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0</v>
      </c>
      <c r="G277">
        <f>IF(E277="","",SUMIFS(RaceResults!$E:$E,RaceResults!$A:$A,A277,RaceResults!$D:$D,E277))</f>
        <v>0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0</v>
      </c>
      <c r="G278">
        <f>IF(E278="","",SUMIFS(RaceResults!$E:$E,RaceResults!$A:$A,A278,RaceResults!$D:$D,E278))</f>
        <v>0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0</v>
      </c>
      <c r="G279">
        <f>IF(E279="","",SUMIFS(RaceResults!$E:$E,RaceResults!$A:$A,A279,RaceResults!$D:$D,E279))</f>
        <v>0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0</v>
      </c>
      <c r="G280">
        <f>IF(E280="","",SUMIFS(RaceResults!$E:$E,RaceResults!$A:$A,A280,RaceResults!$D:$D,E280))</f>
        <v>0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0</v>
      </c>
      <c r="G281">
        <f>IF(E281="","",SUMIFS(RaceResults!$E:$E,RaceResults!$A:$A,A281,RaceResults!$D:$D,E281))</f>
        <v>0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0</v>
      </c>
      <c r="G282">
        <f>IF(E282="","",SUMIFS(RaceResults!$E:$E,RaceResults!$A:$A,A282,RaceResults!$D:$D,E282))</f>
        <v>0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0</v>
      </c>
      <c r="G283">
        <f>IF(E283="","",SUMIFS(RaceResults!$E:$E,RaceResults!$A:$A,A283,RaceResults!$D:$D,E283))</f>
        <v>0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0</v>
      </c>
      <c r="G284">
        <f>IF(E284="","",SUMIFS(RaceResults!$E:$E,RaceResults!$A:$A,A284,RaceResults!$D:$D,E284))</f>
        <v>0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0</v>
      </c>
      <c r="G285">
        <f>IF(E285="","",SUMIFS(RaceResults!$E:$E,RaceResults!$A:$A,A285,RaceResults!$D:$D,E285))</f>
        <v>0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0</v>
      </c>
      <c r="G286">
        <f>IF(E286="","",SUMIFS(RaceResults!$E:$E,RaceResults!$A:$A,A286,RaceResults!$D:$D,E286))</f>
        <v>0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0</v>
      </c>
      <c r="G287">
        <f>IF(E287="","",SUMIFS(RaceResults!$E:$E,RaceResults!$A:$A,A287,RaceResults!$D:$D,E287))</f>
        <v>0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0</v>
      </c>
      <c r="G288">
        <f>IF(E288="","",SUMIFS(RaceResults!$E:$E,RaceResults!$A:$A,A288,RaceResults!$D:$D,E288))</f>
        <v>0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0</v>
      </c>
      <c r="G289">
        <f>IF(E289="","",SUMIFS(RaceResults!$E:$E,RaceResults!$A:$A,A289,RaceResults!$D:$D,E289))</f>
        <v>0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0</v>
      </c>
      <c r="G290">
        <f>IF(E290="","",SUMIFS(RaceResults!$E:$E,RaceResults!$A:$A,A290,RaceResults!$D:$D,E290))</f>
        <v>0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0</v>
      </c>
      <c r="G291">
        <f>IF(E291="","",SUMIFS(RaceResults!$E:$E,RaceResults!$A:$A,A291,RaceResults!$D:$D,E291))</f>
        <v>0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0</v>
      </c>
      <c r="G292">
        <f>IF(E292="","",SUMIFS(RaceResults!$E:$E,RaceResults!$A:$A,A292,RaceResults!$D:$D,E292))</f>
        <v>0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0</v>
      </c>
      <c r="G296">
        <f>IF(E296="","",SUMIFS(RaceResults!$E:$E,RaceResults!$A:$A,A296,RaceResults!$D:$D,E296))</f>
        <v>0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0</v>
      </c>
      <c r="G297">
        <f>IF(E297="","",SUMIFS(RaceResults!$E:$E,RaceResults!$A:$A,A297,RaceResults!$D:$D,E297))</f>
        <v>0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0</v>
      </c>
      <c r="G298">
        <f>IF(E298="","",SUMIFS(RaceResults!$E:$E,RaceResults!$A:$A,A298,RaceResults!$D:$D,E298))</f>
        <v>0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0</v>
      </c>
      <c r="G299">
        <f>IF(E299="","",SUMIFS(RaceResults!$E:$E,RaceResults!$A:$A,A299,RaceResults!$D:$D,E299))</f>
        <v>0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0</v>
      </c>
      <c r="G300">
        <f>IF(E300="","",SUMIFS(RaceResults!$E:$E,RaceResults!$A:$A,A300,RaceResults!$D:$D,E300))</f>
        <v>0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0</v>
      </c>
      <c r="G301">
        <f>IF(E301="","",SUMIFS(RaceResults!$E:$E,RaceResults!$A:$A,A301,RaceResults!$D:$D,E301))</f>
        <v>0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0</v>
      </c>
      <c r="F302">
        <f>IF(E302="","",SUMIFS(RaceResults!$C:$C,RaceResults!$A:$A,A302,RaceResults!$D:$D,E302))</f>
        <v>0</v>
      </c>
      <c r="G302">
        <f>IF(E302="","",SUMIFS(RaceResults!$E:$E,RaceResults!$A:$A,A302,RaceResults!$D:$D,E302))</f>
        <v>0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0</v>
      </c>
      <c r="F303">
        <f>IF(E303="","",SUMIFS(RaceResults!$C:$C,RaceResults!$A:$A,A303,RaceResults!$D:$D,E303))</f>
        <v>0</v>
      </c>
      <c r="G303">
        <f>IF(E303="","",SUMIFS(RaceResults!$E:$E,RaceResults!$A:$A,A303,RaceResults!$D:$D,E303))</f>
        <v>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0</v>
      </c>
      <c r="F304">
        <f>IF(E304="","",SUMIFS(RaceResults!$C:$C,RaceResults!$A:$A,A304,RaceResults!$D:$D,E304))</f>
        <v>0</v>
      </c>
      <c r="G304">
        <f>IF(E304="","",SUMIFS(RaceResults!$E:$E,RaceResults!$A:$A,A304,RaceResults!$D:$D,E304))</f>
        <v>0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0</v>
      </c>
      <c r="F305">
        <f>IF(E305="","",SUMIFS(RaceResults!$C:$C,RaceResults!$A:$A,A305,RaceResults!$D:$D,E305))</f>
        <v>0</v>
      </c>
      <c r="G305">
        <f>IF(E305="","",SUMIFS(RaceResults!$E:$E,RaceResults!$A:$A,A305,RaceResults!$D:$D,E305))</f>
        <v>0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0</v>
      </c>
      <c r="F306">
        <f>IF(E306="","",SUMIFS(RaceResults!$C:$C,RaceResults!$A:$A,A306,RaceResults!$D:$D,E306))</f>
        <v>0</v>
      </c>
      <c r="G306">
        <f>IF(E306="","",SUMIFS(RaceResults!$E:$E,RaceResults!$A:$A,A306,RaceResults!$D:$D,E306))</f>
        <v>0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0</v>
      </c>
      <c r="F307">
        <f>IF(E307="","",SUMIFS(RaceResults!$C:$C,RaceResults!$A:$A,A307,RaceResults!$D:$D,E307))</f>
        <v>0</v>
      </c>
      <c r="G307">
        <f>IF(E307="","",SUMIFS(RaceResults!$E:$E,RaceResults!$A:$A,A307,RaceResults!$D:$D,E307))</f>
        <v>0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0</v>
      </c>
      <c r="F308">
        <f>IF(E308="","",SUMIFS(RaceResults!$C:$C,RaceResults!$A:$A,A308,RaceResults!$D:$D,E308))</f>
        <v>0</v>
      </c>
      <c r="G308">
        <f>IF(E308="","",SUMIFS(RaceResults!$E:$E,RaceResults!$A:$A,A308,RaceResults!$D:$D,E308))</f>
        <v>0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0</v>
      </c>
      <c r="F309">
        <f>IF(E309="","",SUMIFS(RaceResults!$C:$C,RaceResults!$A:$A,A309,RaceResults!$D:$D,E309))</f>
        <v>0</v>
      </c>
      <c r="G309">
        <f>IF(E309="","",SUMIFS(RaceResults!$E:$E,RaceResults!$A:$A,A309,RaceResults!$D:$D,E309))</f>
        <v>0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0</v>
      </c>
      <c r="F310">
        <f>IF(E310="","",SUMIFS(RaceResults!$C:$C,RaceResults!$A:$A,A310,RaceResults!$D:$D,E310))</f>
        <v>0</v>
      </c>
      <c r="G310">
        <f>IF(E310="","",SUMIFS(RaceResults!$E:$E,RaceResults!$A:$A,A310,RaceResults!$D:$D,E310))</f>
        <v>0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0</v>
      </c>
      <c r="F311">
        <f>IF(E311="","",SUMIFS(RaceResults!$C:$C,RaceResults!$A:$A,A311,RaceResults!$D:$D,E311))</f>
        <v>0</v>
      </c>
      <c r="G311">
        <f>IF(E311="","",SUMIFS(RaceResults!$E:$E,RaceResults!$A:$A,A311,RaceResults!$D:$D,E311))</f>
        <v>0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0</v>
      </c>
      <c r="F312">
        <f>IF(E312="","",SUMIFS(RaceResults!$C:$C,RaceResults!$A:$A,A312,RaceResults!$D:$D,E312))</f>
        <v>0</v>
      </c>
      <c r="G312">
        <f>IF(E312="","",SUMIFS(RaceResults!$E:$E,RaceResults!$A:$A,A312,RaceResults!$D:$D,E312))</f>
        <v>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0</v>
      </c>
      <c r="F313">
        <f>IF(E313="","",SUMIFS(RaceResults!$C:$C,RaceResults!$A:$A,A313,RaceResults!$D:$D,E313))</f>
        <v>0</v>
      </c>
      <c r="G313">
        <f>IF(E313="","",SUMIFS(RaceResults!$E:$E,RaceResults!$A:$A,A313,RaceResults!$D:$D,E313))</f>
        <v>0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0</v>
      </c>
      <c r="F314">
        <f>IF(E314="","",SUMIFS(RaceResults!$C:$C,RaceResults!$A:$A,A314,RaceResults!$D:$D,E314))</f>
        <v>0</v>
      </c>
      <c r="G314">
        <f>IF(E314="","",SUMIFS(RaceResults!$E:$E,RaceResults!$A:$A,A314,RaceResults!$D:$D,E314))</f>
        <v>0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0</v>
      </c>
      <c r="F315">
        <f>IF(E315="","",SUMIFS(RaceResults!$C:$C,RaceResults!$A:$A,A315,RaceResults!$D:$D,E315))</f>
        <v>0</v>
      </c>
      <c r="G315">
        <f>IF(E315="","",SUMIFS(RaceResults!$E:$E,RaceResults!$A:$A,A315,RaceResults!$D:$D,E315))</f>
        <v>0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0</v>
      </c>
      <c r="F316">
        <f>IF(E316="","",SUMIFS(RaceResults!$C:$C,RaceResults!$A:$A,A316,RaceResults!$D:$D,E316))</f>
        <v>0</v>
      </c>
      <c r="G316">
        <f>IF(E316="","",SUMIFS(RaceResults!$E:$E,RaceResults!$A:$A,A316,RaceResults!$D:$D,E316))</f>
        <v>0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0</v>
      </c>
      <c r="F317">
        <f>IF(E317="","",SUMIFS(RaceResults!$C:$C,RaceResults!$A:$A,A317,RaceResults!$D:$D,E317))</f>
        <v>0</v>
      </c>
      <c r="G317">
        <f>IF(E317="","",SUMIFS(RaceResults!$E:$E,RaceResults!$A:$A,A317,RaceResults!$D:$D,E317))</f>
        <v>0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0</v>
      </c>
      <c r="F318">
        <f>IF(E318="","",SUMIFS(RaceResults!$C:$C,RaceResults!$A:$A,A318,RaceResults!$D:$D,E318))</f>
        <v>0</v>
      </c>
      <c r="G318">
        <f>IF(E318="","",SUMIFS(RaceResults!$E:$E,RaceResults!$A:$A,A318,RaceResults!$D:$D,E318))</f>
        <v>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0</v>
      </c>
      <c r="F319">
        <f>IF(E319="","",SUMIFS(RaceResults!$C:$C,RaceResults!$A:$A,A319,RaceResults!$D:$D,E319))</f>
        <v>0</v>
      </c>
      <c r="G319">
        <f>IF(E319="","",SUMIFS(RaceResults!$E:$E,RaceResults!$A:$A,A319,RaceResults!$D:$D,E319))</f>
        <v>0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0</v>
      </c>
      <c r="F320">
        <f>IF(E320="","",SUMIFS(RaceResults!$C:$C,RaceResults!$A:$A,A320,RaceResults!$D:$D,E320))</f>
        <v>0</v>
      </c>
      <c r="G320">
        <f>IF(E320="","",SUMIFS(RaceResults!$E:$E,RaceResults!$A:$A,A320,RaceResults!$D:$D,E320))</f>
        <v>0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0</v>
      </c>
      <c r="F321">
        <f>IF(E321="","",SUMIFS(RaceResults!$C:$C,RaceResults!$A:$A,A321,RaceResults!$D:$D,E321))</f>
        <v>0</v>
      </c>
      <c r="G321">
        <f>IF(E321="","",SUMIFS(RaceResults!$E:$E,RaceResults!$A:$A,A321,RaceResults!$D:$D,E321))</f>
        <v>0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0</v>
      </c>
      <c r="F322">
        <f>IF(E322="","",SUMIFS(RaceResults!$C:$C,RaceResults!$A:$A,A322,RaceResults!$D:$D,E322))</f>
        <v>0</v>
      </c>
      <c r="G322">
        <f>IF(E322="","",SUMIFS(RaceResults!$E:$E,RaceResults!$A:$A,A322,RaceResults!$D:$D,E322))</f>
        <v>0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0</v>
      </c>
      <c r="F326">
        <f>IF(E326="","",SUMIFS(RaceResults!$C:$C,RaceResults!$A:$A,A326,RaceResults!$D:$D,E326))</f>
        <v>0</v>
      </c>
      <c r="G326">
        <f>IF(E326="","",SUMIFS(RaceResults!$E:$E,RaceResults!$A:$A,A326,RaceResults!$D:$D,E326))</f>
        <v>0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0</v>
      </c>
      <c r="F327">
        <f>IF(E327="","",SUMIFS(RaceResults!$C:$C,RaceResults!$A:$A,A327,RaceResults!$D:$D,E327))</f>
        <v>0</v>
      </c>
      <c r="G327">
        <f>IF(E327="","",SUMIFS(RaceResults!$E:$E,RaceResults!$A:$A,A327,RaceResults!$D:$D,E327))</f>
        <v>0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0</v>
      </c>
      <c r="F328">
        <f>IF(E328="","",SUMIFS(RaceResults!$C:$C,RaceResults!$A:$A,A328,RaceResults!$D:$D,E328))</f>
        <v>0</v>
      </c>
      <c r="G328">
        <f>IF(E328="","",SUMIFS(RaceResults!$E:$E,RaceResults!$A:$A,A328,RaceResults!$D:$D,E328))</f>
        <v>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0</v>
      </c>
      <c r="F329">
        <f>IF(E329="","",SUMIFS(RaceResults!$C:$C,RaceResults!$A:$A,A329,RaceResults!$D:$D,E329))</f>
        <v>0</v>
      </c>
      <c r="G329">
        <f>IF(E329="","",SUMIFS(RaceResults!$E:$E,RaceResults!$A:$A,A329,RaceResults!$D:$D,E329))</f>
        <v>0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0</v>
      </c>
      <c r="F330">
        <f>IF(E330="","",SUMIFS(RaceResults!$C:$C,RaceResults!$A:$A,A330,RaceResults!$D:$D,E330))</f>
        <v>0</v>
      </c>
      <c r="G330">
        <f>IF(E330="","",SUMIFS(RaceResults!$E:$E,RaceResults!$A:$A,A330,RaceResults!$D:$D,E330))</f>
        <v>0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0</v>
      </c>
      <c r="F331">
        <f>IF(E331="","",SUMIFS(RaceResults!$C:$C,RaceResults!$A:$A,A331,RaceResults!$D:$D,E331))</f>
        <v>0</v>
      </c>
      <c r="G331">
        <f>IF(E331="","",SUMIFS(RaceResults!$E:$E,RaceResults!$A:$A,A331,RaceResults!$D:$D,E331))</f>
        <v>0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0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0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0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0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0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0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0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0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0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0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0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0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0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0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0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0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0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0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0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30</v>
      </c>
      <c r="C6">
        <f>SUMIF(Calc!$E$2:$E$1081,A6,Calc!$G$2:$G$1081)</f>
        <v>680</v>
      </c>
      <c r="D6">
        <f>IF(B6=0,"",AVERAGEIF(Calc!$E$2:$E$1081,A6,Calc!$F$2:$F$1081))</f>
        <v>6.9333333333333336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0</v>
      </c>
      <c r="D7">
        <f>IF(B7=0,"",AVERAGEIF(Calc!$E$2:$E$1081,A7,Calc!$F$2:$F$1081))</f>
        <v>0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1</v>
      </c>
      <c r="C8">
        <f>SUMIF(Calc!$E$2:$E$1081,A8,Calc!$G$2:$G$1081)</f>
        <v>7</v>
      </c>
      <c r="D8">
        <f>IF(B8=0,"",AVERAGEIF(Calc!$E$2:$E$1081,A8,Calc!$F$2:$F$1081))</f>
        <v>30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0</v>
      </c>
      <c r="C9">
        <f>SUMIF(Calc!$E$2:$E$1081,A9,Calc!$G$2:$G$1081)</f>
        <v>0</v>
      </c>
      <c r="D9" t="str">
        <f>IF(B9=0,"",AVERAGEIF(Calc!$E$2:$E$1081,A9,Calc!$F$2:$F$1081))</f>
        <v/>
      </c>
      <c r="E9" t="str">
        <f>IF(B9=0,"",_xludf.minifs(Calc!$F$2:$F$1081,Calc!$E$2:$E$1081,A9))</f>
        <v/>
      </c>
    </row>
    <row r="10" spans="1:5" x14ac:dyDescent="0.3">
      <c r="A10">
        <v>9</v>
      </c>
      <c r="B10">
        <f>COUNTIF(Calc!$E$2:$E$1081,A10)</f>
        <v>8</v>
      </c>
      <c r="C10">
        <f>SUMIF(Calc!$E$2:$E$1081,A10,Calc!$G$2:$G$1081)</f>
        <v>281</v>
      </c>
      <c r="D10">
        <f>IF(B10=0,"",AVERAGEIF(Calc!$E$2:$E$1081,A10,Calc!$F$2:$F$1081))</f>
        <v>4.375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30</v>
      </c>
      <c r="C12">
        <f>SUMIF(Calc!$E$2:$E$1081,A12,Calc!$G$2:$G$1081)</f>
        <v>984</v>
      </c>
      <c r="D12">
        <f>IF(B12=0,"",AVERAGEIF(Calc!$E$2:$E$1081,A12,Calc!$F$2:$F$1081))</f>
        <v>5.5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27</v>
      </c>
      <c r="C13">
        <f>SUMIF(Calc!$E$2:$E$1081,A13,Calc!$G$2:$G$1081)</f>
        <v>706</v>
      </c>
      <c r="D13">
        <f>IF(B13=0,"",AVERAGEIF(Calc!$E$2:$E$1081,A13,Calc!$F$2:$F$1081))</f>
        <v>7.4814814814814818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2</v>
      </c>
      <c r="C18">
        <f>SUMIF(Calc!$E$2:$E$1081,A18,Calc!$G$2:$G$1081)</f>
        <v>52</v>
      </c>
      <c r="D18">
        <f>IF(B18=0,"",AVERAGEIF(Calc!$E$2:$E$1081,A18,Calc!$F$2:$F$1081))</f>
        <v>11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3</v>
      </c>
      <c r="C20">
        <f>SUMIF(Calc!$E$2:$E$1081,A20,Calc!$G$2:$G$1081)</f>
        <v>3</v>
      </c>
      <c r="D20">
        <f>IF(B20=0,"",AVERAGEIF(Calc!$E$2:$E$1081,A20,Calc!$F$2:$F$1081))</f>
        <v>37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9</v>
      </c>
      <c r="C21">
        <f>SUMIF(Calc!$E$2:$E$1081,A21,Calc!$G$2:$G$1081)</f>
        <v>234</v>
      </c>
      <c r="D21">
        <f>IF(B21=0,"",AVERAGEIF(Calc!$E$2:$E$1081,A21,Calc!$F$2:$F$1081))</f>
        <v>11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5</v>
      </c>
      <c r="C23">
        <f>SUMIF(Calc!$E$2:$E$1081,A23,Calc!$G$2:$G$1081)</f>
        <v>40</v>
      </c>
      <c r="D23">
        <f>IF(B23=0,"",AVERAGEIF(Calc!$E$2:$E$1081,A23,Calc!$F$2:$F$1081))</f>
        <v>14.2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85</v>
      </c>
      <c r="D24">
        <f>IF(B24=0,"",AVERAGEIF(Calc!$E$2:$E$1081,A24,Calc!$F$2:$F$1081))</f>
        <v>9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307</v>
      </c>
      <c r="D25">
        <f>IF(B25=0,"",AVERAGEIF(Calc!$E$2:$E$1081,A25,Calc!$F$2:$F$1081))</f>
        <v>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22</v>
      </c>
      <c r="C46">
        <f>SUMIF(Calc!$E$2:$E$1081,A46,Calc!$G$2:$G$1081)</f>
        <v>724</v>
      </c>
      <c r="D46">
        <f>IF(B46=0,"",AVERAGEIF(Calc!$E$2:$E$1081,A46,Calc!$F$2:$F$1081))</f>
        <v>4.2727272727272725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0</v>
      </c>
      <c r="C49">
        <f>SUMIF(Calc!$E$2:$E$1081,A49,Calc!$G$2:$G$1081)</f>
        <v>0</v>
      </c>
      <c r="D49" t="str">
        <f>IF(B49=0,"",AVERAGEIF(Calc!$E$2:$E$1081,A49,Calc!$F$2:$F$1081))</f>
        <v/>
      </c>
      <c r="E49" t="str">
        <f>IF(B49=0,"",_xludf.minifs(Calc!$F$2:$F$1081,Calc!$E$2:$E$1081,A49))</f>
        <v/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10</v>
      </c>
      <c r="C55">
        <f>SUMIF(Calc!$E$2:$E$1081,A55,Calc!$G$2:$G$1081)</f>
        <v>336</v>
      </c>
      <c r="D55">
        <f>IF(B55=0,"",AVERAGEIF(Calc!$E$2:$E$1081,A55,Calc!$F$2:$F$1081))</f>
        <v>5.4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1</v>
      </c>
      <c r="C78">
        <f>SUMIF(Calc!$E$2:$E$1081,A78,Calc!$G$2:$G$1081)</f>
        <v>20</v>
      </c>
      <c r="D78">
        <f>IF(B78=0,"",AVERAGEIF(Calc!$E$2:$E$1081,A78,Calc!$F$2:$F$1081))</f>
        <v>17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4</v>
      </c>
      <c r="C98">
        <f>SUMIF(Calc!$E$2:$E$1081,A98,Calc!$G$2:$G$1081)</f>
        <v>122</v>
      </c>
      <c r="D98">
        <f>IF(B98=0,"",AVERAGEIF(Calc!$E$2:$E$1081,A98,Calc!$F$2:$F$1081))</f>
        <v>6.5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5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1</v>
      </c>
      <c r="B4" t="s">
        <v>21</v>
      </c>
      <c r="C4">
        <f>SUMIF(WeeklyPicks!$C:$C,B4,WeeklyPicks!$M:$M)</f>
        <v>678</v>
      </c>
      <c r="D4">
        <f>COUNTIF(RaceSummary!$C:$C,B4)</f>
        <v>2</v>
      </c>
      <c r="E4">
        <f>IF(COUNTIF(WeeklyPicks!$C:$C,B4)=0,"",AVERAGEIF(WeeklyPicks!$C:$C,B4,WeeklyPicks!$M:$M))</f>
        <v>18.833333333333332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3</v>
      </c>
      <c r="B5" t="s">
        <v>22</v>
      </c>
      <c r="C5">
        <f>SUMIF(WeeklyPicks!$C:$C,B5,WeeklyPicks!$M:$M)</f>
        <v>639</v>
      </c>
      <c r="D5">
        <f>COUNTIF(RaceSummary!$C:$C,B5)</f>
        <v>1</v>
      </c>
      <c r="E5">
        <f>IF(COUNTIF(WeeklyPicks!$C:$C,B5)=0,"",AVERAGEIF(WeeklyPicks!$C:$C,B5,WeeklyPicks!$M:$M))</f>
        <v>17.75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589</v>
      </c>
      <c r="D6">
        <f>COUNTIF(RaceSummary!$C:$C,B6)</f>
        <v>1</v>
      </c>
      <c r="E6">
        <f>IF(COUNTIF(WeeklyPicks!$C:$C,B6)=0,"",AVERAGEIF(WeeklyPicks!$C:$C,B6,WeeklyPicks!$M:$M))</f>
        <v>16.361111111111111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662</v>
      </c>
      <c r="D7">
        <f>COUNTIF(RaceSummary!$C:$C,B7)</f>
        <v>1</v>
      </c>
      <c r="E7">
        <f>IF(COUNTIF(WeeklyPicks!$C:$C,B7)=0,"",AVERAGEIF(WeeklyPicks!$C:$C,B7,WeeklyPicks!$M:$M))</f>
        <v>18.388888888888889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534</v>
      </c>
      <c r="D8">
        <f>COUNTIF(RaceSummary!$C:$C,B8)</f>
        <v>1</v>
      </c>
      <c r="E8">
        <f>IF(COUNTIF(WeeklyPicks!$C:$C,B8)=0,"",AVERAGEIF(WeeklyPicks!$C:$C,B8,WeeklyPicks!$M:$M))</f>
        <v>14.833333333333334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471</v>
      </c>
      <c r="D9">
        <f>COUNTIF(RaceSummary!$C:$C,B9)</f>
        <v>0</v>
      </c>
      <c r="E9">
        <f>IF(COUNTIF(WeeklyPicks!$C:$C,B9)=0,"",AVERAGEIF(WeeklyPicks!$C:$C,B9,WeeklyPicks!$M:$M))</f>
        <v>13.083333333333334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209</v>
      </c>
      <c r="D10" s="21">
        <f>COUNTIF(RaceSummary!$C:$C,B10)</f>
        <v>0</v>
      </c>
      <c r="E10" s="21">
        <f>IF(COUNTIF(WeeklyPicks!$C:$C,B10)=0,"",AVERAGEIF(WeeklyPicks!$C:$C,B10,WeeklyPicks!$M:$M))</f>
        <v>5.8055555555555554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357</v>
      </c>
      <c r="D12">
        <f>COUNTIF(RaceSummary!$C:$C,B12)</f>
        <v>0</v>
      </c>
      <c r="E12">
        <f>IF(COUNTIF(WeeklyPicks!$C:$C,B12)=0,"",AVERAGEIF(WeeklyPicks!$C:$C,B12,WeeklyPicks!$M:$M))</f>
        <v>9.9166666666666661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459</v>
      </c>
      <c r="D13">
        <f>COUNTIF(RaceSummary!$C:$C,B13)</f>
        <v>1</v>
      </c>
      <c r="E13">
        <f>IF(COUNTIF(WeeklyPicks!$C:$C,B13)=0,"",AVERAGEIF(WeeklyPicks!$C:$C,B13,WeeklyPicks!$M:$M))</f>
        <v>12.75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678</v>
      </c>
      <c r="D26">
        <f>SUMIFS(WeeklyPicks!$M:$M,WeeklyPicks!$A:$A,"&lt;="&amp;$A26,WeeklyPicks!$C:$C,D$16)</f>
        <v>639</v>
      </c>
      <c r="E26">
        <f>SUMIFS(WeeklyPicks!$M:$M,WeeklyPicks!$A:$A,"&lt;="&amp;$A26,WeeklyPicks!$C:$C,E$16)</f>
        <v>589</v>
      </c>
      <c r="F26">
        <f>SUMIFS(WeeklyPicks!$M:$M,WeeklyPicks!$A:$A,"&lt;="&amp;$A26,WeeklyPicks!$C:$C,F$16)</f>
        <v>662</v>
      </c>
      <c r="G26">
        <f>SUMIFS(WeeklyPicks!$M:$M,WeeklyPicks!$A:$A,"&lt;="&amp;$A26,WeeklyPicks!$C:$C,G$16)</f>
        <v>534</v>
      </c>
      <c r="H26">
        <f>SUMIFS(WeeklyPicks!$M:$M,WeeklyPicks!$A:$A,"&lt;="&amp;$A26,WeeklyPicks!$C:$C,H$16)</f>
        <v>471</v>
      </c>
      <c r="I26">
        <f>SUMIFS(WeeklyPicks!$M:$M,WeeklyPicks!$A:$A,"&lt;="&amp;$A26,WeeklyPicks!$C:$C,I$16)</f>
        <v>209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357</v>
      </c>
      <c r="L26">
        <f>SUMIFS(WeeklyPicks!$M:$M,WeeklyPicks!$A:$A,"&lt;="&amp;$A26,WeeklyPicks!$C:$C,L$16)</f>
        <v>459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678</v>
      </c>
      <c r="D27">
        <f>SUMIFS(WeeklyPicks!$M:$M,WeeklyPicks!$A:$A,"&lt;="&amp;$A27,WeeklyPicks!$C:$C,D$16)</f>
        <v>639</v>
      </c>
      <c r="E27">
        <f>SUMIFS(WeeklyPicks!$M:$M,WeeklyPicks!$A:$A,"&lt;="&amp;$A27,WeeklyPicks!$C:$C,E$16)</f>
        <v>589</v>
      </c>
      <c r="F27">
        <f>SUMIFS(WeeklyPicks!$M:$M,WeeklyPicks!$A:$A,"&lt;="&amp;$A27,WeeklyPicks!$C:$C,F$16)</f>
        <v>662</v>
      </c>
      <c r="G27">
        <f>SUMIFS(WeeklyPicks!$M:$M,WeeklyPicks!$A:$A,"&lt;="&amp;$A27,WeeklyPicks!$C:$C,G$16)</f>
        <v>534</v>
      </c>
      <c r="H27">
        <f>SUMIFS(WeeklyPicks!$M:$M,WeeklyPicks!$A:$A,"&lt;="&amp;$A27,WeeklyPicks!$C:$C,H$16)</f>
        <v>471</v>
      </c>
      <c r="I27">
        <f>SUMIFS(WeeklyPicks!$M:$M,WeeklyPicks!$A:$A,"&lt;="&amp;$A27,WeeklyPicks!$C:$C,I$16)</f>
        <v>209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357</v>
      </c>
      <c r="L27">
        <f>SUMIFS(WeeklyPicks!$M:$M,WeeklyPicks!$A:$A,"&lt;="&amp;$A27,WeeklyPicks!$C:$C,L$16)</f>
        <v>459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678</v>
      </c>
      <c r="D28">
        <f>SUMIFS(WeeklyPicks!$M:$M,WeeklyPicks!$A:$A,"&lt;="&amp;$A28,WeeklyPicks!$C:$C,D$16)</f>
        <v>639</v>
      </c>
      <c r="E28">
        <f>SUMIFS(WeeklyPicks!$M:$M,WeeklyPicks!$A:$A,"&lt;="&amp;$A28,WeeklyPicks!$C:$C,E$16)</f>
        <v>589</v>
      </c>
      <c r="F28">
        <f>SUMIFS(WeeklyPicks!$M:$M,WeeklyPicks!$A:$A,"&lt;="&amp;$A28,WeeklyPicks!$C:$C,F$16)</f>
        <v>662</v>
      </c>
      <c r="G28">
        <f>SUMIFS(WeeklyPicks!$M:$M,WeeklyPicks!$A:$A,"&lt;="&amp;$A28,WeeklyPicks!$C:$C,G$16)</f>
        <v>534</v>
      </c>
      <c r="H28">
        <f>SUMIFS(WeeklyPicks!$M:$M,WeeklyPicks!$A:$A,"&lt;="&amp;$A28,WeeklyPicks!$C:$C,H$16)</f>
        <v>471</v>
      </c>
      <c r="I28">
        <f>SUMIFS(WeeklyPicks!$M:$M,WeeklyPicks!$A:$A,"&lt;="&amp;$A28,WeeklyPicks!$C:$C,I$16)</f>
        <v>209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357</v>
      </c>
      <c r="L28">
        <f>SUMIFS(WeeklyPicks!$M:$M,WeeklyPicks!$A:$A,"&lt;="&amp;$A28,WeeklyPicks!$C:$C,L$16)</f>
        <v>459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678</v>
      </c>
      <c r="D29">
        <f>SUMIFS(WeeklyPicks!$M:$M,WeeklyPicks!$A:$A,"&lt;="&amp;$A29,WeeklyPicks!$C:$C,D$16)</f>
        <v>639</v>
      </c>
      <c r="E29">
        <f>SUMIFS(WeeklyPicks!$M:$M,WeeklyPicks!$A:$A,"&lt;="&amp;$A29,WeeklyPicks!$C:$C,E$16)</f>
        <v>589</v>
      </c>
      <c r="F29">
        <f>SUMIFS(WeeklyPicks!$M:$M,WeeklyPicks!$A:$A,"&lt;="&amp;$A29,WeeklyPicks!$C:$C,F$16)</f>
        <v>662</v>
      </c>
      <c r="G29">
        <f>SUMIFS(WeeklyPicks!$M:$M,WeeklyPicks!$A:$A,"&lt;="&amp;$A29,WeeklyPicks!$C:$C,G$16)</f>
        <v>534</v>
      </c>
      <c r="H29">
        <f>SUMIFS(WeeklyPicks!$M:$M,WeeklyPicks!$A:$A,"&lt;="&amp;$A29,WeeklyPicks!$C:$C,H$16)</f>
        <v>471</v>
      </c>
      <c r="I29">
        <f>SUMIFS(WeeklyPicks!$M:$M,WeeklyPicks!$A:$A,"&lt;="&amp;$A29,WeeklyPicks!$C:$C,I$16)</f>
        <v>209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357</v>
      </c>
      <c r="L29">
        <f>SUMIFS(WeeklyPicks!$M:$M,WeeklyPicks!$A:$A,"&lt;="&amp;$A29,WeeklyPicks!$C:$C,L$16)</f>
        <v>459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678</v>
      </c>
      <c r="D30">
        <f>SUMIFS(WeeklyPicks!$M:$M,WeeklyPicks!$A:$A,"&lt;="&amp;$A30,WeeklyPicks!$C:$C,D$16)</f>
        <v>639</v>
      </c>
      <c r="E30">
        <f>SUMIFS(WeeklyPicks!$M:$M,WeeklyPicks!$A:$A,"&lt;="&amp;$A30,WeeklyPicks!$C:$C,E$16)</f>
        <v>589</v>
      </c>
      <c r="F30">
        <f>SUMIFS(WeeklyPicks!$M:$M,WeeklyPicks!$A:$A,"&lt;="&amp;$A30,WeeklyPicks!$C:$C,F$16)</f>
        <v>662</v>
      </c>
      <c r="G30">
        <f>SUMIFS(WeeklyPicks!$M:$M,WeeklyPicks!$A:$A,"&lt;="&amp;$A30,WeeklyPicks!$C:$C,G$16)</f>
        <v>534</v>
      </c>
      <c r="H30">
        <f>SUMIFS(WeeklyPicks!$M:$M,WeeklyPicks!$A:$A,"&lt;="&amp;$A30,WeeklyPicks!$C:$C,H$16)</f>
        <v>471</v>
      </c>
      <c r="I30">
        <f>SUMIFS(WeeklyPicks!$M:$M,WeeklyPicks!$A:$A,"&lt;="&amp;$A30,WeeklyPicks!$C:$C,I$16)</f>
        <v>209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357</v>
      </c>
      <c r="L30">
        <f>SUMIFS(WeeklyPicks!$M:$M,WeeklyPicks!$A:$A,"&lt;="&amp;$A30,WeeklyPicks!$C:$C,L$16)</f>
        <v>459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678</v>
      </c>
      <c r="D31">
        <f>SUMIFS(WeeklyPicks!$M:$M,WeeklyPicks!$A:$A,"&lt;="&amp;$A31,WeeklyPicks!$C:$C,D$16)</f>
        <v>639</v>
      </c>
      <c r="E31">
        <f>SUMIFS(WeeklyPicks!$M:$M,WeeklyPicks!$A:$A,"&lt;="&amp;$A31,WeeklyPicks!$C:$C,E$16)</f>
        <v>589</v>
      </c>
      <c r="F31">
        <f>SUMIFS(WeeklyPicks!$M:$M,WeeklyPicks!$A:$A,"&lt;="&amp;$A31,WeeklyPicks!$C:$C,F$16)</f>
        <v>662</v>
      </c>
      <c r="G31">
        <f>SUMIFS(WeeklyPicks!$M:$M,WeeklyPicks!$A:$A,"&lt;="&amp;$A31,WeeklyPicks!$C:$C,G$16)</f>
        <v>534</v>
      </c>
      <c r="H31">
        <f>SUMIFS(WeeklyPicks!$M:$M,WeeklyPicks!$A:$A,"&lt;="&amp;$A31,WeeklyPicks!$C:$C,H$16)</f>
        <v>471</v>
      </c>
      <c r="I31">
        <f>SUMIFS(WeeklyPicks!$M:$M,WeeklyPicks!$A:$A,"&lt;="&amp;$A31,WeeklyPicks!$C:$C,I$16)</f>
        <v>209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357</v>
      </c>
      <c r="L31">
        <f>SUMIFS(WeeklyPicks!$M:$M,WeeklyPicks!$A:$A,"&lt;="&amp;$A31,WeeklyPicks!$C:$C,L$16)</f>
        <v>459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678</v>
      </c>
      <c r="D32">
        <f>SUMIFS(WeeklyPicks!$M:$M,WeeklyPicks!$A:$A,"&lt;="&amp;$A32,WeeklyPicks!$C:$C,D$16)</f>
        <v>639</v>
      </c>
      <c r="E32">
        <f>SUMIFS(WeeklyPicks!$M:$M,WeeklyPicks!$A:$A,"&lt;="&amp;$A32,WeeklyPicks!$C:$C,E$16)</f>
        <v>589</v>
      </c>
      <c r="F32">
        <f>SUMIFS(WeeklyPicks!$M:$M,WeeklyPicks!$A:$A,"&lt;="&amp;$A32,WeeklyPicks!$C:$C,F$16)</f>
        <v>662</v>
      </c>
      <c r="G32">
        <f>SUMIFS(WeeklyPicks!$M:$M,WeeklyPicks!$A:$A,"&lt;="&amp;$A32,WeeklyPicks!$C:$C,G$16)</f>
        <v>534</v>
      </c>
      <c r="H32">
        <f>SUMIFS(WeeklyPicks!$M:$M,WeeklyPicks!$A:$A,"&lt;="&amp;$A32,WeeklyPicks!$C:$C,H$16)</f>
        <v>471</v>
      </c>
      <c r="I32">
        <f>SUMIFS(WeeklyPicks!$M:$M,WeeklyPicks!$A:$A,"&lt;="&amp;$A32,WeeklyPicks!$C:$C,I$16)</f>
        <v>209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357</v>
      </c>
      <c r="L32">
        <f>SUMIFS(WeeklyPicks!$M:$M,WeeklyPicks!$A:$A,"&lt;="&amp;$A32,WeeklyPicks!$C:$C,L$16)</f>
        <v>459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678</v>
      </c>
      <c r="D33">
        <f>SUMIFS(WeeklyPicks!$M:$M,WeeklyPicks!$A:$A,"&lt;="&amp;$A33,WeeklyPicks!$C:$C,D$16)</f>
        <v>639</v>
      </c>
      <c r="E33">
        <f>SUMIFS(WeeklyPicks!$M:$M,WeeklyPicks!$A:$A,"&lt;="&amp;$A33,WeeklyPicks!$C:$C,E$16)</f>
        <v>589</v>
      </c>
      <c r="F33">
        <f>SUMIFS(WeeklyPicks!$M:$M,WeeklyPicks!$A:$A,"&lt;="&amp;$A33,WeeklyPicks!$C:$C,F$16)</f>
        <v>662</v>
      </c>
      <c r="G33">
        <f>SUMIFS(WeeklyPicks!$M:$M,WeeklyPicks!$A:$A,"&lt;="&amp;$A33,WeeklyPicks!$C:$C,G$16)</f>
        <v>534</v>
      </c>
      <c r="H33">
        <f>SUMIFS(WeeklyPicks!$M:$M,WeeklyPicks!$A:$A,"&lt;="&amp;$A33,WeeklyPicks!$C:$C,H$16)</f>
        <v>471</v>
      </c>
      <c r="I33">
        <f>SUMIFS(WeeklyPicks!$M:$M,WeeklyPicks!$A:$A,"&lt;="&amp;$A33,WeeklyPicks!$C:$C,I$16)</f>
        <v>209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357</v>
      </c>
      <c r="L33">
        <f>SUMIFS(WeeklyPicks!$M:$M,WeeklyPicks!$A:$A,"&lt;="&amp;$A33,WeeklyPicks!$C:$C,L$16)</f>
        <v>459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678</v>
      </c>
      <c r="D34">
        <f>SUMIFS(WeeklyPicks!$M:$M,WeeklyPicks!$A:$A,"&lt;="&amp;$A34,WeeklyPicks!$C:$C,D$16)</f>
        <v>639</v>
      </c>
      <c r="E34">
        <f>SUMIFS(WeeklyPicks!$M:$M,WeeklyPicks!$A:$A,"&lt;="&amp;$A34,WeeklyPicks!$C:$C,E$16)</f>
        <v>589</v>
      </c>
      <c r="F34">
        <f>SUMIFS(WeeklyPicks!$M:$M,WeeklyPicks!$A:$A,"&lt;="&amp;$A34,WeeklyPicks!$C:$C,F$16)</f>
        <v>662</v>
      </c>
      <c r="G34">
        <f>SUMIFS(WeeklyPicks!$M:$M,WeeklyPicks!$A:$A,"&lt;="&amp;$A34,WeeklyPicks!$C:$C,G$16)</f>
        <v>534</v>
      </c>
      <c r="H34">
        <f>SUMIFS(WeeklyPicks!$M:$M,WeeklyPicks!$A:$A,"&lt;="&amp;$A34,WeeklyPicks!$C:$C,H$16)</f>
        <v>471</v>
      </c>
      <c r="I34">
        <f>SUMIFS(WeeklyPicks!$M:$M,WeeklyPicks!$A:$A,"&lt;="&amp;$A34,WeeklyPicks!$C:$C,I$16)</f>
        <v>209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357</v>
      </c>
      <c r="L34">
        <f>SUMIFS(WeeklyPicks!$M:$M,WeeklyPicks!$A:$A,"&lt;="&amp;$A34,WeeklyPicks!$C:$C,L$16)</f>
        <v>459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678</v>
      </c>
      <c r="D35">
        <f>SUMIFS(WeeklyPicks!$M:$M,WeeklyPicks!$A:$A,"&lt;="&amp;$A35,WeeklyPicks!$C:$C,D$16)</f>
        <v>639</v>
      </c>
      <c r="E35">
        <f>SUMIFS(WeeklyPicks!$M:$M,WeeklyPicks!$A:$A,"&lt;="&amp;$A35,WeeklyPicks!$C:$C,E$16)</f>
        <v>589</v>
      </c>
      <c r="F35">
        <f>SUMIFS(WeeklyPicks!$M:$M,WeeklyPicks!$A:$A,"&lt;="&amp;$A35,WeeklyPicks!$C:$C,F$16)</f>
        <v>662</v>
      </c>
      <c r="G35">
        <f>SUMIFS(WeeklyPicks!$M:$M,WeeklyPicks!$A:$A,"&lt;="&amp;$A35,WeeklyPicks!$C:$C,G$16)</f>
        <v>534</v>
      </c>
      <c r="H35">
        <f>SUMIFS(WeeklyPicks!$M:$M,WeeklyPicks!$A:$A,"&lt;="&amp;$A35,WeeklyPicks!$C:$C,H$16)</f>
        <v>471</v>
      </c>
      <c r="I35">
        <f>SUMIFS(WeeklyPicks!$M:$M,WeeklyPicks!$A:$A,"&lt;="&amp;$A35,WeeklyPicks!$C:$C,I$16)</f>
        <v>209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357</v>
      </c>
      <c r="L35">
        <f>SUMIFS(WeeklyPicks!$M:$M,WeeklyPicks!$A:$A,"&lt;="&amp;$A35,WeeklyPicks!$C:$C,L$16)</f>
        <v>459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678</v>
      </c>
      <c r="D36">
        <f>SUMIFS(WeeklyPicks!$M:$M,WeeklyPicks!$A:$A,"&lt;="&amp;$A36,WeeklyPicks!$C:$C,D$16)</f>
        <v>639</v>
      </c>
      <c r="E36">
        <f>SUMIFS(WeeklyPicks!$M:$M,WeeklyPicks!$A:$A,"&lt;="&amp;$A36,WeeklyPicks!$C:$C,E$16)</f>
        <v>589</v>
      </c>
      <c r="F36">
        <f>SUMIFS(WeeklyPicks!$M:$M,WeeklyPicks!$A:$A,"&lt;="&amp;$A36,WeeklyPicks!$C:$C,F$16)</f>
        <v>662</v>
      </c>
      <c r="G36">
        <f>SUMIFS(WeeklyPicks!$M:$M,WeeklyPicks!$A:$A,"&lt;="&amp;$A36,WeeklyPicks!$C:$C,G$16)</f>
        <v>534</v>
      </c>
      <c r="H36">
        <f>SUMIFS(WeeklyPicks!$M:$M,WeeklyPicks!$A:$A,"&lt;="&amp;$A36,WeeklyPicks!$C:$C,H$16)</f>
        <v>471</v>
      </c>
      <c r="I36">
        <f>SUMIFS(WeeklyPicks!$M:$M,WeeklyPicks!$A:$A,"&lt;="&amp;$A36,WeeklyPicks!$C:$C,I$16)</f>
        <v>209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357</v>
      </c>
      <c r="L36">
        <f>SUMIFS(WeeklyPicks!$M:$M,WeeklyPicks!$A:$A,"&lt;="&amp;$A36,WeeklyPicks!$C:$C,L$16)</f>
        <v>459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678</v>
      </c>
      <c r="D37">
        <f>SUMIFS(WeeklyPicks!$M:$M,WeeklyPicks!$A:$A,"&lt;="&amp;$A37,WeeklyPicks!$C:$C,D$16)</f>
        <v>639</v>
      </c>
      <c r="E37">
        <f>SUMIFS(WeeklyPicks!$M:$M,WeeklyPicks!$A:$A,"&lt;="&amp;$A37,WeeklyPicks!$C:$C,E$16)</f>
        <v>589</v>
      </c>
      <c r="F37">
        <f>SUMIFS(WeeklyPicks!$M:$M,WeeklyPicks!$A:$A,"&lt;="&amp;$A37,WeeklyPicks!$C:$C,F$16)</f>
        <v>662</v>
      </c>
      <c r="G37">
        <f>SUMIFS(WeeklyPicks!$M:$M,WeeklyPicks!$A:$A,"&lt;="&amp;$A37,WeeklyPicks!$C:$C,G$16)</f>
        <v>534</v>
      </c>
      <c r="H37">
        <f>SUMIFS(WeeklyPicks!$M:$M,WeeklyPicks!$A:$A,"&lt;="&amp;$A37,WeeklyPicks!$C:$C,H$16)</f>
        <v>471</v>
      </c>
      <c r="I37">
        <f>SUMIFS(WeeklyPicks!$M:$M,WeeklyPicks!$A:$A,"&lt;="&amp;$A37,WeeklyPicks!$C:$C,I$16)</f>
        <v>209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357</v>
      </c>
      <c r="L37">
        <f>SUMIFS(WeeklyPicks!$M:$M,WeeklyPicks!$A:$A,"&lt;="&amp;$A37,WeeklyPicks!$C:$C,L$16)</f>
        <v>459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678</v>
      </c>
      <c r="D38">
        <f>SUMIFS(WeeklyPicks!$M:$M,WeeklyPicks!$A:$A,"&lt;="&amp;$A38,WeeklyPicks!$C:$C,D$16)</f>
        <v>639</v>
      </c>
      <c r="E38">
        <f>SUMIFS(WeeklyPicks!$M:$M,WeeklyPicks!$A:$A,"&lt;="&amp;$A38,WeeklyPicks!$C:$C,E$16)</f>
        <v>589</v>
      </c>
      <c r="F38">
        <f>SUMIFS(WeeklyPicks!$M:$M,WeeklyPicks!$A:$A,"&lt;="&amp;$A38,WeeklyPicks!$C:$C,F$16)</f>
        <v>662</v>
      </c>
      <c r="G38">
        <f>SUMIFS(WeeklyPicks!$M:$M,WeeklyPicks!$A:$A,"&lt;="&amp;$A38,WeeklyPicks!$C:$C,G$16)</f>
        <v>534</v>
      </c>
      <c r="H38">
        <f>SUMIFS(WeeklyPicks!$M:$M,WeeklyPicks!$A:$A,"&lt;="&amp;$A38,WeeklyPicks!$C:$C,H$16)</f>
        <v>471</v>
      </c>
      <c r="I38">
        <f>SUMIFS(WeeklyPicks!$M:$M,WeeklyPicks!$A:$A,"&lt;="&amp;$A38,WeeklyPicks!$C:$C,I$16)</f>
        <v>209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357</v>
      </c>
      <c r="L38">
        <f>SUMIFS(WeeklyPicks!$M:$M,WeeklyPicks!$A:$A,"&lt;="&amp;$A38,WeeklyPicks!$C:$C,L$16)</f>
        <v>459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678</v>
      </c>
      <c r="D39">
        <f>SUMIFS(WeeklyPicks!$M:$M,WeeklyPicks!$A:$A,"&lt;="&amp;$A39,WeeklyPicks!$C:$C,D$16)</f>
        <v>639</v>
      </c>
      <c r="E39">
        <f>SUMIFS(WeeklyPicks!$M:$M,WeeklyPicks!$A:$A,"&lt;="&amp;$A39,WeeklyPicks!$C:$C,E$16)</f>
        <v>589</v>
      </c>
      <c r="F39">
        <f>SUMIFS(WeeklyPicks!$M:$M,WeeklyPicks!$A:$A,"&lt;="&amp;$A39,WeeklyPicks!$C:$C,F$16)</f>
        <v>662</v>
      </c>
      <c r="G39">
        <f>SUMIFS(WeeklyPicks!$M:$M,WeeklyPicks!$A:$A,"&lt;="&amp;$A39,WeeklyPicks!$C:$C,G$16)</f>
        <v>534</v>
      </c>
      <c r="H39">
        <f>SUMIFS(WeeklyPicks!$M:$M,WeeklyPicks!$A:$A,"&lt;="&amp;$A39,WeeklyPicks!$C:$C,H$16)</f>
        <v>471</v>
      </c>
      <c r="I39">
        <f>SUMIFS(WeeklyPicks!$M:$M,WeeklyPicks!$A:$A,"&lt;="&amp;$A39,WeeklyPicks!$C:$C,I$16)</f>
        <v>209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357</v>
      </c>
      <c r="L39">
        <f>SUMIFS(WeeklyPicks!$M:$M,WeeklyPicks!$A:$A,"&lt;="&amp;$A39,WeeklyPicks!$C:$C,L$16)</f>
        <v>459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678</v>
      </c>
      <c r="D40">
        <f>SUMIFS(WeeklyPicks!$M:$M,WeeklyPicks!$A:$A,"&lt;="&amp;$A40,WeeklyPicks!$C:$C,D$16)</f>
        <v>639</v>
      </c>
      <c r="E40">
        <f>SUMIFS(WeeklyPicks!$M:$M,WeeklyPicks!$A:$A,"&lt;="&amp;$A40,WeeklyPicks!$C:$C,E$16)</f>
        <v>589</v>
      </c>
      <c r="F40">
        <f>SUMIFS(WeeklyPicks!$M:$M,WeeklyPicks!$A:$A,"&lt;="&amp;$A40,WeeklyPicks!$C:$C,F$16)</f>
        <v>662</v>
      </c>
      <c r="G40">
        <f>SUMIFS(WeeklyPicks!$M:$M,WeeklyPicks!$A:$A,"&lt;="&amp;$A40,WeeklyPicks!$C:$C,G$16)</f>
        <v>534</v>
      </c>
      <c r="H40">
        <f>SUMIFS(WeeklyPicks!$M:$M,WeeklyPicks!$A:$A,"&lt;="&amp;$A40,WeeklyPicks!$C:$C,H$16)</f>
        <v>471</v>
      </c>
      <c r="I40">
        <f>SUMIFS(WeeklyPicks!$M:$M,WeeklyPicks!$A:$A,"&lt;="&amp;$A40,WeeklyPicks!$C:$C,I$16)</f>
        <v>209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357</v>
      </c>
      <c r="L40">
        <f>SUMIFS(WeeklyPicks!$M:$M,WeeklyPicks!$A:$A,"&lt;="&amp;$A40,WeeklyPicks!$C:$C,L$16)</f>
        <v>459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678</v>
      </c>
      <c r="D41">
        <f>SUMIFS(WeeklyPicks!$M:$M,WeeklyPicks!$A:$A,"&lt;="&amp;$A41,WeeklyPicks!$C:$C,D$16)</f>
        <v>639</v>
      </c>
      <c r="E41">
        <f>SUMIFS(WeeklyPicks!$M:$M,WeeklyPicks!$A:$A,"&lt;="&amp;$A41,WeeklyPicks!$C:$C,E$16)</f>
        <v>589</v>
      </c>
      <c r="F41">
        <f>SUMIFS(WeeklyPicks!$M:$M,WeeklyPicks!$A:$A,"&lt;="&amp;$A41,WeeklyPicks!$C:$C,F$16)</f>
        <v>662</v>
      </c>
      <c r="G41">
        <f>SUMIFS(WeeklyPicks!$M:$M,WeeklyPicks!$A:$A,"&lt;="&amp;$A41,WeeklyPicks!$C:$C,G$16)</f>
        <v>534</v>
      </c>
      <c r="H41">
        <f>SUMIFS(WeeklyPicks!$M:$M,WeeklyPicks!$A:$A,"&lt;="&amp;$A41,WeeklyPicks!$C:$C,H$16)</f>
        <v>471</v>
      </c>
      <c r="I41">
        <f>SUMIFS(WeeklyPicks!$M:$M,WeeklyPicks!$A:$A,"&lt;="&amp;$A41,WeeklyPicks!$C:$C,I$16)</f>
        <v>209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357</v>
      </c>
      <c r="L41">
        <f>SUMIFS(WeeklyPicks!$M:$M,WeeklyPicks!$A:$A,"&lt;="&amp;$A41,WeeklyPicks!$C:$C,L$16)</f>
        <v>459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678</v>
      </c>
      <c r="D42">
        <f>SUMIFS(WeeklyPicks!$M:$M,WeeklyPicks!$A:$A,"&lt;="&amp;$A42,WeeklyPicks!$C:$C,D$16)</f>
        <v>639</v>
      </c>
      <c r="E42">
        <f>SUMIFS(WeeklyPicks!$M:$M,WeeklyPicks!$A:$A,"&lt;="&amp;$A42,WeeklyPicks!$C:$C,E$16)</f>
        <v>589</v>
      </c>
      <c r="F42">
        <f>SUMIFS(WeeklyPicks!$M:$M,WeeklyPicks!$A:$A,"&lt;="&amp;$A42,WeeklyPicks!$C:$C,F$16)</f>
        <v>662</v>
      </c>
      <c r="G42">
        <f>SUMIFS(WeeklyPicks!$M:$M,WeeklyPicks!$A:$A,"&lt;="&amp;$A42,WeeklyPicks!$C:$C,G$16)</f>
        <v>534</v>
      </c>
      <c r="H42">
        <f>SUMIFS(WeeklyPicks!$M:$M,WeeklyPicks!$A:$A,"&lt;="&amp;$A42,WeeklyPicks!$C:$C,H$16)</f>
        <v>471</v>
      </c>
      <c r="I42">
        <f>SUMIFS(WeeklyPicks!$M:$M,WeeklyPicks!$A:$A,"&lt;="&amp;$A42,WeeklyPicks!$C:$C,I$16)</f>
        <v>209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357</v>
      </c>
      <c r="L42">
        <f>SUMIFS(WeeklyPicks!$M:$M,WeeklyPicks!$A:$A,"&lt;="&amp;$A42,WeeklyPicks!$C:$C,L$16)</f>
        <v>459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678</v>
      </c>
      <c r="D43">
        <f>SUMIFS(WeeklyPicks!$M:$M,WeeklyPicks!$A:$A,"&lt;="&amp;$A43,WeeklyPicks!$C:$C,D$16)</f>
        <v>639</v>
      </c>
      <c r="E43">
        <f>SUMIFS(WeeklyPicks!$M:$M,WeeklyPicks!$A:$A,"&lt;="&amp;$A43,WeeklyPicks!$C:$C,E$16)</f>
        <v>589</v>
      </c>
      <c r="F43">
        <f>SUMIFS(WeeklyPicks!$M:$M,WeeklyPicks!$A:$A,"&lt;="&amp;$A43,WeeklyPicks!$C:$C,F$16)</f>
        <v>662</v>
      </c>
      <c r="G43">
        <f>SUMIFS(WeeklyPicks!$M:$M,WeeklyPicks!$A:$A,"&lt;="&amp;$A43,WeeklyPicks!$C:$C,G$16)</f>
        <v>534</v>
      </c>
      <c r="H43">
        <f>SUMIFS(WeeklyPicks!$M:$M,WeeklyPicks!$A:$A,"&lt;="&amp;$A43,WeeklyPicks!$C:$C,H$16)</f>
        <v>471</v>
      </c>
      <c r="I43">
        <f>SUMIFS(WeeklyPicks!$M:$M,WeeklyPicks!$A:$A,"&lt;="&amp;$A43,WeeklyPicks!$C:$C,I$16)</f>
        <v>209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357</v>
      </c>
      <c r="L43">
        <f>SUMIFS(WeeklyPicks!$M:$M,WeeklyPicks!$A:$A,"&lt;="&amp;$A43,WeeklyPicks!$C:$C,L$16)</f>
        <v>459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678</v>
      </c>
      <c r="D44">
        <f>SUMIFS(WeeklyPicks!$M:$M,WeeklyPicks!$A:$A,"&lt;="&amp;$A44,WeeklyPicks!$C:$C,D$16)</f>
        <v>639</v>
      </c>
      <c r="E44">
        <f>SUMIFS(WeeklyPicks!$M:$M,WeeklyPicks!$A:$A,"&lt;="&amp;$A44,WeeklyPicks!$C:$C,E$16)</f>
        <v>589</v>
      </c>
      <c r="F44">
        <f>SUMIFS(WeeklyPicks!$M:$M,WeeklyPicks!$A:$A,"&lt;="&amp;$A44,WeeklyPicks!$C:$C,F$16)</f>
        <v>662</v>
      </c>
      <c r="G44">
        <f>SUMIFS(WeeklyPicks!$M:$M,WeeklyPicks!$A:$A,"&lt;="&amp;$A44,WeeklyPicks!$C:$C,G$16)</f>
        <v>534</v>
      </c>
      <c r="H44">
        <f>SUMIFS(WeeklyPicks!$M:$M,WeeklyPicks!$A:$A,"&lt;="&amp;$A44,WeeklyPicks!$C:$C,H$16)</f>
        <v>471</v>
      </c>
      <c r="I44">
        <f>SUMIFS(WeeklyPicks!$M:$M,WeeklyPicks!$A:$A,"&lt;="&amp;$A44,WeeklyPicks!$C:$C,I$16)</f>
        <v>209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357</v>
      </c>
      <c r="L44">
        <f>SUMIFS(WeeklyPicks!$M:$M,WeeklyPicks!$A:$A,"&lt;="&amp;$A44,WeeklyPicks!$C:$C,L$16)</f>
        <v>459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678</v>
      </c>
      <c r="D45">
        <f>SUMIFS(WeeklyPicks!$M:$M,WeeklyPicks!$A:$A,"&lt;="&amp;$A45,WeeklyPicks!$C:$C,D$16)</f>
        <v>639</v>
      </c>
      <c r="E45">
        <f>SUMIFS(WeeklyPicks!$M:$M,WeeklyPicks!$A:$A,"&lt;="&amp;$A45,WeeklyPicks!$C:$C,E$16)</f>
        <v>589</v>
      </c>
      <c r="F45">
        <f>SUMIFS(WeeklyPicks!$M:$M,WeeklyPicks!$A:$A,"&lt;="&amp;$A45,WeeklyPicks!$C:$C,F$16)</f>
        <v>662</v>
      </c>
      <c r="G45">
        <f>SUMIFS(WeeklyPicks!$M:$M,WeeklyPicks!$A:$A,"&lt;="&amp;$A45,WeeklyPicks!$C:$C,G$16)</f>
        <v>534</v>
      </c>
      <c r="H45">
        <f>SUMIFS(WeeklyPicks!$M:$M,WeeklyPicks!$A:$A,"&lt;="&amp;$A45,WeeklyPicks!$C:$C,H$16)</f>
        <v>471</v>
      </c>
      <c r="I45">
        <f>SUMIFS(WeeklyPicks!$M:$M,WeeklyPicks!$A:$A,"&lt;="&amp;$A45,WeeklyPicks!$C:$C,I$16)</f>
        <v>209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357</v>
      </c>
      <c r="L45">
        <f>SUMIFS(WeeklyPicks!$M:$M,WeeklyPicks!$A:$A,"&lt;="&amp;$A45,WeeklyPicks!$C:$C,L$16)</f>
        <v>459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678</v>
      </c>
      <c r="D46">
        <f>SUMIFS(WeeklyPicks!$M:$M,WeeklyPicks!$A:$A,"&lt;="&amp;$A46,WeeklyPicks!$C:$C,D$16)</f>
        <v>639</v>
      </c>
      <c r="E46">
        <f>SUMIFS(WeeklyPicks!$M:$M,WeeklyPicks!$A:$A,"&lt;="&amp;$A46,WeeklyPicks!$C:$C,E$16)</f>
        <v>589</v>
      </c>
      <c r="F46">
        <f>SUMIFS(WeeklyPicks!$M:$M,WeeklyPicks!$A:$A,"&lt;="&amp;$A46,WeeklyPicks!$C:$C,F$16)</f>
        <v>662</v>
      </c>
      <c r="G46">
        <f>SUMIFS(WeeklyPicks!$M:$M,WeeklyPicks!$A:$A,"&lt;="&amp;$A46,WeeklyPicks!$C:$C,G$16)</f>
        <v>534</v>
      </c>
      <c r="H46">
        <f>SUMIFS(WeeklyPicks!$M:$M,WeeklyPicks!$A:$A,"&lt;="&amp;$A46,WeeklyPicks!$C:$C,H$16)</f>
        <v>471</v>
      </c>
      <c r="I46">
        <f>SUMIFS(WeeklyPicks!$M:$M,WeeklyPicks!$A:$A,"&lt;="&amp;$A46,WeeklyPicks!$C:$C,I$16)</f>
        <v>209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357</v>
      </c>
      <c r="L46">
        <f>SUMIFS(WeeklyPicks!$M:$M,WeeklyPicks!$A:$A,"&lt;="&amp;$A46,WeeklyPicks!$C:$C,L$16)</f>
        <v>459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678</v>
      </c>
      <c r="D47">
        <f>SUMIFS(WeeklyPicks!$M:$M,WeeklyPicks!$A:$A,"&lt;="&amp;$A47,WeeklyPicks!$C:$C,D$16)</f>
        <v>639</v>
      </c>
      <c r="E47">
        <f>SUMIFS(WeeklyPicks!$M:$M,WeeklyPicks!$A:$A,"&lt;="&amp;$A47,WeeklyPicks!$C:$C,E$16)</f>
        <v>589</v>
      </c>
      <c r="F47">
        <f>SUMIFS(WeeklyPicks!$M:$M,WeeklyPicks!$A:$A,"&lt;="&amp;$A47,WeeklyPicks!$C:$C,F$16)</f>
        <v>662</v>
      </c>
      <c r="G47">
        <f>SUMIFS(WeeklyPicks!$M:$M,WeeklyPicks!$A:$A,"&lt;="&amp;$A47,WeeklyPicks!$C:$C,G$16)</f>
        <v>534</v>
      </c>
      <c r="H47">
        <f>SUMIFS(WeeklyPicks!$M:$M,WeeklyPicks!$A:$A,"&lt;="&amp;$A47,WeeklyPicks!$C:$C,H$16)</f>
        <v>471</v>
      </c>
      <c r="I47">
        <f>SUMIFS(WeeklyPicks!$M:$M,WeeklyPicks!$A:$A,"&lt;="&amp;$A47,WeeklyPicks!$C:$C,I$16)</f>
        <v>209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357</v>
      </c>
      <c r="L47">
        <f>SUMIFS(WeeklyPicks!$M:$M,WeeklyPicks!$A:$A,"&lt;="&amp;$A47,WeeklyPicks!$C:$C,L$16)</f>
        <v>459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678</v>
      </c>
      <c r="D48">
        <f>SUMIFS(WeeklyPicks!$M:$M,WeeklyPicks!$A:$A,"&lt;="&amp;$A48,WeeklyPicks!$C:$C,D$16)</f>
        <v>639</v>
      </c>
      <c r="E48">
        <f>SUMIFS(WeeklyPicks!$M:$M,WeeklyPicks!$A:$A,"&lt;="&amp;$A48,WeeklyPicks!$C:$C,E$16)</f>
        <v>589</v>
      </c>
      <c r="F48">
        <f>SUMIFS(WeeklyPicks!$M:$M,WeeklyPicks!$A:$A,"&lt;="&amp;$A48,WeeklyPicks!$C:$C,F$16)</f>
        <v>662</v>
      </c>
      <c r="G48">
        <f>SUMIFS(WeeklyPicks!$M:$M,WeeklyPicks!$A:$A,"&lt;="&amp;$A48,WeeklyPicks!$C:$C,G$16)</f>
        <v>534</v>
      </c>
      <c r="H48">
        <f>SUMIFS(WeeklyPicks!$M:$M,WeeklyPicks!$A:$A,"&lt;="&amp;$A48,WeeklyPicks!$C:$C,H$16)</f>
        <v>471</v>
      </c>
      <c r="I48">
        <f>SUMIFS(WeeklyPicks!$M:$M,WeeklyPicks!$A:$A,"&lt;="&amp;$A48,WeeklyPicks!$C:$C,I$16)</f>
        <v>209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357</v>
      </c>
      <c r="L48">
        <f>SUMIFS(WeeklyPicks!$M:$M,WeeklyPicks!$A:$A,"&lt;="&amp;$A48,WeeklyPicks!$C:$C,L$16)</f>
        <v>459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678</v>
      </c>
      <c r="D49">
        <f>SUMIFS(WeeklyPicks!$M:$M,WeeklyPicks!$A:$A,"&lt;="&amp;$A49,WeeklyPicks!$C:$C,D$16)</f>
        <v>639</v>
      </c>
      <c r="E49">
        <f>SUMIFS(WeeklyPicks!$M:$M,WeeklyPicks!$A:$A,"&lt;="&amp;$A49,WeeklyPicks!$C:$C,E$16)</f>
        <v>589</v>
      </c>
      <c r="F49">
        <f>SUMIFS(WeeklyPicks!$M:$M,WeeklyPicks!$A:$A,"&lt;="&amp;$A49,WeeklyPicks!$C:$C,F$16)</f>
        <v>662</v>
      </c>
      <c r="G49">
        <f>SUMIFS(WeeklyPicks!$M:$M,WeeklyPicks!$A:$A,"&lt;="&amp;$A49,WeeklyPicks!$C:$C,G$16)</f>
        <v>534</v>
      </c>
      <c r="H49">
        <f>SUMIFS(WeeklyPicks!$M:$M,WeeklyPicks!$A:$A,"&lt;="&amp;$A49,WeeklyPicks!$C:$C,H$16)</f>
        <v>471</v>
      </c>
      <c r="I49">
        <f>SUMIFS(WeeklyPicks!$M:$M,WeeklyPicks!$A:$A,"&lt;="&amp;$A49,WeeklyPicks!$C:$C,I$16)</f>
        <v>209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357</v>
      </c>
      <c r="L49">
        <f>SUMIFS(WeeklyPicks!$M:$M,WeeklyPicks!$A:$A,"&lt;="&amp;$A49,WeeklyPicks!$C:$C,L$16)</f>
        <v>459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678</v>
      </c>
      <c r="D50">
        <f>SUMIFS(WeeklyPicks!$M:$M,WeeklyPicks!$A:$A,"&lt;="&amp;$A50,WeeklyPicks!$C:$C,D$16)</f>
        <v>639</v>
      </c>
      <c r="E50">
        <f>SUMIFS(WeeklyPicks!$M:$M,WeeklyPicks!$A:$A,"&lt;="&amp;$A50,WeeklyPicks!$C:$C,E$16)</f>
        <v>589</v>
      </c>
      <c r="F50">
        <f>SUMIFS(WeeklyPicks!$M:$M,WeeklyPicks!$A:$A,"&lt;="&amp;$A50,WeeklyPicks!$C:$C,F$16)</f>
        <v>662</v>
      </c>
      <c r="G50">
        <f>SUMIFS(WeeklyPicks!$M:$M,WeeklyPicks!$A:$A,"&lt;="&amp;$A50,WeeklyPicks!$C:$C,G$16)</f>
        <v>534</v>
      </c>
      <c r="H50">
        <f>SUMIFS(WeeklyPicks!$M:$M,WeeklyPicks!$A:$A,"&lt;="&amp;$A50,WeeklyPicks!$C:$C,H$16)</f>
        <v>471</v>
      </c>
      <c r="I50">
        <f>SUMIFS(WeeklyPicks!$M:$M,WeeklyPicks!$A:$A,"&lt;="&amp;$A50,WeeklyPicks!$C:$C,I$16)</f>
        <v>209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357</v>
      </c>
      <c r="L50">
        <f>SUMIFS(WeeklyPicks!$M:$M,WeeklyPicks!$A:$A,"&lt;="&amp;$A50,WeeklyPicks!$C:$C,L$16)</f>
        <v>459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678</v>
      </c>
      <c r="D51">
        <f>SUMIFS(WeeklyPicks!$M:$M,WeeklyPicks!$A:$A,"&lt;="&amp;$A51,WeeklyPicks!$C:$C,D$16)</f>
        <v>639</v>
      </c>
      <c r="E51">
        <f>SUMIFS(WeeklyPicks!$M:$M,WeeklyPicks!$A:$A,"&lt;="&amp;$A51,WeeklyPicks!$C:$C,E$16)</f>
        <v>589</v>
      </c>
      <c r="F51">
        <f>SUMIFS(WeeklyPicks!$M:$M,WeeklyPicks!$A:$A,"&lt;="&amp;$A51,WeeklyPicks!$C:$C,F$16)</f>
        <v>662</v>
      </c>
      <c r="G51">
        <f>SUMIFS(WeeklyPicks!$M:$M,WeeklyPicks!$A:$A,"&lt;="&amp;$A51,WeeklyPicks!$C:$C,G$16)</f>
        <v>534</v>
      </c>
      <c r="H51">
        <f>SUMIFS(WeeklyPicks!$M:$M,WeeklyPicks!$A:$A,"&lt;="&amp;$A51,WeeklyPicks!$C:$C,H$16)</f>
        <v>471</v>
      </c>
      <c r="I51">
        <f>SUMIFS(WeeklyPicks!$M:$M,WeeklyPicks!$A:$A,"&lt;="&amp;$A51,WeeklyPicks!$C:$C,I$16)</f>
        <v>209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357</v>
      </c>
      <c r="L51">
        <f>SUMIFS(WeeklyPicks!$M:$M,WeeklyPicks!$A:$A,"&lt;="&amp;$A51,WeeklyPicks!$C:$C,L$16)</f>
        <v>459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678</v>
      </c>
      <c r="D52">
        <f>SUMIFS(WeeklyPicks!$M:$M,WeeklyPicks!$A:$A,"&lt;="&amp;$A52,WeeklyPicks!$C:$C,D$16)</f>
        <v>639</v>
      </c>
      <c r="E52">
        <f>SUMIFS(WeeklyPicks!$M:$M,WeeklyPicks!$A:$A,"&lt;="&amp;$A52,WeeklyPicks!$C:$C,E$16)</f>
        <v>589</v>
      </c>
      <c r="F52">
        <f>SUMIFS(WeeklyPicks!$M:$M,WeeklyPicks!$A:$A,"&lt;="&amp;$A52,WeeklyPicks!$C:$C,F$16)</f>
        <v>662</v>
      </c>
      <c r="G52">
        <f>SUMIFS(WeeklyPicks!$M:$M,WeeklyPicks!$A:$A,"&lt;="&amp;$A52,WeeklyPicks!$C:$C,G$16)</f>
        <v>534</v>
      </c>
      <c r="H52">
        <f>SUMIFS(WeeklyPicks!$M:$M,WeeklyPicks!$A:$A,"&lt;="&amp;$A52,WeeklyPicks!$C:$C,H$16)</f>
        <v>471</v>
      </c>
      <c r="I52">
        <f>SUMIFS(WeeklyPicks!$M:$M,WeeklyPicks!$A:$A,"&lt;="&amp;$A52,WeeklyPicks!$C:$C,I$16)</f>
        <v>209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357</v>
      </c>
      <c r="L52">
        <f>SUMIFS(WeeklyPicks!$M:$M,WeeklyPicks!$A:$A,"&lt;="&amp;$A52,WeeklyPicks!$C:$C,L$16)</f>
        <v>459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1</v>
      </c>
      <c r="B5" s="16" t="str">
        <f>Dashboard!B4</f>
        <v>Pat</v>
      </c>
      <c r="C5" s="16">
        <f>Dashboard!C4</f>
        <v>678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3</v>
      </c>
      <c r="B6" s="16" t="str">
        <f>Dashboard!B5</f>
        <v>Meg</v>
      </c>
      <c r="C6" s="16">
        <f>Dashboard!C5</f>
        <v>639</v>
      </c>
      <c r="D6" s="16">
        <f>Dashboard!D5</f>
        <v>1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589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662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534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471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209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357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459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2026-04-26T16:41:05Z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