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572" documentId="8_{64ED620B-E9CD-47B3-A172-B982AAA909D5}" xr6:coauthVersionLast="47" xr6:coauthVersionMax="47" xr10:uidLastSave="{3A1CEA78-ED24-498E-B38C-A9FA704C5EBE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49" i="10" l="1"/>
  <c r="C2" i="10"/>
  <c r="C3" i="10"/>
  <c r="C78" i="10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<sst xmlns="http://schemas.openxmlformats.org/spreadsheetml/2006/main" count="8285" uniqueCount="159">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</sst>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611</c:v>
                </c:pt>
                <c:pt idx="1">
                  <c:v>611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945</c:v>
                </c:pt>
                <c:pt idx="19">
                  <c:v>945</c:v>
                </c:pt>
                <c:pt idx="20">
                  <c:v>945</c:v>
                </c:pt>
                <c:pt idx="21">
                  <c:v>945</c:v>
                </c:pt>
                <c:pt idx="22">
                  <c:v>945</c:v>
                </c:pt>
                <c:pt idx="23">
                  <c:v>945</c:v>
                </c:pt>
                <c:pt idx="24">
                  <c:v>945</c:v>
                </c:pt>
                <c:pt idx="25">
                  <c:v>945</c:v>
                </c:pt>
                <c:pt idx="26">
                  <c:v>945</c:v>
                </c:pt>
                <c:pt idx="27">
                  <c:v>945</c:v>
                </c:pt>
                <c:pt idx="28">
                  <c:v>945</c:v>
                </c:pt>
                <c:pt idx="29">
                  <c:v>945</c:v>
                </c:pt>
                <c:pt idx="30">
                  <c:v>945</c:v>
                </c:pt>
                <c:pt idx="31">
                  <c:v>945</c:v>
                </c:pt>
                <c:pt idx="32">
                  <c:v>945</c:v>
                </c:pt>
                <c:pt idx="33">
                  <c:v>945</c:v>
                </c:pt>
                <c:pt idx="34">
                  <c:v>945</c:v>
                </c:pt>
                <c:pt idx="35">
                  <c:v>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974</c:v>
                </c:pt>
                <c:pt idx="19">
                  <c:v>974</c:v>
                </c:pt>
                <c:pt idx="20">
                  <c:v>974</c:v>
                </c:pt>
                <c:pt idx="21">
                  <c:v>974</c:v>
                </c:pt>
                <c:pt idx="22">
                  <c:v>974</c:v>
                </c:pt>
                <c:pt idx="23">
                  <c:v>974</c:v>
                </c:pt>
                <c:pt idx="24">
                  <c:v>974</c:v>
                </c:pt>
                <c:pt idx="25">
                  <c:v>974</c:v>
                </c:pt>
                <c:pt idx="26">
                  <c:v>974</c:v>
                </c:pt>
                <c:pt idx="27">
                  <c:v>974</c:v>
                </c:pt>
                <c:pt idx="28">
                  <c:v>974</c:v>
                </c:pt>
                <c:pt idx="29">
                  <c:v>974</c:v>
                </c:pt>
                <c:pt idx="30">
                  <c:v>974</c:v>
                </c:pt>
                <c:pt idx="31">
                  <c:v>974</c:v>
                </c:pt>
                <c:pt idx="32">
                  <c:v>974</c:v>
                </c:pt>
                <c:pt idx="33">
                  <c:v>974</c:v>
                </c:pt>
                <c:pt idx="34">
                  <c:v>974</c:v>
                </c:pt>
                <c:pt idx="35">
                  <c:v>974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16.972222222222221</c:v>
                </c:pt>
                <c:pt idx="1">
                  <c:v>16.972222222222221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800</c:v>
                </c:pt>
                <c:pt idx="19">
                  <c:v>800</c:v>
                </c:pt>
                <c:pt idx="20">
                  <c:v>800</c:v>
                </c:pt>
                <c:pt idx="21">
                  <c:v>800</c:v>
                </c:pt>
                <c:pt idx="22">
                  <c:v>800</c:v>
                </c:pt>
                <c:pt idx="23">
                  <c:v>800</c:v>
                </c:pt>
                <c:pt idx="24">
                  <c:v>800</c:v>
                </c:pt>
                <c:pt idx="25">
                  <c:v>800</c:v>
                </c:pt>
                <c:pt idx="26">
                  <c:v>800</c:v>
                </c:pt>
                <c:pt idx="27">
                  <c:v>800</c:v>
                </c:pt>
                <c:pt idx="28">
                  <c:v>800</c:v>
                </c:pt>
                <c:pt idx="29">
                  <c:v>800</c:v>
                </c:pt>
                <c:pt idx="30">
                  <c:v>800</c:v>
                </c:pt>
                <c:pt idx="31">
                  <c:v>800</c:v>
                </c:pt>
                <c:pt idx="32">
                  <c:v>800</c:v>
                </c:pt>
                <c:pt idx="33">
                  <c:v>800</c:v>
                </c:pt>
                <c:pt idx="34">
                  <c:v>800</c:v>
                </c:pt>
                <c:pt idx="35">
                  <c:v>800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973</c:v>
                </c:pt>
                <c:pt idx="19">
                  <c:v>973</c:v>
                </c:pt>
                <c:pt idx="20">
                  <c:v>973</c:v>
                </c:pt>
                <c:pt idx="21">
                  <c:v>973</c:v>
                </c:pt>
                <c:pt idx="22">
                  <c:v>973</c:v>
                </c:pt>
                <c:pt idx="23">
                  <c:v>973</c:v>
                </c:pt>
                <c:pt idx="24">
                  <c:v>973</c:v>
                </c:pt>
                <c:pt idx="25">
                  <c:v>973</c:v>
                </c:pt>
                <c:pt idx="26">
                  <c:v>973</c:v>
                </c:pt>
                <c:pt idx="27">
                  <c:v>973</c:v>
                </c:pt>
                <c:pt idx="28">
                  <c:v>973</c:v>
                </c:pt>
                <c:pt idx="29">
                  <c:v>973</c:v>
                </c:pt>
                <c:pt idx="30">
                  <c:v>973</c:v>
                </c:pt>
                <c:pt idx="31">
                  <c:v>973</c:v>
                </c:pt>
                <c:pt idx="32">
                  <c:v>973</c:v>
                </c:pt>
                <c:pt idx="33">
                  <c:v>973</c:v>
                </c:pt>
                <c:pt idx="34">
                  <c:v>973</c:v>
                </c:pt>
                <c:pt idx="35">
                  <c:v>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16" activePane="bottomLeft" state="frozen"/>
      <selection pane="bottomLeft" activeCell="N123" sqref="N123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11">
        <f>IF(D122="","",SUMIFS(RaceResults!$C:$C,RaceResults!$A:$A,$A122,RaceResults!$D:$D,D122))</f>
        <v>4</v>
      </c>
      <c r="H122" s="11">
        <f>IF(E122="","",SUMIFS(RaceResults!$C:$C,RaceResults!$A:$A,$A122,RaceResults!$D:$D,E122))</f>
        <v>7</v>
      </c>
      <c r="I122" s="11">
        <f>IF(F122="","",SUMIFS(RaceResults!$C:$C,RaceResults!$A:$A,$A122,RaceResults!$D:$D,F122))</f>
        <v>35</v>
      </c>
      <c r="J122" s="11">
        <f>IF(D122="","",SUMIFS(RaceResults!$E:$E,RaceResults!$A:$A,$A122,RaceResults!$D:$D,D122))</f>
        <v>33</v>
      </c>
      <c r="K122" s="11">
        <f>IF(E122="","",SUMIFS(RaceResults!$E:$E,RaceResults!$A:$A,$A122,RaceResults!$D:$D,E122))</f>
        <v>30</v>
      </c>
      <c r="L122" s="11">
        <f>IF(F122="","",SUMIFS(RaceResults!$E:$E,RaceResults!$A:$A,$A122,RaceResults!$D:$D,F122))</f>
        <v>2</v>
      </c>
      <c r="M122" s="11">
        <f t="shared" si="1"/>
        <v>65</v>
      </c>
    </row>
    <row r="123" spans="1:13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11">
        <f>IF(D123="","",SUMIFS(RaceResults!$C:$C,RaceResults!$A:$A,$A123,RaceResults!$D:$D,D123))</f>
        <v>4</v>
      </c>
      <c r="H123" s="11">
        <f>IF(E123="","",SUMIFS(RaceResults!$C:$C,RaceResults!$A:$A,$A123,RaceResults!$D:$D,E123))</f>
        <v>3</v>
      </c>
      <c r="I123" s="11">
        <f>IF(F123="","",SUMIFS(RaceResults!$C:$C,RaceResults!$A:$A,$A123,RaceResults!$D:$D,F123))</f>
        <v>5</v>
      </c>
      <c r="J123" s="11">
        <f>IF(D123="","",SUMIFS(RaceResults!$E:$E,RaceResults!$A:$A,$A123,RaceResults!$D:$D,D123))</f>
        <v>33</v>
      </c>
      <c r="K123" s="11">
        <f>IF(E123="","",SUMIFS(RaceResults!$E:$E,RaceResults!$A:$A,$A123,RaceResults!$D:$D,E123))</f>
        <v>34</v>
      </c>
      <c r="L123" s="11">
        <f>IF(F123="","",SUMIFS(RaceResults!$E:$E,RaceResults!$A:$A,$A123,RaceResults!$D:$D,F123))</f>
        <v>32</v>
      </c>
      <c r="M123" s="11">
        <f t="shared" si="1"/>
        <v>99</v>
      </c>
    </row>
    <row r="124" spans="1:13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11">
        <f>IF(D124="","",SUMIFS(RaceResults!$C:$C,RaceResults!$A:$A,$A124,RaceResults!$D:$D,D124))</f>
        <v>3</v>
      </c>
      <c r="H124" s="11">
        <f>IF(E124="","",SUMIFS(RaceResults!$C:$C,RaceResults!$A:$A,$A124,RaceResults!$D:$D,E124))</f>
        <v>35</v>
      </c>
      <c r="I124" s="11">
        <f>IF(F124="","",SUMIFS(RaceResults!$C:$C,RaceResults!$A:$A,$A124,RaceResults!$D:$D,F124))</f>
        <v>9</v>
      </c>
      <c r="J124" s="11">
        <f>IF(D124="","",SUMIFS(RaceResults!$E:$E,RaceResults!$A:$A,$A124,RaceResults!$D:$D,D124))</f>
        <v>34</v>
      </c>
      <c r="K124" s="11">
        <f>IF(E124="","",SUMIFS(RaceResults!$E:$E,RaceResults!$A:$A,$A124,RaceResults!$D:$D,E124))</f>
        <v>2</v>
      </c>
      <c r="L124" s="11">
        <f>IF(F124="","",SUMIFS(RaceResults!$E:$E,RaceResults!$A:$A,$A124,RaceResults!$D:$D,F124))</f>
        <v>28</v>
      </c>
      <c r="M124" s="11">
        <f t="shared" si="1"/>
        <v>64</v>
      </c>
    </row>
    <row r="125" spans="1:13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11">
        <f>IF(D125="","",SUMIFS(RaceResults!$C:$C,RaceResults!$A:$A,$A125,RaceResults!$D:$D,D125))</f>
        <v>3</v>
      </c>
      <c r="H125" s="11">
        <f>IF(E125="","",SUMIFS(RaceResults!$C:$C,RaceResults!$A:$A,$A125,RaceResults!$D:$D,E125))</f>
        <v>4</v>
      </c>
      <c r="I125" s="11">
        <f>IF(F125="","",SUMIFS(RaceResults!$C:$C,RaceResults!$A:$A,$A125,RaceResults!$D:$D,F125))</f>
        <v>7</v>
      </c>
      <c r="J125" s="11">
        <f>IF(D125="","",SUMIFS(RaceResults!$E:$E,RaceResults!$A:$A,$A125,RaceResults!$D:$D,D125))</f>
        <v>34</v>
      </c>
      <c r="K125" s="11">
        <f>IF(E125="","",SUMIFS(RaceResults!$E:$E,RaceResults!$A:$A,$A125,RaceResults!$D:$D,E125))</f>
        <v>33</v>
      </c>
      <c r="L125" s="11">
        <f>IF(F125="","",SUMIFS(RaceResults!$E:$E,RaceResults!$A:$A,$A125,RaceResults!$D:$D,F125))</f>
        <v>30</v>
      </c>
      <c r="M125" s="11">
        <f t="shared" si="1"/>
        <v>97</v>
      </c>
    </row>
    <row r="126" spans="1:13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11">
        <f>IF(D126="","",SUMIFS(RaceResults!$C:$C,RaceResults!$A:$A,$A126,RaceResults!$D:$D,D126))</f>
        <v>4</v>
      </c>
      <c r="H126" s="11">
        <f>IF(E126="","",SUMIFS(RaceResults!$C:$C,RaceResults!$A:$A,$A126,RaceResults!$D:$D,E126))</f>
        <v>7</v>
      </c>
      <c r="I126" s="11">
        <f>IF(F126="","",SUMIFS(RaceResults!$C:$C,RaceResults!$A:$A,$A126,RaceResults!$D:$D,F126))</f>
        <v>38</v>
      </c>
      <c r="J126" s="11">
        <f>IF(D126="","",SUMIFS(RaceResults!$E:$E,RaceResults!$A:$A,$A126,RaceResults!$D:$D,D126))</f>
        <v>33</v>
      </c>
      <c r="K126" s="11">
        <f>IF(E126="","",SUMIFS(RaceResults!$E:$E,RaceResults!$A:$A,$A126,RaceResults!$D:$D,E126))</f>
        <v>30</v>
      </c>
      <c r="L126" s="11">
        <f>IF(F126="","",SUMIFS(RaceResults!$E:$E,RaceResults!$A:$A,$A126,RaceResults!$D:$D,F126))</f>
        <v>1</v>
      </c>
      <c r="M126" s="11">
        <f t="shared" si="1"/>
        <v>64</v>
      </c>
    </row>
    <row r="127" spans="1:13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11">
        <f>IF(D127="","",SUMIFS(RaceResults!$C:$C,RaceResults!$A:$A,$A127,RaceResults!$D:$D,D127))</f>
        <v>22</v>
      </c>
      <c r="H127" s="11">
        <f>IF(E127="","",SUMIFS(RaceResults!$C:$C,RaceResults!$A:$A,$A127,RaceResults!$D:$D,E127))</f>
        <v>5</v>
      </c>
      <c r="I127" s="11">
        <f>IF(F127="","",SUMIFS(RaceResults!$C:$C,RaceResults!$A:$A,$A127,RaceResults!$D:$D,F127))</f>
        <v>3</v>
      </c>
      <c r="J127" s="11">
        <f>IF(D127="","",SUMIFS(RaceResults!$E:$E,RaceResults!$A:$A,$A127,RaceResults!$D:$D,D127))</f>
        <v>15</v>
      </c>
      <c r="K127" s="11">
        <f>IF(E127="","",SUMIFS(RaceResults!$E:$E,RaceResults!$A:$A,$A127,RaceResults!$D:$D,E127))</f>
        <v>32</v>
      </c>
      <c r="L127" s="11">
        <f>IF(F127="","",SUMIFS(RaceResults!$E:$E,RaceResults!$A:$A,$A127,RaceResults!$D:$D,F127))</f>
        <v>34</v>
      </c>
      <c r="M127" s="11">
        <f t="shared" si="1"/>
        <v>81</v>
      </c>
    </row>
    <row r="128" spans="1:13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11">
        <f>IF(D128="","",SUMIFS(RaceResults!$C:$C,RaceResults!$A:$A,$A128,RaceResults!$D:$D,D128))</f>
        <v>37</v>
      </c>
      <c r="H128" s="11">
        <f>IF(E128="","",SUMIFS(RaceResults!$C:$C,RaceResults!$A:$A,$A128,RaceResults!$D:$D,E128))</f>
        <v>5</v>
      </c>
      <c r="I128" s="11">
        <f>IF(F128="","",SUMIFS(RaceResults!$C:$C,RaceResults!$A:$A,$A128,RaceResults!$D:$D,F128))</f>
        <v>17</v>
      </c>
      <c r="J128" s="11">
        <f>IF(D128="","",SUMIFS(RaceResults!$E:$E,RaceResults!$A:$A,$A128,RaceResults!$D:$D,D128))</f>
        <v>1</v>
      </c>
      <c r="K128" s="11">
        <f>IF(E128="","",SUMIFS(RaceResults!$E:$E,RaceResults!$A:$A,$A128,RaceResults!$D:$D,E128))</f>
        <v>32</v>
      </c>
      <c r="L128" s="11">
        <f>IF(F128="","",SUMIFS(RaceResults!$E:$E,RaceResults!$A:$A,$A128,RaceResults!$D:$D,F128))</f>
        <v>20</v>
      </c>
      <c r="M128" s="11">
        <f t="shared" si="1"/>
        <v>53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11">
        <f>IF(D130="","",SUMIFS(RaceResults!$C:$C,RaceResults!$A:$A,$A130,RaceResults!$D:$D,D130))</f>
        <v>5</v>
      </c>
      <c r="H130" s="11">
        <f>IF(E130="","",SUMIFS(RaceResults!$C:$C,RaceResults!$A:$A,$A130,RaceResults!$D:$D,E130))</f>
        <v>3</v>
      </c>
      <c r="I130" s="11">
        <f>IF(F130="","",SUMIFS(RaceResults!$C:$C,RaceResults!$A:$A,$A130,RaceResults!$D:$D,F130))</f>
        <v>7</v>
      </c>
      <c r="J130" s="11">
        <f>IF(D130="","",SUMIFS(RaceResults!$E:$E,RaceResults!$A:$A,$A130,RaceResults!$D:$D,D130))</f>
        <v>32</v>
      </c>
      <c r="K130" s="11">
        <f>IF(E130="","",SUMIFS(RaceResults!$E:$E,RaceResults!$A:$A,$A130,RaceResults!$D:$D,E130))</f>
        <v>34</v>
      </c>
      <c r="L130" s="11">
        <f>IF(F130="","",SUMIFS(RaceResults!$E:$E,RaceResults!$A:$A,$A130,RaceResults!$D:$D,F130))</f>
        <v>30</v>
      </c>
      <c r="M130" s="11">
        <f t="shared" ref="M130:M193" si="2">SUM(J130:L130)</f>
        <v>96</v>
      </c>
    </row>
    <row r="131" spans="1:13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11">
        <f>IF(D131="","",SUMIFS(RaceResults!$C:$C,RaceResults!$A:$A,$A131,RaceResults!$D:$D,D131))</f>
        <v>6</v>
      </c>
      <c r="H131" s="11">
        <f>IF(E131="","",SUMIFS(RaceResults!$C:$C,RaceResults!$A:$A,$A131,RaceResults!$D:$D,E131))</f>
        <v>4</v>
      </c>
      <c r="I131" s="11">
        <f>IF(F131="","",SUMIFS(RaceResults!$C:$C,RaceResults!$A:$A,$A131,RaceResults!$D:$D,F131))</f>
        <v>34</v>
      </c>
      <c r="J131" s="11">
        <f>IF(D131="","",SUMIFS(RaceResults!$E:$E,RaceResults!$A:$A,$A131,RaceResults!$D:$D,D131))</f>
        <v>31</v>
      </c>
      <c r="K131" s="11">
        <f>IF(E131="","",SUMIFS(RaceResults!$E:$E,RaceResults!$A:$A,$A131,RaceResults!$D:$D,E131))</f>
        <v>33</v>
      </c>
      <c r="L131" s="11">
        <f>IF(F131="","",SUMIFS(RaceResults!$E:$E,RaceResults!$A:$A,$A131,RaceResults!$D:$D,F131))</f>
        <v>3</v>
      </c>
      <c r="M131" s="11">
        <f t="shared" si="2"/>
        <v>67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>Meg</v>
      </c>
      <c r="D14">
        <f>MAX(WeeklyPicks!$M$122:$M$131)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501" activePane="bottomLeft" state="frozen"/>
      <selection pane="bottomLeft" activeCell="D522" sqref="D52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4</v>
      </c>
      <c r="C3">
        <f>SUMIF(Calc!$E$2:$E$1081,A3,Calc!$G$2:$G$1081)</f>
        <v>60</v>
      </c>
      <c r="D3">
        <f>IF(B3=0,"",AVERAGEIF(Calc!$E$2:$E$1081,A3,Calc!$F$2:$F$1081))</f>
        <v>22.5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39</v>
      </c>
      <c r="C6">
        <f>SUMIF(Calc!$E$2:$E$1081,A6,Calc!$G$2:$G$1081)</f>
        <v>851</v>
      </c>
      <c r="D6">
        <f>IF(B6=0,"",AVERAGEIF(Calc!$E$2:$E$1081,A6,Calc!$F$2:$F$1081))</f>
        <v>15.794871794871796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12</v>
      </c>
      <c r="C10">
        <f>SUMIF(Calc!$E$2:$E$1081,A10,Calc!$G$2:$G$1081)</f>
        <v>396</v>
      </c>
      <c r="D10">
        <f>IF(B10=0,"",AVERAGEIF(Calc!$E$2:$E$1081,A10,Calc!$F$2:$F$1081))</f>
        <v>10.416666666666666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41</v>
      </c>
      <c r="C12">
        <f>SUMIF(Calc!$E$2:$E$1081,A12,Calc!$G$2:$G$1081)</f>
        <v>1386</v>
      </c>
      <c r="D12">
        <f>IF(B12=0,"",AVERAGEIF(Calc!$E$2:$E$1081,A12,Calc!$F$2:$F$1081))</f>
        <v>5.0487804878048781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35</v>
      </c>
      <c r="C13">
        <f>SUMIF(Calc!$E$2:$E$1081,A13,Calc!$G$2:$G$1081)</f>
        <v>935</v>
      </c>
      <c r="D13">
        <f>IF(B13=0,"",AVERAGEIF(Calc!$E$2:$E$1081,A13,Calc!$F$2:$F$1081))</f>
        <v>12.028571428571428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6</v>
      </c>
      <c r="C20">
        <f>SUMIF(Calc!$E$2:$E$1081,A20,Calc!$G$2:$G$1081)</f>
        <v>34</v>
      </c>
      <c r="D20">
        <f>IF(B20=0,"",AVERAGEIF(Calc!$E$2:$E$1081,A20,Calc!$F$2:$F$1081))</f>
        <v>31.833333333333332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16</v>
      </c>
      <c r="C21">
        <f>SUMIF(Calc!$E$2:$E$1081,A21,Calc!$G$2:$G$1081)</f>
        <v>316</v>
      </c>
      <c r="D21">
        <f>IF(B21=0,"",AVERAGEIF(Calc!$E$2:$E$1081,A21,Calc!$F$2:$F$1081))</f>
        <v>17.5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16</v>
      </c>
      <c r="C25">
        <f>SUMIF(Calc!$E$2:$E$1081,A25,Calc!$G$2:$G$1081)</f>
        <v>344</v>
      </c>
      <c r="D25">
        <f>IF(B25=0,"",AVERAGEIF(Calc!$E$2:$E$1081,A25,Calc!$F$2:$F$1081))</f>
        <v>15.5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30</v>
      </c>
      <c r="C46">
        <f>SUMIF(Calc!$E$2:$E$1081,A46,Calc!$G$2:$G$1081)</f>
        <v>1079</v>
      </c>
      <c r="D46">
        <f>IF(B46=0,"",AVERAGEIF(Calc!$E$2:$E$1081,A46,Calc!$F$2:$F$1081))</f>
        <v>6.1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2</v>
      </c>
      <c r="C49">
        <f>SUMIF(Calc!$E$2:$E$1081,A49,Calc!$G$2:$G$1081)</f>
        <v>54</v>
      </c>
      <c r="D49">
        <f>IF(B49=0,"",AVERAGEIF(Calc!$E$2:$E$1081,A49,Calc!$F$2:$F$1081))</f>
        <v>10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12</v>
      </c>
      <c r="C55">
        <f>SUMIF(Calc!$E$2:$E$1081,A55,Calc!$G$2:$G$1081)</f>
        <v>371</v>
      </c>
      <c r="D55">
        <f>IF(B55=0,"",AVERAGEIF(Calc!$E$2:$E$1081,A55,Calc!$F$2:$F$1081))</f>
        <v>10.833333333333334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6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945</v>
      </c>
      <c r="D4">
        <f>COUNTIF(RaceSummary!$C:$C,B4)</f>
        <v>3</v>
      </c>
      <c r="E4">
        <f>IF(COUNTIF(WeeklyPicks!$C:$C,B4)=0,"",AVERAGEIF(WeeklyPicks!$C:$C,B4,WeeklyPicks!$M:$M))</f>
        <v>26.25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974</v>
      </c>
      <c r="D5">
        <f>COUNTIF(RaceSummary!$C:$C,B5)</f>
        <v>4</v>
      </c>
      <c r="E5">
        <f>IF(COUNTIF(WeeklyPicks!$C:$C,B5)=0,"",AVERAGEIF(WeeklyPicks!$C:$C,B5,WeeklyPicks!$M:$M))</f>
        <v>27.055555555555557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800</v>
      </c>
      <c r="D6">
        <f>COUNTIF(RaceSummary!$C:$C,B6)</f>
        <v>1</v>
      </c>
      <c r="E6">
        <f>IF(COUNTIF(WeeklyPicks!$C:$C,B6)=0,"",AVERAGEIF(WeeklyPicks!$C:$C,B6,WeeklyPicks!$M:$M))</f>
        <v>22.222222222222221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973</v>
      </c>
      <c r="D7">
        <f>COUNTIF(RaceSummary!$C:$C,B7)</f>
        <v>1</v>
      </c>
      <c r="E7">
        <f>IF(COUNTIF(WeeklyPicks!$C:$C,B7)=0,"",AVERAGEIF(WeeklyPicks!$C:$C,B7,WeeklyPicks!$M:$M))</f>
        <v>27.027777777777779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684</v>
      </c>
      <c r="D8">
        <f>COUNTIF(RaceSummary!$C:$C,B8)</f>
        <v>1</v>
      </c>
      <c r="E8">
        <f>IF(COUNTIF(WeeklyPicks!$C:$C,B8)=0,"",AVERAGEIF(WeeklyPicks!$C:$C,B8,WeeklyPicks!$M:$M))</f>
        <v>19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758</v>
      </c>
      <c r="D9">
        <f>COUNTIF(RaceSummary!$C:$C,B9)</f>
        <v>0</v>
      </c>
      <c r="E9">
        <f>IF(COUNTIF(WeeklyPicks!$C:$C,B9)=0,"",AVERAGEIF(WeeklyPicks!$C:$C,B9,WeeklyPicks!$M:$M))</f>
        <v>21.055555555555557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418</v>
      </c>
      <c r="D10" s="21">
        <f>COUNTIF(RaceSummary!$C:$C,B10)</f>
        <v>0</v>
      </c>
      <c r="E10" s="21">
        <f>IF(COUNTIF(WeeklyPicks!$C:$C,B10)=0,"",AVERAGEIF(WeeklyPicks!$C:$C,B10,WeeklyPicks!$M:$M))</f>
        <v>11.611111111111111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SUMIF(WeeklyPicks!$C:$C,B12,WeeklyPicks!$M:$M)</f>
        <v>611</v>
      </c>
      <c r="D12">
        <f>COUNTIF(RaceSummary!$C:$C,B12)</f>
        <v>0</v>
      </c>
      <c r="E12">
        <f>IF(COUNTIF(WeeklyPicks!$C:$C,B12)=0,"",AVERAGEIF(WeeklyPicks!$C:$C,B12,WeeklyPicks!$M:$M))</f>
        <v>16.972222222222221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611</v>
      </c>
      <c r="D13">
        <f>COUNTIF(RaceSummary!$C:$C,B13)</f>
        <v>1</v>
      </c>
      <c r="E13">
        <f>IF(COUNTIF(WeeklyPicks!$C:$C,B13)=0,"",AVERAGEIF(WeeklyPicks!$C:$C,B13,WeeklyPicks!$M:$M))</f>
        <v>16.972222222222221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945</v>
      </c>
      <c r="D29">
        <f>SUMIFS(WeeklyPicks!$M:$M,WeeklyPicks!$A:$A,"&lt;="&amp;$A29,WeeklyPicks!$C:$C,D$16)</f>
        <v>974</v>
      </c>
      <c r="E29">
        <f>SUMIFS(WeeklyPicks!$M:$M,WeeklyPicks!$A:$A,"&lt;="&amp;$A29,WeeklyPicks!$C:$C,E$16)</f>
        <v>800</v>
      </c>
      <c r="F29">
        <f>SUMIFS(WeeklyPicks!$M:$M,WeeklyPicks!$A:$A,"&lt;="&amp;$A29,WeeklyPicks!$C:$C,F$16)</f>
        <v>973</v>
      </c>
      <c r="G29">
        <f>SUMIFS(WeeklyPicks!$M:$M,WeeklyPicks!$A:$A,"&lt;="&amp;$A29,WeeklyPicks!$C:$C,G$16)</f>
        <v>684</v>
      </c>
      <c r="H29">
        <f>SUMIFS(WeeklyPicks!$M:$M,WeeklyPicks!$A:$A,"&lt;="&amp;$A29,WeeklyPicks!$C:$C,H$16)</f>
        <v>758</v>
      </c>
      <c r="I29">
        <f>SUMIFS(WeeklyPicks!$M:$M,WeeklyPicks!$A:$A,"&lt;="&amp;$A29,WeeklyPicks!$C:$C,I$16)</f>
        <v>418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611</v>
      </c>
      <c r="L29">
        <f>SUMIFS(WeeklyPicks!$M:$M,WeeklyPicks!$A:$A,"&lt;="&amp;$A29,WeeklyPicks!$C:$C,L$16)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945</v>
      </c>
      <c r="D30">
        <f>SUMIFS(WeeklyPicks!$M:$M,WeeklyPicks!$A:$A,"&lt;="&amp;$A30,WeeklyPicks!$C:$C,D$16)</f>
        <v>974</v>
      </c>
      <c r="E30">
        <f>SUMIFS(WeeklyPicks!$M:$M,WeeklyPicks!$A:$A,"&lt;="&amp;$A30,WeeklyPicks!$C:$C,E$16)</f>
        <v>800</v>
      </c>
      <c r="F30">
        <f>SUMIFS(WeeklyPicks!$M:$M,WeeklyPicks!$A:$A,"&lt;="&amp;$A30,WeeklyPicks!$C:$C,F$16)</f>
        <v>973</v>
      </c>
      <c r="G30">
        <f>SUMIFS(WeeklyPicks!$M:$M,WeeklyPicks!$A:$A,"&lt;="&amp;$A30,WeeklyPicks!$C:$C,G$16)</f>
        <v>684</v>
      </c>
      <c r="H30">
        <f>SUMIFS(WeeklyPicks!$M:$M,WeeklyPicks!$A:$A,"&lt;="&amp;$A30,WeeklyPicks!$C:$C,H$16)</f>
        <v>758</v>
      </c>
      <c r="I30">
        <f>SUMIFS(WeeklyPicks!$M:$M,WeeklyPicks!$A:$A,"&lt;="&amp;$A30,WeeklyPicks!$C:$C,I$16)</f>
        <v>418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611</v>
      </c>
      <c r="L30">
        <f>SUMIFS(WeeklyPicks!$M:$M,WeeklyPicks!$A:$A,"&lt;="&amp;$A30,WeeklyPicks!$C:$C,L$16)</f>
        <v>611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945</v>
      </c>
      <c r="D31">
        <f>SUMIFS(WeeklyPicks!$M:$M,WeeklyPicks!$A:$A,"&lt;="&amp;$A31,WeeklyPicks!$C:$C,D$16)</f>
        <v>974</v>
      </c>
      <c r="E31">
        <f>SUMIFS(WeeklyPicks!$M:$M,WeeklyPicks!$A:$A,"&lt;="&amp;$A31,WeeklyPicks!$C:$C,E$16)</f>
        <v>800</v>
      </c>
      <c r="F31">
        <f>SUMIFS(WeeklyPicks!$M:$M,WeeklyPicks!$A:$A,"&lt;="&amp;$A31,WeeklyPicks!$C:$C,F$16)</f>
        <v>973</v>
      </c>
      <c r="G31">
        <f>SUMIFS(WeeklyPicks!$M:$M,WeeklyPicks!$A:$A,"&lt;="&amp;$A31,WeeklyPicks!$C:$C,G$16)</f>
        <v>684</v>
      </c>
      <c r="H31">
        <f>SUMIFS(WeeklyPicks!$M:$M,WeeklyPicks!$A:$A,"&lt;="&amp;$A31,WeeklyPicks!$C:$C,H$16)</f>
        <v>758</v>
      </c>
      <c r="I31">
        <f>SUMIFS(WeeklyPicks!$M:$M,WeeklyPicks!$A:$A,"&lt;="&amp;$A31,WeeklyPicks!$C:$C,I$16)</f>
        <v>418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611</v>
      </c>
      <c r="L31">
        <f>SUMIFS(WeeklyPicks!$M:$M,WeeklyPicks!$A:$A,"&lt;="&amp;$A31,WeeklyPicks!$C:$C,L$16)</f>
        <v>611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945</v>
      </c>
      <c r="D32">
        <f>SUMIFS(WeeklyPicks!$M:$M,WeeklyPicks!$A:$A,"&lt;="&amp;$A32,WeeklyPicks!$C:$C,D$16)</f>
        <v>974</v>
      </c>
      <c r="E32">
        <f>SUMIFS(WeeklyPicks!$M:$M,WeeklyPicks!$A:$A,"&lt;="&amp;$A32,WeeklyPicks!$C:$C,E$16)</f>
        <v>800</v>
      </c>
      <c r="F32">
        <f>SUMIFS(WeeklyPicks!$M:$M,WeeklyPicks!$A:$A,"&lt;="&amp;$A32,WeeklyPicks!$C:$C,F$16)</f>
        <v>973</v>
      </c>
      <c r="G32">
        <f>SUMIFS(WeeklyPicks!$M:$M,WeeklyPicks!$A:$A,"&lt;="&amp;$A32,WeeklyPicks!$C:$C,G$16)</f>
        <v>684</v>
      </c>
      <c r="H32">
        <f>SUMIFS(WeeklyPicks!$M:$M,WeeklyPicks!$A:$A,"&lt;="&amp;$A32,WeeklyPicks!$C:$C,H$16)</f>
        <v>758</v>
      </c>
      <c r="I32">
        <f>SUMIFS(WeeklyPicks!$M:$M,WeeklyPicks!$A:$A,"&lt;="&amp;$A32,WeeklyPicks!$C:$C,I$16)</f>
        <v>418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611</v>
      </c>
      <c r="L32">
        <f>SUMIFS(WeeklyPicks!$M:$M,WeeklyPicks!$A:$A,"&lt;="&amp;$A32,WeeklyPicks!$C:$C,L$16)</f>
        <v>611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945</v>
      </c>
      <c r="D33">
        <f>SUMIFS(WeeklyPicks!$M:$M,WeeklyPicks!$A:$A,"&lt;="&amp;$A33,WeeklyPicks!$C:$C,D$16)</f>
        <v>974</v>
      </c>
      <c r="E33">
        <f>SUMIFS(WeeklyPicks!$M:$M,WeeklyPicks!$A:$A,"&lt;="&amp;$A33,WeeklyPicks!$C:$C,E$16)</f>
        <v>800</v>
      </c>
      <c r="F33">
        <f>SUMIFS(WeeklyPicks!$M:$M,WeeklyPicks!$A:$A,"&lt;="&amp;$A33,WeeklyPicks!$C:$C,F$16)</f>
        <v>973</v>
      </c>
      <c r="G33">
        <f>SUMIFS(WeeklyPicks!$M:$M,WeeklyPicks!$A:$A,"&lt;="&amp;$A33,WeeklyPicks!$C:$C,G$16)</f>
        <v>684</v>
      </c>
      <c r="H33">
        <f>SUMIFS(WeeklyPicks!$M:$M,WeeklyPicks!$A:$A,"&lt;="&amp;$A33,WeeklyPicks!$C:$C,H$16)</f>
        <v>758</v>
      </c>
      <c r="I33">
        <f>SUMIFS(WeeklyPicks!$M:$M,WeeklyPicks!$A:$A,"&lt;="&amp;$A33,WeeklyPicks!$C:$C,I$16)</f>
        <v>418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611</v>
      </c>
      <c r="L33">
        <f>SUMIFS(WeeklyPicks!$M:$M,WeeklyPicks!$A:$A,"&lt;="&amp;$A33,WeeklyPicks!$C:$C,L$16)</f>
        <v>611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945</v>
      </c>
      <c r="D34">
        <f>SUMIFS(WeeklyPicks!$M:$M,WeeklyPicks!$A:$A,"&lt;="&amp;$A34,WeeklyPicks!$C:$C,D$16)</f>
        <v>974</v>
      </c>
      <c r="E34">
        <f>SUMIFS(WeeklyPicks!$M:$M,WeeklyPicks!$A:$A,"&lt;="&amp;$A34,WeeklyPicks!$C:$C,E$16)</f>
        <v>800</v>
      </c>
      <c r="F34">
        <f>SUMIFS(WeeklyPicks!$M:$M,WeeklyPicks!$A:$A,"&lt;="&amp;$A34,WeeklyPicks!$C:$C,F$16)</f>
        <v>973</v>
      </c>
      <c r="G34">
        <f>SUMIFS(WeeklyPicks!$M:$M,WeeklyPicks!$A:$A,"&lt;="&amp;$A34,WeeklyPicks!$C:$C,G$16)</f>
        <v>684</v>
      </c>
      <c r="H34">
        <f>SUMIFS(WeeklyPicks!$M:$M,WeeklyPicks!$A:$A,"&lt;="&amp;$A34,WeeklyPicks!$C:$C,H$16)</f>
        <v>758</v>
      </c>
      <c r="I34">
        <f>SUMIFS(WeeklyPicks!$M:$M,WeeklyPicks!$A:$A,"&lt;="&amp;$A34,WeeklyPicks!$C:$C,I$16)</f>
        <v>418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611</v>
      </c>
      <c r="L34">
        <f>SUMIFS(WeeklyPicks!$M:$M,WeeklyPicks!$A:$A,"&lt;="&amp;$A34,WeeklyPicks!$C:$C,L$16)</f>
        <v>611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945</v>
      </c>
      <c r="D35">
        <f>SUMIFS(WeeklyPicks!$M:$M,WeeklyPicks!$A:$A,"&lt;="&amp;$A35,WeeklyPicks!$C:$C,D$16)</f>
        <v>974</v>
      </c>
      <c r="E35">
        <f>SUMIFS(WeeklyPicks!$M:$M,WeeklyPicks!$A:$A,"&lt;="&amp;$A35,WeeklyPicks!$C:$C,E$16)</f>
        <v>800</v>
      </c>
      <c r="F35">
        <f>SUMIFS(WeeklyPicks!$M:$M,WeeklyPicks!$A:$A,"&lt;="&amp;$A35,WeeklyPicks!$C:$C,F$16)</f>
        <v>973</v>
      </c>
      <c r="G35">
        <f>SUMIFS(WeeklyPicks!$M:$M,WeeklyPicks!$A:$A,"&lt;="&amp;$A35,WeeklyPicks!$C:$C,G$16)</f>
        <v>684</v>
      </c>
      <c r="H35">
        <f>SUMIFS(WeeklyPicks!$M:$M,WeeklyPicks!$A:$A,"&lt;="&amp;$A35,WeeklyPicks!$C:$C,H$16)</f>
        <v>758</v>
      </c>
      <c r="I35">
        <f>SUMIFS(WeeklyPicks!$M:$M,WeeklyPicks!$A:$A,"&lt;="&amp;$A35,WeeklyPicks!$C:$C,I$16)</f>
        <v>418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611</v>
      </c>
      <c r="L35">
        <f>SUMIFS(WeeklyPicks!$M:$M,WeeklyPicks!$A:$A,"&lt;="&amp;$A35,WeeklyPicks!$C:$C,L$16)</f>
        <v>611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945</v>
      </c>
      <c r="D36">
        <f>SUMIFS(WeeklyPicks!$M:$M,WeeklyPicks!$A:$A,"&lt;="&amp;$A36,WeeklyPicks!$C:$C,D$16)</f>
        <v>974</v>
      </c>
      <c r="E36">
        <f>SUMIFS(WeeklyPicks!$M:$M,WeeklyPicks!$A:$A,"&lt;="&amp;$A36,WeeklyPicks!$C:$C,E$16)</f>
        <v>800</v>
      </c>
      <c r="F36">
        <f>SUMIFS(WeeklyPicks!$M:$M,WeeklyPicks!$A:$A,"&lt;="&amp;$A36,WeeklyPicks!$C:$C,F$16)</f>
        <v>973</v>
      </c>
      <c r="G36">
        <f>SUMIFS(WeeklyPicks!$M:$M,WeeklyPicks!$A:$A,"&lt;="&amp;$A36,WeeklyPicks!$C:$C,G$16)</f>
        <v>684</v>
      </c>
      <c r="H36">
        <f>SUMIFS(WeeklyPicks!$M:$M,WeeklyPicks!$A:$A,"&lt;="&amp;$A36,WeeklyPicks!$C:$C,H$16)</f>
        <v>758</v>
      </c>
      <c r="I36">
        <f>SUMIFS(WeeklyPicks!$M:$M,WeeklyPicks!$A:$A,"&lt;="&amp;$A36,WeeklyPicks!$C:$C,I$16)</f>
        <v>418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611</v>
      </c>
      <c r="L36">
        <f>SUMIFS(WeeklyPicks!$M:$M,WeeklyPicks!$A:$A,"&lt;="&amp;$A36,WeeklyPicks!$C:$C,L$16)</f>
        <v>611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945</v>
      </c>
      <c r="D37">
        <f>SUMIFS(WeeklyPicks!$M:$M,WeeklyPicks!$A:$A,"&lt;="&amp;$A37,WeeklyPicks!$C:$C,D$16)</f>
        <v>974</v>
      </c>
      <c r="E37">
        <f>SUMIFS(WeeklyPicks!$M:$M,WeeklyPicks!$A:$A,"&lt;="&amp;$A37,WeeklyPicks!$C:$C,E$16)</f>
        <v>800</v>
      </c>
      <c r="F37">
        <f>SUMIFS(WeeklyPicks!$M:$M,WeeklyPicks!$A:$A,"&lt;="&amp;$A37,WeeklyPicks!$C:$C,F$16)</f>
        <v>973</v>
      </c>
      <c r="G37">
        <f>SUMIFS(WeeklyPicks!$M:$M,WeeklyPicks!$A:$A,"&lt;="&amp;$A37,WeeklyPicks!$C:$C,G$16)</f>
        <v>684</v>
      </c>
      <c r="H37">
        <f>SUMIFS(WeeklyPicks!$M:$M,WeeklyPicks!$A:$A,"&lt;="&amp;$A37,WeeklyPicks!$C:$C,H$16)</f>
        <v>758</v>
      </c>
      <c r="I37">
        <f>SUMIFS(WeeklyPicks!$M:$M,WeeklyPicks!$A:$A,"&lt;="&amp;$A37,WeeklyPicks!$C:$C,I$16)</f>
        <v>418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611</v>
      </c>
      <c r="L37">
        <f>SUMIFS(WeeklyPicks!$M:$M,WeeklyPicks!$A:$A,"&lt;="&amp;$A37,WeeklyPicks!$C:$C,L$16)</f>
        <v>611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945</v>
      </c>
      <c r="D38">
        <f>SUMIFS(WeeklyPicks!$M:$M,WeeklyPicks!$A:$A,"&lt;="&amp;$A38,WeeklyPicks!$C:$C,D$16)</f>
        <v>974</v>
      </c>
      <c r="E38">
        <f>SUMIFS(WeeklyPicks!$M:$M,WeeklyPicks!$A:$A,"&lt;="&amp;$A38,WeeklyPicks!$C:$C,E$16)</f>
        <v>800</v>
      </c>
      <c r="F38">
        <f>SUMIFS(WeeklyPicks!$M:$M,WeeklyPicks!$A:$A,"&lt;="&amp;$A38,WeeklyPicks!$C:$C,F$16)</f>
        <v>973</v>
      </c>
      <c r="G38">
        <f>SUMIFS(WeeklyPicks!$M:$M,WeeklyPicks!$A:$A,"&lt;="&amp;$A38,WeeklyPicks!$C:$C,G$16)</f>
        <v>684</v>
      </c>
      <c r="H38">
        <f>SUMIFS(WeeklyPicks!$M:$M,WeeklyPicks!$A:$A,"&lt;="&amp;$A38,WeeklyPicks!$C:$C,H$16)</f>
        <v>758</v>
      </c>
      <c r="I38">
        <f>SUMIFS(WeeklyPicks!$M:$M,WeeklyPicks!$A:$A,"&lt;="&amp;$A38,WeeklyPicks!$C:$C,I$16)</f>
        <v>418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611</v>
      </c>
      <c r="L38">
        <f>SUMIFS(WeeklyPicks!$M:$M,WeeklyPicks!$A:$A,"&lt;="&amp;$A38,WeeklyPicks!$C:$C,L$16)</f>
        <v>611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945</v>
      </c>
      <c r="D39">
        <f>SUMIFS(WeeklyPicks!$M:$M,WeeklyPicks!$A:$A,"&lt;="&amp;$A39,WeeklyPicks!$C:$C,D$16)</f>
        <v>974</v>
      </c>
      <c r="E39">
        <f>SUMIFS(WeeklyPicks!$M:$M,WeeklyPicks!$A:$A,"&lt;="&amp;$A39,WeeklyPicks!$C:$C,E$16)</f>
        <v>800</v>
      </c>
      <c r="F39">
        <f>SUMIFS(WeeklyPicks!$M:$M,WeeklyPicks!$A:$A,"&lt;="&amp;$A39,WeeklyPicks!$C:$C,F$16)</f>
        <v>973</v>
      </c>
      <c r="G39">
        <f>SUMIFS(WeeklyPicks!$M:$M,WeeklyPicks!$A:$A,"&lt;="&amp;$A39,WeeklyPicks!$C:$C,G$16)</f>
        <v>684</v>
      </c>
      <c r="H39">
        <f>SUMIFS(WeeklyPicks!$M:$M,WeeklyPicks!$A:$A,"&lt;="&amp;$A39,WeeklyPicks!$C:$C,H$16)</f>
        <v>758</v>
      </c>
      <c r="I39">
        <f>SUMIFS(WeeklyPicks!$M:$M,WeeklyPicks!$A:$A,"&lt;="&amp;$A39,WeeklyPicks!$C:$C,I$16)</f>
        <v>418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611</v>
      </c>
      <c r="L39">
        <f>SUMIFS(WeeklyPicks!$M:$M,WeeklyPicks!$A:$A,"&lt;="&amp;$A39,WeeklyPicks!$C:$C,L$16)</f>
        <v>611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945</v>
      </c>
      <c r="D40">
        <f>SUMIFS(WeeklyPicks!$M:$M,WeeklyPicks!$A:$A,"&lt;="&amp;$A40,WeeklyPicks!$C:$C,D$16)</f>
        <v>974</v>
      </c>
      <c r="E40">
        <f>SUMIFS(WeeklyPicks!$M:$M,WeeklyPicks!$A:$A,"&lt;="&amp;$A40,WeeklyPicks!$C:$C,E$16)</f>
        <v>800</v>
      </c>
      <c r="F40">
        <f>SUMIFS(WeeklyPicks!$M:$M,WeeklyPicks!$A:$A,"&lt;="&amp;$A40,WeeklyPicks!$C:$C,F$16)</f>
        <v>973</v>
      </c>
      <c r="G40">
        <f>SUMIFS(WeeklyPicks!$M:$M,WeeklyPicks!$A:$A,"&lt;="&amp;$A40,WeeklyPicks!$C:$C,G$16)</f>
        <v>684</v>
      </c>
      <c r="H40">
        <f>SUMIFS(WeeklyPicks!$M:$M,WeeklyPicks!$A:$A,"&lt;="&amp;$A40,WeeklyPicks!$C:$C,H$16)</f>
        <v>758</v>
      </c>
      <c r="I40">
        <f>SUMIFS(WeeklyPicks!$M:$M,WeeklyPicks!$A:$A,"&lt;="&amp;$A40,WeeklyPicks!$C:$C,I$16)</f>
        <v>418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611</v>
      </c>
      <c r="L40">
        <f>SUMIFS(WeeklyPicks!$M:$M,WeeklyPicks!$A:$A,"&lt;="&amp;$A40,WeeklyPicks!$C:$C,L$16)</f>
        <v>611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945</v>
      </c>
      <c r="D41">
        <f>SUMIFS(WeeklyPicks!$M:$M,WeeklyPicks!$A:$A,"&lt;="&amp;$A41,WeeklyPicks!$C:$C,D$16)</f>
        <v>974</v>
      </c>
      <c r="E41">
        <f>SUMIFS(WeeklyPicks!$M:$M,WeeklyPicks!$A:$A,"&lt;="&amp;$A41,WeeklyPicks!$C:$C,E$16)</f>
        <v>800</v>
      </c>
      <c r="F41">
        <f>SUMIFS(WeeklyPicks!$M:$M,WeeklyPicks!$A:$A,"&lt;="&amp;$A41,WeeklyPicks!$C:$C,F$16)</f>
        <v>973</v>
      </c>
      <c r="G41">
        <f>SUMIFS(WeeklyPicks!$M:$M,WeeklyPicks!$A:$A,"&lt;="&amp;$A41,WeeklyPicks!$C:$C,G$16)</f>
        <v>684</v>
      </c>
      <c r="H41">
        <f>SUMIFS(WeeklyPicks!$M:$M,WeeklyPicks!$A:$A,"&lt;="&amp;$A41,WeeklyPicks!$C:$C,H$16)</f>
        <v>758</v>
      </c>
      <c r="I41">
        <f>SUMIFS(WeeklyPicks!$M:$M,WeeklyPicks!$A:$A,"&lt;="&amp;$A41,WeeklyPicks!$C:$C,I$16)</f>
        <v>418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611</v>
      </c>
      <c r="L41">
        <f>SUMIFS(WeeklyPicks!$M:$M,WeeklyPicks!$A:$A,"&lt;="&amp;$A41,WeeklyPicks!$C:$C,L$16)</f>
        <v>611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945</v>
      </c>
      <c r="D42">
        <f>SUMIFS(WeeklyPicks!$M:$M,WeeklyPicks!$A:$A,"&lt;="&amp;$A42,WeeklyPicks!$C:$C,D$16)</f>
        <v>974</v>
      </c>
      <c r="E42">
        <f>SUMIFS(WeeklyPicks!$M:$M,WeeklyPicks!$A:$A,"&lt;="&amp;$A42,WeeklyPicks!$C:$C,E$16)</f>
        <v>800</v>
      </c>
      <c r="F42">
        <f>SUMIFS(WeeklyPicks!$M:$M,WeeklyPicks!$A:$A,"&lt;="&amp;$A42,WeeklyPicks!$C:$C,F$16)</f>
        <v>973</v>
      </c>
      <c r="G42">
        <f>SUMIFS(WeeklyPicks!$M:$M,WeeklyPicks!$A:$A,"&lt;="&amp;$A42,WeeklyPicks!$C:$C,G$16)</f>
        <v>684</v>
      </c>
      <c r="H42">
        <f>SUMIFS(WeeklyPicks!$M:$M,WeeklyPicks!$A:$A,"&lt;="&amp;$A42,WeeklyPicks!$C:$C,H$16)</f>
        <v>758</v>
      </c>
      <c r="I42">
        <f>SUMIFS(WeeklyPicks!$M:$M,WeeklyPicks!$A:$A,"&lt;="&amp;$A42,WeeklyPicks!$C:$C,I$16)</f>
        <v>418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611</v>
      </c>
      <c r="L42">
        <f>SUMIFS(WeeklyPicks!$M:$M,WeeklyPicks!$A:$A,"&lt;="&amp;$A42,WeeklyPicks!$C:$C,L$16)</f>
        <v>611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945</v>
      </c>
      <c r="D43">
        <f>SUMIFS(WeeklyPicks!$M:$M,WeeklyPicks!$A:$A,"&lt;="&amp;$A43,WeeklyPicks!$C:$C,D$16)</f>
        <v>974</v>
      </c>
      <c r="E43">
        <f>SUMIFS(WeeklyPicks!$M:$M,WeeklyPicks!$A:$A,"&lt;="&amp;$A43,WeeklyPicks!$C:$C,E$16)</f>
        <v>800</v>
      </c>
      <c r="F43">
        <f>SUMIFS(WeeklyPicks!$M:$M,WeeklyPicks!$A:$A,"&lt;="&amp;$A43,WeeklyPicks!$C:$C,F$16)</f>
        <v>973</v>
      </c>
      <c r="G43">
        <f>SUMIFS(WeeklyPicks!$M:$M,WeeklyPicks!$A:$A,"&lt;="&amp;$A43,WeeklyPicks!$C:$C,G$16)</f>
        <v>684</v>
      </c>
      <c r="H43">
        <f>SUMIFS(WeeklyPicks!$M:$M,WeeklyPicks!$A:$A,"&lt;="&amp;$A43,WeeklyPicks!$C:$C,H$16)</f>
        <v>758</v>
      </c>
      <c r="I43">
        <f>SUMIFS(WeeklyPicks!$M:$M,WeeklyPicks!$A:$A,"&lt;="&amp;$A43,WeeklyPicks!$C:$C,I$16)</f>
        <v>418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611</v>
      </c>
      <c r="L43">
        <f>SUMIFS(WeeklyPicks!$M:$M,WeeklyPicks!$A:$A,"&lt;="&amp;$A43,WeeklyPicks!$C:$C,L$16)</f>
        <v>611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945</v>
      </c>
      <c r="D44">
        <f>SUMIFS(WeeklyPicks!$M:$M,WeeklyPicks!$A:$A,"&lt;="&amp;$A44,WeeklyPicks!$C:$C,D$16)</f>
        <v>974</v>
      </c>
      <c r="E44">
        <f>SUMIFS(WeeklyPicks!$M:$M,WeeklyPicks!$A:$A,"&lt;="&amp;$A44,WeeklyPicks!$C:$C,E$16)</f>
        <v>800</v>
      </c>
      <c r="F44">
        <f>SUMIFS(WeeklyPicks!$M:$M,WeeklyPicks!$A:$A,"&lt;="&amp;$A44,WeeklyPicks!$C:$C,F$16)</f>
        <v>973</v>
      </c>
      <c r="G44">
        <f>SUMIFS(WeeklyPicks!$M:$M,WeeklyPicks!$A:$A,"&lt;="&amp;$A44,WeeklyPicks!$C:$C,G$16)</f>
        <v>684</v>
      </c>
      <c r="H44">
        <f>SUMIFS(WeeklyPicks!$M:$M,WeeklyPicks!$A:$A,"&lt;="&amp;$A44,WeeklyPicks!$C:$C,H$16)</f>
        <v>758</v>
      </c>
      <c r="I44">
        <f>SUMIFS(WeeklyPicks!$M:$M,WeeklyPicks!$A:$A,"&lt;="&amp;$A44,WeeklyPicks!$C:$C,I$16)</f>
        <v>418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611</v>
      </c>
      <c r="L44">
        <f>SUMIFS(WeeklyPicks!$M:$M,WeeklyPicks!$A:$A,"&lt;="&amp;$A44,WeeklyPicks!$C:$C,L$16)</f>
        <v>611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945</v>
      </c>
      <c r="D45">
        <f>SUMIFS(WeeklyPicks!$M:$M,WeeklyPicks!$A:$A,"&lt;="&amp;$A45,WeeklyPicks!$C:$C,D$16)</f>
        <v>974</v>
      </c>
      <c r="E45">
        <f>SUMIFS(WeeklyPicks!$M:$M,WeeklyPicks!$A:$A,"&lt;="&amp;$A45,WeeklyPicks!$C:$C,E$16)</f>
        <v>800</v>
      </c>
      <c r="F45">
        <f>SUMIFS(WeeklyPicks!$M:$M,WeeklyPicks!$A:$A,"&lt;="&amp;$A45,WeeklyPicks!$C:$C,F$16)</f>
        <v>973</v>
      </c>
      <c r="G45">
        <f>SUMIFS(WeeklyPicks!$M:$M,WeeklyPicks!$A:$A,"&lt;="&amp;$A45,WeeklyPicks!$C:$C,G$16)</f>
        <v>684</v>
      </c>
      <c r="H45">
        <f>SUMIFS(WeeklyPicks!$M:$M,WeeklyPicks!$A:$A,"&lt;="&amp;$A45,WeeklyPicks!$C:$C,H$16)</f>
        <v>758</v>
      </c>
      <c r="I45">
        <f>SUMIFS(WeeklyPicks!$M:$M,WeeklyPicks!$A:$A,"&lt;="&amp;$A45,WeeklyPicks!$C:$C,I$16)</f>
        <v>418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611</v>
      </c>
      <c r="L45">
        <f>SUMIFS(WeeklyPicks!$M:$M,WeeklyPicks!$A:$A,"&lt;="&amp;$A45,WeeklyPicks!$C:$C,L$16)</f>
        <v>611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945</v>
      </c>
      <c r="D46">
        <f>SUMIFS(WeeklyPicks!$M:$M,WeeklyPicks!$A:$A,"&lt;="&amp;$A46,WeeklyPicks!$C:$C,D$16)</f>
        <v>974</v>
      </c>
      <c r="E46">
        <f>SUMIFS(WeeklyPicks!$M:$M,WeeklyPicks!$A:$A,"&lt;="&amp;$A46,WeeklyPicks!$C:$C,E$16)</f>
        <v>800</v>
      </c>
      <c r="F46">
        <f>SUMIFS(WeeklyPicks!$M:$M,WeeklyPicks!$A:$A,"&lt;="&amp;$A46,WeeklyPicks!$C:$C,F$16)</f>
        <v>973</v>
      </c>
      <c r="G46">
        <f>SUMIFS(WeeklyPicks!$M:$M,WeeklyPicks!$A:$A,"&lt;="&amp;$A46,WeeklyPicks!$C:$C,G$16)</f>
        <v>684</v>
      </c>
      <c r="H46">
        <f>SUMIFS(WeeklyPicks!$M:$M,WeeklyPicks!$A:$A,"&lt;="&amp;$A46,WeeklyPicks!$C:$C,H$16)</f>
        <v>758</v>
      </c>
      <c r="I46">
        <f>SUMIFS(WeeklyPicks!$M:$M,WeeklyPicks!$A:$A,"&lt;="&amp;$A46,WeeklyPicks!$C:$C,I$16)</f>
        <v>418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611</v>
      </c>
      <c r="L46">
        <f>SUMIFS(WeeklyPicks!$M:$M,WeeklyPicks!$A:$A,"&lt;="&amp;$A46,WeeklyPicks!$C:$C,L$16)</f>
        <v>611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945</v>
      </c>
      <c r="D47">
        <f>SUMIFS(WeeklyPicks!$M:$M,WeeklyPicks!$A:$A,"&lt;="&amp;$A47,WeeklyPicks!$C:$C,D$16)</f>
        <v>974</v>
      </c>
      <c r="E47">
        <f>SUMIFS(WeeklyPicks!$M:$M,WeeklyPicks!$A:$A,"&lt;="&amp;$A47,WeeklyPicks!$C:$C,E$16)</f>
        <v>800</v>
      </c>
      <c r="F47">
        <f>SUMIFS(WeeklyPicks!$M:$M,WeeklyPicks!$A:$A,"&lt;="&amp;$A47,WeeklyPicks!$C:$C,F$16)</f>
        <v>973</v>
      </c>
      <c r="G47">
        <f>SUMIFS(WeeklyPicks!$M:$M,WeeklyPicks!$A:$A,"&lt;="&amp;$A47,WeeklyPicks!$C:$C,G$16)</f>
        <v>684</v>
      </c>
      <c r="H47">
        <f>SUMIFS(WeeklyPicks!$M:$M,WeeklyPicks!$A:$A,"&lt;="&amp;$A47,WeeklyPicks!$C:$C,H$16)</f>
        <v>758</v>
      </c>
      <c r="I47">
        <f>SUMIFS(WeeklyPicks!$M:$M,WeeklyPicks!$A:$A,"&lt;="&amp;$A47,WeeklyPicks!$C:$C,I$16)</f>
        <v>418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611</v>
      </c>
      <c r="L47">
        <f>SUMIFS(WeeklyPicks!$M:$M,WeeklyPicks!$A:$A,"&lt;="&amp;$A47,WeeklyPicks!$C:$C,L$16)</f>
        <v>611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945</v>
      </c>
      <c r="D48">
        <f>SUMIFS(WeeklyPicks!$M:$M,WeeklyPicks!$A:$A,"&lt;="&amp;$A48,WeeklyPicks!$C:$C,D$16)</f>
        <v>974</v>
      </c>
      <c r="E48">
        <f>SUMIFS(WeeklyPicks!$M:$M,WeeklyPicks!$A:$A,"&lt;="&amp;$A48,WeeklyPicks!$C:$C,E$16)</f>
        <v>800</v>
      </c>
      <c r="F48">
        <f>SUMIFS(WeeklyPicks!$M:$M,WeeklyPicks!$A:$A,"&lt;="&amp;$A48,WeeklyPicks!$C:$C,F$16)</f>
        <v>973</v>
      </c>
      <c r="G48">
        <f>SUMIFS(WeeklyPicks!$M:$M,WeeklyPicks!$A:$A,"&lt;="&amp;$A48,WeeklyPicks!$C:$C,G$16)</f>
        <v>684</v>
      </c>
      <c r="H48">
        <f>SUMIFS(WeeklyPicks!$M:$M,WeeklyPicks!$A:$A,"&lt;="&amp;$A48,WeeklyPicks!$C:$C,H$16)</f>
        <v>758</v>
      </c>
      <c r="I48">
        <f>SUMIFS(WeeklyPicks!$M:$M,WeeklyPicks!$A:$A,"&lt;="&amp;$A48,WeeklyPicks!$C:$C,I$16)</f>
        <v>418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611</v>
      </c>
      <c r="L48">
        <f>SUMIFS(WeeklyPicks!$M:$M,WeeklyPicks!$A:$A,"&lt;="&amp;$A48,WeeklyPicks!$C:$C,L$16)</f>
        <v>611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945</v>
      </c>
      <c r="D49">
        <f>SUMIFS(WeeklyPicks!$M:$M,WeeklyPicks!$A:$A,"&lt;="&amp;$A49,WeeklyPicks!$C:$C,D$16)</f>
        <v>974</v>
      </c>
      <c r="E49">
        <f>SUMIFS(WeeklyPicks!$M:$M,WeeklyPicks!$A:$A,"&lt;="&amp;$A49,WeeklyPicks!$C:$C,E$16)</f>
        <v>800</v>
      </c>
      <c r="F49">
        <f>SUMIFS(WeeklyPicks!$M:$M,WeeklyPicks!$A:$A,"&lt;="&amp;$A49,WeeklyPicks!$C:$C,F$16)</f>
        <v>973</v>
      </c>
      <c r="G49">
        <f>SUMIFS(WeeklyPicks!$M:$M,WeeklyPicks!$A:$A,"&lt;="&amp;$A49,WeeklyPicks!$C:$C,G$16)</f>
        <v>684</v>
      </c>
      <c r="H49">
        <f>SUMIFS(WeeklyPicks!$M:$M,WeeklyPicks!$A:$A,"&lt;="&amp;$A49,WeeklyPicks!$C:$C,H$16)</f>
        <v>758</v>
      </c>
      <c r="I49">
        <f>SUMIFS(WeeklyPicks!$M:$M,WeeklyPicks!$A:$A,"&lt;="&amp;$A49,WeeklyPicks!$C:$C,I$16)</f>
        <v>418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611</v>
      </c>
      <c r="L49">
        <f>SUMIFS(WeeklyPicks!$M:$M,WeeklyPicks!$A:$A,"&lt;="&amp;$A49,WeeklyPicks!$C:$C,L$16)</f>
        <v>611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945</v>
      </c>
      <c r="D50">
        <f>SUMIFS(WeeklyPicks!$M:$M,WeeklyPicks!$A:$A,"&lt;="&amp;$A50,WeeklyPicks!$C:$C,D$16)</f>
        <v>974</v>
      </c>
      <c r="E50">
        <f>SUMIFS(WeeklyPicks!$M:$M,WeeklyPicks!$A:$A,"&lt;="&amp;$A50,WeeklyPicks!$C:$C,E$16)</f>
        <v>800</v>
      </c>
      <c r="F50">
        <f>SUMIFS(WeeklyPicks!$M:$M,WeeklyPicks!$A:$A,"&lt;="&amp;$A50,WeeklyPicks!$C:$C,F$16)</f>
        <v>973</v>
      </c>
      <c r="G50">
        <f>SUMIFS(WeeklyPicks!$M:$M,WeeklyPicks!$A:$A,"&lt;="&amp;$A50,WeeklyPicks!$C:$C,G$16)</f>
        <v>684</v>
      </c>
      <c r="H50">
        <f>SUMIFS(WeeklyPicks!$M:$M,WeeklyPicks!$A:$A,"&lt;="&amp;$A50,WeeklyPicks!$C:$C,H$16)</f>
        <v>758</v>
      </c>
      <c r="I50">
        <f>SUMIFS(WeeklyPicks!$M:$M,WeeklyPicks!$A:$A,"&lt;="&amp;$A50,WeeklyPicks!$C:$C,I$16)</f>
        <v>418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611</v>
      </c>
      <c r="L50">
        <f>SUMIFS(WeeklyPicks!$M:$M,WeeklyPicks!$A:$A,"&lt;="&amp;$A50,WeeklyPicks!$C:$C,L$16)</f>
        <v>611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945</v>
      </c>
      <c r="D51">
        <f>SUMIFS(WeeklyPicks!$M:$M,WeeklyPicks!$A:$A,"&lt;="&amp;$A51,WeeklyPicks!$C:$C,D$16)</f>
        <v>974</v>
      </c>
      <c r="E51">
        <f>SUMIFS(WeeklyPicks!$M:$M,WeeklyPicks!$A:$A,"&lt;="&amp;$A51,WeeklyPicks!$C:$C,E$16)</f>
        <v>800</v>
      </c>
      <c r="F51">
        <f>SUMIFS(WeeklyPicks!$M:$M,WeeklyPicks!$A:$A,"&lt;="&amp;$A51,WeeklyPicks!$C:$C,F$16)</f>
        <v>973</v>
      </c>
      <c r="G51">
        <f>SUMIFS(WeeklyPicks!$M:$M,WeeklyPicks!$A:$A,"&lt;="&amp;$A51,WeeklyPicks!$C:$C,G$16)</f>
        <v>684</v>
      </c>
      <c r="H51">
        <f>SUMIFS(WeeklyPicks!$M:$M,WeeklyPicks!$A:$A,"&lt;="&amp;$A51,WeeklyPicks!$C:$C,H$16)</f>
        <v>758</v>
      </c>
      <c r="I51">
        <f>SUMIFS(WeeklyPicks!$M:$M,WeeklyPicks!$A:$A,"&lt;="&amp;$A51,WeeklyPicks!$C:$C,I$16)</f>
        <v>418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611</v>
      </c>
      <c r="L51">
        <f>SUMIFS(WeeklyPicks!$M:$M,WeeklyPicks!$A:$A,"&lt;="&amp;$A51,WeeklyPicks!$C:$C,L$16)</f>
        <v>611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945</v>
      </c>
      <c r="D52">
        <f>SUMIFS(WeeklyPicks!$M:$M,WeeklyPicks!$A:$A,"&lt;="&amp;$A52,WeeklyPicks!$C:$C,D$16)</f>
        <v>974</v>
      </c>
      <c r="E52">
        <f>SUMIFS(WeeklyPicks!$M:$M,WeeklyPicks!$A:$A,"&lt;="&amp;$A52,WeeklyPicks!$C:$C,E$16)</f>
        <v>800</v>
      </c>
      <c r="F52">
        <f>SUMIFS(WeeklyPicks!$M:$M,WeeklyPicks!$A:$A,"&lt;="&amp;$A52,WeeklyPicks!$C:$C,F$16)</f>
        <v>973</v>
      </c>
      <c r="G52">
        <f>SUMIFS(WeeklyPicks!$M:$M,WeeklyPicks!$A:$A,"&lt;="&amp;$A52,WeeklyPicks!$C:$C,G$16)</f>
        <v>684</v>
      </c>
      <c r="H52">
        <f>SUMIFS(WeeklyPicks!$M:$M,WeeklyPicks!$A:$A,"&lt;="&amp;$A52,WeeklyPicks!$C:$C,H$16)</f>
        <v>758</v>
      </c>
      <c r="I52">
        <f>SUMIFS(WeeklyPicks!$M:$M,WeeklyPicks!$A:$A,"&lt;="&amp;$A52,WeeklyPicks!$C:$C,I$16)</f>
        <v>418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611</v>
      </c>
      <c r="L52">
        <f>SUMIFS(WeeklyPicks!$M:$M,WeeklyPicks!$A:$A,"&lt;="&amp;$A52,WeeklyPicks!$C:$C,L$16)</f>
        <v>611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945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974</v>
      </c>
      <c r="D6" s="16">
        <f>Dashboard!D5</f>
        <v>4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800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973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684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758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418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611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611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2026-05-25T03:38:01Z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