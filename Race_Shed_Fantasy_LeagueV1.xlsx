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190" documentId="8_{64ED620B-E9CD-47B3-A172-B982AAA909D5}" xr6:coauthVersionLast="47" xr6:coauthVersionMax="47" xr10:uidLastSave="{843A3124-E92E-4125-BAB6-1FBA0F4AB1BC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55" i="10" l="1"/>
  <c r="C23" i="10"/>
  <c r="M51" i="5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J37" i="11"/>
  <c r="D30" i="11"/>
  <c r="D36" i="11"/>
  <c r="D50" i="11"/>
  <c r="L24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K52" i="11"/>
  <c r="H22" i="11"/>
  <c r="D29" i="11"/>
  <c r="D21" i="6"/>
  <c r="L29" i="11"/>
  <c r="H17" i="6"/>
  <c r="I17" i="6" s="1"/>
  <c r="D20" i="6"/>
  <c r="D30" i="6"/>
  <c r="H36" i="11"/>
  <c r="D13" i="6"/>
  <c r="K25" i="11"/>
  <c r="C12" i="11"/>
  <c r="C13" i="12" s="1"/>
  <c r="H28" i="11"/>
  <c r="C18" i="6"/>
  <c r="L26" i="11"/>
  <c r="L35" i="11"/>
  <c r="C13" i="6"/>
  <c r="D23" i="6"/>
  <c r="H30" i="11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E8" i="11"/>
  <c r="K40" i="11"/>
  <c r="E9" i="11"/>
  <c r="D40" i="11"/>
  <c r="D32" i="11"/>
  <c r="J25" i="11"/>
  <c r="J52" i="11"/>
  <c r="C8" i="6"/>
  <c r="L44" i="11"/>
  <c r="D48" i="11"/>
  <c r="C6" i="6" l="1"/>
  <c r="E2" i="12" s="1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<sst xmlns="http://schemas.openxmlformats.org/spreadsheetml/2006/main" count="8285" uniqueCount="159">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</sst>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281</c:v>
                </c:pt>
                <c:pt idx="1">
                  <c:v>385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555</c:v>
                </c:pt>
                <c:pt idx="14">
                  <c:v>555</c:v>
                </c:pt>
                <c:pt idx="15">
                  <c:v>555</c:v>
                </c:pt>
                <c:pt idx="16">
                  <c:v>555</c:v>
                </c:pt>
                <c:pt idx="17">
                  <c:v>555</c:v>
                </c:pt>
                <c:pt idx="18">
                  <c:v>555</c:v>
                </c:pt>
                <c:pt idx="19">
                  <c:v>555</c:v>
                </c:pt>
                <c:pt idx="20">
                  <c:v>555</c:v>
                </c:pt>
                <c:pt idx="21">
                  <c:v>555</c:v>
                </c:pt>
                <c:pt idx="22">
                  <c:v>555</c:v>
                </c:pt>
                <c:pt idx="23">
                  <c:v>555</c:v>
                </c:pt>
                <c:pt idx="24">
                  <c:v>555</c:v>
                </c:pt>
                <c:pt idx="25">
                  <c:v>555</c:v>
                </c:pt>
                <c:pt idx="26">
                  <c:v>555</c:v>
                </c:pt>
                <c:pt idx="27">
                  <c:v>555</c:v>
                </c:pt>
                <c:pt idx="28">
                  <c:v>555</c:v>
                </c:pt>
                <c:pt idx="29">
                  <c:v>555</c:v>
                </c:pt>
                <c:pt idx="30">
                  <c:v>555</c:v>
                </c:pt>
                <c:pt idx="31">
                  <c:v>555</c:v>
                </c:pt>
                <c:pt idx="32">
                  <c:v>555</c:v>
                </c:pt>
                <c:pt idx="33">
                  <c:v>555</c:v>
                </c:pt>
                <c:pt idx="34">
                  <c:v>555</c:v>
                </c:pt>
                <c:pt idx="35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516</c:v>
                </c:pt>
                <c:pt idx="14">
                  <c:v>516</c:v>
                </c:pt>
                <c:pt idx="15">
                  <c:v>516</c:v>
                </c:pt>
                <c:pt idx="16">
                  <c:v>516</c:v>
                </c:pt>
                <c:pt idx="17">
                  <c:v>516</c:v>
                </c:pt>
                <c:pt idx="18">
                  <c:v>516</c:v>
                </c:pt>
                <c:pt idx="19">
                  <c:v>516</c:v>
                </c:pt>
                <c:pt idx="20">
                  <c:v>516</c:v>
                </c:pt>
                <c:pt idx="21">
                  <c:v>516</c:v>
                </c:pt>
                <c:pt idx="22">
                  <c:v>516</c:v>
                </c:pt>
                <c:pt idx="23">
                  <c:v>516</c:v>
                </c:pt>
                <c:pt idx="24">
                  <c:v>516</c:v>
                </c:pt>
                <c:pt idx="25">
                  <c:v>516</c:v>
                </c:pt>
                <c:pt idx="26">
                  <c:v>516</c:v>
                </c:pt>
                <c:pt idx="27">
                  <c:v>516</c:v>
                </c:pt>
                <c:pt idx="28">
                  <c:v>516</c:v>
                </c:pt>
                <c:pt idx="29">
                  <c:v>516</c:v>
                </c:pt>
                <c:pt idx="30">
                  <c:v>516</c:v>
                </c:pt>
                <c:pt idx="31">
                  <c:v>516</c:v>
                </c:pt>
                <c:pt idx="32">
                  <c:v>516</c:v>
                </c:pt>
                <c:pt idx="33">
                  <c:v>516</c:v>
                </c:pt>
                <c:pt idx="34">
                  <c:v>516</c:v>
                </c:pt>
                <c:pt idx="35">
                  <c:v>516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7.8055555555555554</c:v>
                </c:pt>
                <c:pt idx="1">
                  <c:v>10.694444444444445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513</c:v>
                </c:pt>
                <c:pt idx="14">
                  <c:v>513</c:v>
                </c:pt>
                <c:pt idx="15">
                  <c:v>513</c:v>
                </c:pt>
                <c:pt idx="16">
                  <c:v>513</c:v>
                </c:pt>
                <c:pt idx="17">
                  <c:v>513</c:v>
                </c:pt>
                <c:pt idx="18">
                  <c:v>513</c:v>
                </c:pt>
                <c:pt idx="19">
                  <c:v>513</c:v>
                </c:pt>
                <c:pt idx="20">
                  <c:v>513</c:v>
                </c:pt>
                <c:pt idx="21">
                  <c:v>513</c:v>
                </c:pt>
                <c:pt idx="22">
                  <c:v>513</c:v>
                </c:pt>
                <c:pt idx="23">
                  <c:v>513</c:v>
                </c:pt>
                <c:pt idx="24">
                  <c:v>513</c:v>
                </c:pt>
                <c:pt idx="25">
                  <c:v>513</c:v>
                </c:pt>
                <c:pt idx="26">
                  <c:v>513</c:v>
                </c:pt>
                <c:pt idx="27">
                  <c:v>513</c:v>
                </c:pt>
                <c:pt idx="28">
                  <c:v>513</c:v>
                </c:pt>
                <c:pt idx="29">
                  <c:v>513</c:v>
                </c:pt>
                <c:pt idx="30">
                  <c:v>513</c:v>
                </c:pt>
                <c:pt idx="31">
                  <c:v>513</c:v>
                </c:pt>
                <c:pt idx="32">
                  <c:v>513</c:v>
                </c:pt>
                <c:pt idx="33">
                  <c:v>513</c:v>
                </c:pt>
                <c:pt idx="34">
                  <c:v>513</c:v>
                </c:pt>
                <c:pt idx="35">
                  <c:v>513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586</c:v>
                </c:pt>
                <c:pt idx="14">
                  <c:v>586</c:v>
                </c:pt>
                <c:pt idx="15">
                  <c:v>586</c:v>
                </c:pt>
                <c:pt idx="16">
                  <c:v>586</c:v>
                </c:pt>
                <c:pt idx="17">
                  <c:v>586</c:v>
                </c:pt>
                <c:pt idx="18">
                  <c:v>586</c:v>
                </c:pt>
                <c:pt idx="19">
                  <c:v>586</c:v>
                </c:pt>
                <c:pt idx="20">
                  <c:v>586</c:v>
                </c:pt>
                <c:pt idx="21">
                  <c:v>586</c:v>
                </c:pt>
                <c:pt idx="22">
                  <c:v>586</c:v>
                </c:pt>
                <c:pt idx="23">
                  <c:v>586</c:v>
                </c:pt>
                <c:pt idx="24">
                  <c:v>586</c:v>
                </c:pt>
                <c:pt idx="25">
                  <c:v>586</c:v>
                </c:pt>
                <c:pt idx="26">
                  <c:v>586</c:v>
                </c:pt>
                <c:pt idx="27">
                  <c:v>586</c:v>
                </c:pt>
                <c:pt idx="28">
                  <c:v>586</c:v>
                </c:pt>
                <c:pt idx="29">
                  <c:v>586</c:v>
                </c:pt>
                <c:pt idx="30">
                  <c:v>586</c:v>
                </c:pt>
                <c:pt idx="31">
                  <c:v>586</c:v>
                </c:pt>
                <c:pt idx="32">
                  <c:v>586</c:v>
                </c:pt>
                <c:pt idx="33">
                  <c:v>586</c:v>
                </c:pt>
                <c:pt idx="34">
                  <c:v>586</c:v>
                </c:pt>
                <c:pt idx="35">
                  <c:v>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65" activePane="bottomLeft" state="frozen"/>
      <selection pane="bottomLeft" activeCell="F78" sqref="F7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/>
      <c r="E82" s="3"/>
      <c r="F82" s="3"/>
      <c r="G82" s="11" t="str">
        <f>IF(D82="","",SUMIFS(RaceResults!$C:$C,RaceResults!$A:$A,$A82,RaceResults!$D:$D,D82))</f>
        <v/>
      </c>
      <c r="H82" s="11" t="str">
        <f>IF(E82="","",SUMIFS(RaceResults!$C:$C,RaceResults!$A:$A,$A82,RaceResults!$D:$D,E82))</f>
        <v/>
      </c>
      <c r="I82" s="11" t="str">
        <f>IF(F82="","",SUMIFS(RaceResults!$C:$C,RaceResults!$A:$A,$A82,RaceResults!$D:$D,F82))</f>
        <v/>
      </c>
      <c r="J82" s="11" t="str">
        <f>IF(D82="","",SUMIFS(RaceResults!$E:$E,RaceResults!$A:$A,$A82,RaceResults!$D:$D,D82))</f>
        <v/>
      </c>
      <c r="K82" s="11" t="str">
        <f>IF(E82="","",SUMIFS(RaceResults!$E:$E,RaceResults!$A:$A,$A82,RaceResults!$D:$D,E82))</f>
        <v/>
      </c>
      <c r="L82" s="11" t="str">
        <f>IF(F82="","",SUMIFS(RaceResults!$E:$E,RaceResults!$A:$A,$A82,RaceResults!$D:$D,F82))</f>
        <v/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/>
      <c r="E83" s="3"/>
      <c r="F83" s="3"/>
      <c r="G83" s="11" t="str">
        <f>IF(D83="","",SUMIFS(RaceResults!$C:$C,RaceResults!$A:$A,$A83,RaceResults!$D:$D,D83))</f>
        <v/>
      </c>
      <c r="H83" s="11" t="str">
        <f>IF(E83="","",SUMIFS(RaceResults!$C:$C,RaceResults!$A:$A,$A83,RaceResults!$D:$D,E83))</f>
        <v/>
      </c>
      <c r="I83" s="11" t="str">
        <f>IF(F83="","",SUMIFS(RaceResults!$C:$C,RaceResults!$A:$A,$A83,RaceResults!$D:$D,F83))</f>
        <v/>
      </c>
      <c r="J83" s="11" t="str">
        <f>IF(D83="","",SUMIFS(RaceResults!$E:$E,RaceResults!$A:$A,$A83,RaceResults!$D:$D,D83))</f>
        <v/>
      </c>
      <c r="K83" s="11" t="str">
        <f>IF(E83="","",SUMIFS(RaceResults!$E:$E,RaceResults!$A:$A,$A83,RaceResults!$D:$D,E83))</f>
        <v/>
      </c>
      <c r="L83" s="11" t="str">
        <f>IF(F83="","",SUMIFS(RaceResults!$E:$E,RaceResults!$A:$A,$A83,RaceResults!$D:$D,F83))</f>
        <v/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/>
      <c r="E84" s="3"/>
      <c r="F84" s="3"/>
      <c r="G84" s="11" t="str">
        <f>IF(D84="","",SUMIFS(RaceResults!$C:$C,RaceResults!$A:$A,$A84,RaceResults!$D:$D,D84))</f>
        <v/>
      </c>
      <c r="H84" s="11" t="str">
        <f>IF(E84="","",SUMIFS(RaceResults!$C:$C,RaceResults!$A:$A,$A84,RaceResults!$D:$D,E84))</f>
        <v/>
      </c>
      <c r="I84" s="11" t="str">
        <f>IF(F84="","",SUMIFS(RaceResults!$C:$C,RaceResults!$A:$A,$A84,RaceResults!$D:$D,F84))</f>
        <v/>
      </c>
      <c r="J84" s="11" t="str">
        <f>IF(D84="","",SUMIFS(RaceResults!$E:$E,RaceResults!$A:$A,$A84,RaceResults!$D:$D,D84))</f>
        <v/>
      </c>
      <c r="K84" s="11" t="str">
        <f>IF(E84="","",SUMIFS(RaceResults!$E:$E,RaceResults!$A:$A,$A84,RaceResults!$D:$D,E84))</f>
        <v/>
      </c>
      <c r="L84" s="11" t="str">
        <f>IF(F84="","",SUMIFS(RaceResults!$E:$E,RaceResults!$A:$A,$A84,RaceResults!$D:$D,F84))</f>
        <v/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/>
      <c r="E85" s="3"/>
      <c r="F85" s="3"/>
      <c r="G85" s="11" t="str">
        <f>IF(D85="","",SUMIFS(RaceResults!$C:$C,RaceResults!$A:$A,$A85,RaceResults!$D:$D,D85))</f>
        <v/>
      </c>
      <c r="H85" s="11" t="str">
        <f>IF(E85="","",SUMIFS(RaceResults!$C:$C,RaceResults!$A:$A,$A85,RaceResults!$D:$D,E85))</f>
        <v/>
      </c>
      <c r="I85" s="11" t="str">
        <f>IF(F85="","",SUMIFS(RaceResults!$C:$C,RaceResults!$A:$A,$A85,RaceResults!$D:$D,F85))</f>
        <v/>
      </c>
      <c r="J85" s="11" t="str">
        <f>IF(D85="","",SUMIFS(RaceResults!$E:$E,RaceResults!$A:$A,$A85,RaceResults!$D:$D,D85))</f>
        <v/>
      </c>
      <c r="K85" s="11" t="str">
        <f>IF(E85="","",SUMIFS(RaceResults!$E:$E,RaceResults!$A:$A,$A85,RaceResults!$D:$D,E85))</f>
        <v/>
      </c>
      <c r="L85" s="11" t="str">
        <f>IF(F85="","",SUMIFS(RaceResults!$E:$E,RaceResults!$A:$A,$A85,RaceResults!$D:$D,F85))</f>
        <v/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/>
      <c r="E86" s="3"/>
      <c r="F86" s="3"/>
      <c r="G86" s="11" t="str">
        <f>IF(D86="","",SUMIFS(RaceResults!$C:$C,RaceResults!$A:$A,$A86,RaceResults!$D:$D,D86))</f>
        <v/>
      </c>
      <c r="H86" s="11" t="str">
        <f>IF(E86="","",SUMIFS(RaceResults!$C:$C,RaceResults!$A:$A,$A86,RaceResults!$D:$D,E86))</f>
        <v/>
      </c>
      <c r="I86" s="11" t="str">
        <f>IF(F86="","",SUMIFS(RaceResults!$C:$C,RaceResults!$A:$A,$A86,RaceResults!$D:$D,F86))</f>
        <v/>
      </c>
      <c r="J86" s="11" t="str">
        <f>IF(D86="","",SUMIFS(RaceResults!$E:$E,RaceResults!$A:$A,$A86,RaceResults!$D:$D,D86))</f>
        <v/>
      </c>
      <c r="K86" s="11" t="str">
        <f>IF(E86="","",SUMIFS(RaceResults!$E:$E,RaceResults!$A:$A,$A86,RaceResults!$D:$D,E86))</f>
        <v/>
      </c>
      <c r="L86" s="11" t="str">
        <f>IF(F86="","",SUMIFS(RaceResults!$E:$E,RaceResults!$A:$A,$A86,RaceResults!$D:$D,F86))</f>
        <v/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/>
      <c r="E87" s="3"/>
      <c r="F87" s="3"/>
      <c r="G87" s="11" t="str">
        <f>IF(D87="","",SUMIFS(RaceResults!$C:$C,RaceResults!$A:$A,$A87,RaceResults!$D:$D,D87))</f>
        <v/>
      </c>
      <c r="H87" s="11" t="str">
        <f>IF(E87="","",SUMIFS(RaceResults!$C:$C,RaceResults!$A:$A,$A87,RaceResults!$D:$D,E87))</f>
        <v/>
      </c>
      <c r="I87" s="11" t="str">
        <f>IF(F87="","",SUMIFS(RaceResults!$C:$C,RaceResults!$A:$A,$A87,RaceResults!$D:$D,F87))</f>
        <v/>
      </c>
      <c r="J87" s="11" t="str">
        <f>IF(D87="","",SUMIFS(RaceResults!$E:$E,RaceResults!$A:$A,$A87,RaceResults!$D:$D,D87))</f>
        <v/>
      </c>
      <c r="K87" s="11" t="str">
        <f>IF(E87="","",SUMIFS(RaceResults!$E:$E,RaceResults!$A:$A,$A87,RaceResults!$D:$D,E87))</f>
        <v/>
      </c>
      <c r="L87" s="11" t="str">
        <f>IF(F87="","",SUMIFS(RaceResults!$E:$E,RaceResults!$A:$A,$A87,RaceResults!$D:$D,F87))</f>
        <v/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/>
      <c r="E88" s="3"/>
      <c r="F88" s="3"/>
      <c r="G88" s="11" t="str">
        <f>IF(D88="","",SUMIFS(RaceResults!$C:$C,RaceResults!$A:$A,$A88,RaceResults!$D:$D,D88))</f>
        <v/>
      </c>
      <c r="H88" s="11" t="str">
        <f>IF(E88="","",SUMIFS(RaceResults!$C:$C,RaceResults!$A:$A,$A88,RaceResults!$D:$D,E88))</f>
        <v/>
      </c>
      <c r="I88" s="11" t="str">
        <f>IF(F88="","",SUMIFS(RaceResults!$C:$C,RaceResults!$A:$A,$A88,RaceResults!$D:$D,F88))</f>
        <v/>
      </c>
      <c r="J88" s="11" t="str">
        <f>IF(D88="","",SUMIFS(RaceResults!$E:$E,RaceResults!$A:$A,$A88,RaceResults!$D:$D,D88))</f>
        <v/>
      </c>
      <c r="K88" s="11" t="str">
        <f>IF(E88="","",SUMIFS(RaceResults!$E:$E,RaceResults!$A:$A,$A88,RaceResults!$D:$D,E88))</f>
        <v/>
      </c>
      <c r="L88" s="11" t="str">
        <f>IF(F88="","",SUMIFS(RaceResults!$E:$E,RaceResults!$A:$A,$A88,RaceResults!$D:$D,F88))</f>
        <v/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/>
      <c r="E90" s="3"/>
      <c r="F90" s="3"/>
      <c r="G90" s="11" t="str">
        <f>IF(D90="","",SUMIFS(RaceResults!$C:$C,RaceResults!$A:$A,$A90,RaceResults!$D:$D,D90))</f>
        <v/>
      </c>
      <c r="H90" s="11" t="str">
        <f>IF(E90="","",SUMIFS(RaceResults!$C:$C,RaceResults!$A:$A,$A90,RaceResults!$D:$D,E90))</f>
        <v/>
      </c>
      <c r="I90" s="11" t="str">
        <f>IF(F90="","",SUMIFS(RaceResults!$C:$C,RaceResults!$A:$A,$A90,RaceResults!$D:$D,F90))</f>
        <v/>
      </c>
      <c r="J90" s="11" t="str">
        <f>IF(D90="","",SUMIFS(RaceResults!$E:$E,RaceResults!$A:$A,$A90,RaceResults!$D:$D,D90))</f>
        <v/>
      </c>
      <c r="K90" s="11" t="str">
        <f>IF(E90="","",SUMIFS(RaceResults!$E:$E,RaceResults!$A:$A,$A90,RaceResults!$D:$D,E90))</f>
        <v/>
      </c>
      <c r="L90" s="11" t="str">
        <f>IF(F90="","",SUMIFS(RaceResults!$E:$E,RaceResults!$A:$A,$A90,RaceResults!$D:$D,F90))</f>
        <v/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/>
      <c r="E91" s="3"/>
      <c r="F91" s="3"/>
      <c r="G91" s="11" t="str">
        <f>IF(D91="","",SUMIFS(RaceResults!$C:$C,RaceResults!$A:$A,$A91,RaceResults!$D:$D,D91))</f>
        <v/>
      </c>
      <c r="H91" s="11" t="str">
        <f>IF(E91="","",SUMIFS(RaceResults!$C:$C,RaceResults!$A:$A,$A91,RaceResults!$D:$D,E91))</f>
        <v/>
      </c>
      <c r="I91" s="11" t="str">
        <f>IF(F91="","",SUMIFS(RaceResults!$C:$C,RaceResults!$A:$A,$A91,RaceResults!$D:$D,F91))</f>
        <v/>
      </c>
      <c r="J91" s="11" t="str">
        <f>IF(D91="","",SUMIFS(RaceResults!$E:$E,RaceResults!$A:$A,$A91,RaceResults!$D:$D,D91))</f>
        <v/>
      </c>
      <c r="K91" s="11" t="str">
        <f>IF(E91="","",SUMIFS(RaceResults!$E:$E,RaceResults!$A:$A,$A91,RaceResults!$D:$D,E91))</f>
        <v/>
      </c>
      <c r="L91" s="11" t="str">
        <f>IF(F91="","",SUMIFS(RaceResults!$E:$E,RaceResults!$A:$A,$A91,RaceResults!$D:$D,F91))</f>
        <v/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 t="str">
        <f>IF(MAX(CountCalc!$D$794:$D$892)=0,"",INDEX(CountCalc!$C$794:$C$892,MATCH(MAX(CountCalc!$D$794:$D$892),CountCalc!$D$794:$D$892,0)))</f>
        <v/>
      </c>
      <c r="F10">
        <f>MAX(CountCalc!$D$794:$D$892)</f>
        <v>0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05" activePane="bottomLeft" state="frozen"/>
      <selection pane="bottomLeft" activeCell="D320" sqref="D32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0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0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0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0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0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0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0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0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0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0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0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0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0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0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0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0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0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0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0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0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0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0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0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0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0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0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0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0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0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0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0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0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0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0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16</v>
      </c>
      <c r="C6">
        <f>SUMIF(Calc!$E$2:$E$1081,A6,Calc!$G$2:$G$1081)</f>
        <v>400</v>
      </c>
      <c r="D6">
        <f>IF(B6=0,"",AVERAGEIF(Calc!$E$2:$E$1081,A6,Calc!$F$2:$F$1081))</f>
        <v>12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6</v>
      </c>
      <c r="C10">
        <f>SUMIF(Calc!$E$2:$E$1081,A10,Calc!$G$2:$G$1081)</f>
        <v>252</v>
      </c>
      <c r="D10">
        <f>IF(B10=0,"",AVERAGEIF(Calc!$E$2:$E$1081,A10,Calc!$F$2:$F$1081))</f>
        <v>4.5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25</v>
      </c>
      <c r="C12">
        <f>SUMIF(Calc!$E$2:$E$1081,A12,Calc!$G$2:$G$1081)</f>
        <v>852</v>
      </c>
      <c r="D12">
        <f>IF(B12=0,"",AVERAGEIF(Calc!$E$2:$E$1081,A12,Calc!$F$2:$F$1081))</f>
        <v>5.96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18</v>
      </c>
      <c r="C13">
        <f>SUMIF(Calc!$E$2:$E$1081,A13,Calc!$G$2:$G$1081)</f>
        <v>641</v>
      </c>
      <c r="D13">
        <f>IF(B13=0,"",AVERAGEIF(Calc!$E$2:$E$1081,A13,Calc!$F$2:$F$1081))</f>
        <v>4.5555555555555554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2</v>
      </c>
      <c r="C18">
        <f>SUMIF(Calc!$E$2:$E$1081,A18,Calc!$G$2:$G$1081)</f>
        <v>52</v>
      </c>
      <c r="D18">
        <f>IF(B18=0,"",AVERAGEIF(Calc!$E$2:$E$1081,A18,Calc!$F$2:$F$1081))</f>
        <v>11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8</v>
      </c>
      <c r="C21">
        <f>SUMIF(Calc!$E$2:$E$1081,A21,Calc!$G$2:$G$1081)</f>
        <v>217</v>
      </c>
      <c r="D21">
        <f>IF(B21=0,"",AVERAGEIF(Calc!$E$2:$E$1081,A21,Calc!$F$2:$F$1081))</f>
        <v>9.875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3</v>
      </c>
      <c r="C23">
        <f>SUMIF(Calc!$E$2:$E$1081,A23,Calc!$G$2:$G$1081)</f>
        <v>40</v>
      </c>
      <c r="D23">
        <f>IF(B23=0,"",AVERAGEIF(Calc!$E$2:$E$1081,A23,Calc!$F$2:$F$1081))</f>
        <v>23.666666666666668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4</v>
      </c>
      <c r="C24">
        <f>SUMIF(Calc!$E$2:$E$1081,A24,Calc!$G$2:$G$1081)</f>
        <v>85</v>
      </c>
      <c r="D24">
        <f>IF(B24=0,"",AVERAGEIF(Calc!$E$2:$E$1081,A24,Calc!$F$2:$F$1081))</f>
        <v>15.75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9</v>
      </c>
      <c r="C25">
        <f>SUMIF(Calc!$E$2:$E$1081,A25,Calc!$G$2:$G$1081)</f>
        <v>277</v>
      </c>
      <c r="D25">
        <f>IF(B25=0,"",AVERAGEIF(Calc!$E$2:$E$1081,A25,Calc!$F$2:$F$1081))</f>
        <v>6.2222222222222223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16</v>
      </c>
      <c r="C46">
        <f>SUMIF(Calc!$E$2:$E$1081,A46,Calc!$G$2:$G$1081)</f>
        <v>614</v>
      </c>
      <c r="D46">
        <f>IF(B46=0,"",AVERAGEIF(Calc!$E$2:$E$1081,A46,Calc!$F$2:$F$1081))</f>
        <v>5.75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4</v>
      </c>
      <c r="C55">
        <f>SUMIF(Calc!$E$2:$E$1081,A55,Calc!$G$2:$G$1081)</f>
        <v>196</v>
      </c>
      <c r="D55">
        <f>IF(B55=0,"",AVERAGEIF(Calc!$E$2:$E$1081,A55,Calc!$F$2:$F$1081))</f>
        <v>2.25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4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555</v>
      </c>
      <c r="D4">
        <f>COUNTIF(RaceSummary!$C:$C,B4)</f>
        <v>1</v>
      </c>
      <c r="E4">
        <f>IF(COUNTIF(WeeklyPicks!$C:$C,B4)=0,"",AVERAGEIF(WeeklyPicks!$C:$C,B4,WeeklyPicks!$M:$M))</f>
        <v>15.416666666666666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516</v>
      </c>
      <c r="D5">
        <f>COUNTIF(RaceSummary!$C:$C,B5)</f>
        <v>1</v>
      </c>
      <c r="E5">
        <f>IF(COUNTIF(WeeklyPicks!$C:$C,B5)=0,"",AVERAGEIF(WeeklyPicks!$C:$C,B5,WeeklyPicks!$M:$M))</f>
        <v>14.333333333333334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513</v>
      </c>
      <c r="D6">
        <f>COUNTIF(RaceSummary!$C:$C,B6)</f>
        <v>1</v>
      </c>
      <c r="E6">
        <f>IF(COUNTIF(WeeklyPicks!$C:$C,B6)=0,"",AVERAGEIF(WeeklyPicks!$C:$C,B6,WeeklyPicks!$M:$M))</f>
        <v>14.25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586</v>
      </c>
      <c r="D7">
        <f>COUNTIF(RaceSummary!$C:$C,B7)</f>
        <v>1</v>
      </c>
      <c r="E7">
        <f>IF(COUNTIF(WeeklyPicks!$C:$C,B7)=0,"",AVERAGEIF(WeeklyPicks!$C:$C,B7,WeeklyPicks!$M:$M))</f>
        <v>16.277777777777779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449</v>
      </c>
      <c r="D8">
        <f>COUNTIF(RaceSummary!$C:$C,B8)</f>
        <v>1</v>
      </c>
      <c r="E8">
        <f>IF(COUNTIF(WeeklyPicks!$C:$C,B8)=0,"",AVERAGEIF(WeeklyPicks!$C:$C,B8,WeeklyPicks!$M:$M))</f>
        <v>12.472222222222221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395</v>
      </c>
      <c r="D9">
        <f>COUNTIF(RaceSummary!$C:$C,B9)</f>
        <v>0</v>
      </c>
      <c r="E9">
        <f>IF(COUNTIF(WeeklyPicks!$C:$C,B9)=0,"",AVERAGEIF(WeeklyPicks!$C:$C,B9,WeeklyPicks!$M:$M))</f>
        <v>10.972222222222221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115</v>
      </c>
      <c r="D10" s="21">
        <f>COUNTIF(RaceSummary!$C:$C,B10)</f>
        <v>0</v>
      </c>
      <c r="E10" s="21">
        <f>IF(COUNTIF(WeeklyPicks!$C:$C,B10)=0,"",AVERAGEIF(WeeklyPicks!$C:$C,B10,WeeklyPicks!$M:$M))</f>
        <v>3.1944444444444446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281</v>
      </c>
      <c r="D12">
        <f>COUNTIF(RaceSummary!$C:$C,B12)</f>
        <v>0</v>
      </c>
      <c r="E12">
        <f>IF(COUNTIF(WeeklyPicks!$C:$C,B12)=0,"",AVERAGEIF(WeeklyPicks!$C:$C,B12,WeeklyPicks!$M:$M))</f>
        <v>7.8055555555555554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385</v>
      </c>
      <c r="D13">
        <f>COUNTIF(RaceSummary!$C:$C,B13)</f>
        <v>1</v>
      </c>
      <c r="E13">
        <f>IF(COUNTIF(WeeklyPicks!$C:$C,B13)=0,"",AVERAGEIF(WeeklyPicks!$C:$C,B13,WeeklyPicks!$M:$M))</f>
        <v>10.694444444444445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555</v>
      </c>
      <c r="D25">
        <f>SUMIFS(WeeklyPicks!$M:$M,WeeklyPicks!$A:$A,"&lt;="&amp;$A25,WeeklyPicks!$C:$C,D$16)</f>
        <v>516</v>
      </c>
      <c r="E25">
        <f>SUMIFS(WeeklyPicks!$M:$M,WeeklyPicks!$A:$A,"&lt;="&amp;$A25,WeeklyPicks!$C:$C,E$16)</f>
        <v>513</v>
      </c>
      <c r="F25">
        <f>SUMIFS(WeeklyPicks!$M:$M,WeeklyPicks!$A:$A,"&lt;="&amp;$A25,WeeklyPicks!$C:$C,F$16)</f>
        <v>586</v>
      </c>
      <c r="G25">
        <f>SUMIFS(WeeklyPicks!$M:$M,WeeklyPicks!$A:$A,"&lt;="&amp;$A25,WeeklyPicks!$C:$C,G$16)</f>
        <v>449</v>
      </c>
      <c r="H25">
        <f>SUMIFS(WeeklyPicks!$M:$M,WeeklyPicks!$A:$A,"&lt;="&amp;$A25,WeeklyPicks!$C:$C,H$16)</f>
        <v>395</v>
      </c>
      <c r="I25">
        <f>SUMIFS(WeeklyPicks!$M:$M,WeeklyPicks!$A:$A,"&lt;="&amp;$A25,WeeklyPicks!$C:$C,I$16)</f>
        <v>115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281</v>
      </c>
      <c r="L25">
        <f>SUMIFS(WeeklyPicks!$M:$M,WeeklyPicks!$A:$A,"&lt;="&amp;$A25,WeeklyPicks!$C:$C,L$16)</f>
        <v>385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555</v>
      </c>
      <c r="D26">
        <f>SUMIFS(WeeklyPicks!$M:$M,WeeklyPicks!$A:$A,"&lt;="&amp;$A26,WeeklyPicks!$C:$C,D$16)</f>
        <v>516</v>
      </c>
      <c r="E26">
        <f>SUMIFS(WeeklyPicks!$M:$M,WeeklyPicks!$A:$A,"&lt;="&amp;$A26,WeeklyPicks!$C:$C,E$16)</f>
        <v>513</v>
      </c>
      <c r="F26">
        <f>SUMIFS(WeeklyPicks!$M:$M,WeeklyPicks!$A:$A,"&lt;="&amp;$A26,WeeklyPicks!$C:$C,F$16)</f>
        <v>586</v>
      </c>
      <c r="G26">
        <f>SUMIFS(WeeklyPicks!$M:$M,WeeklyPicks!$A:$A,"&lt;="&amp;$A26,WeeklyPicks!$C:$C,G$16)</f>
        <v>449</v>
      </c>
      <c r="H26">
        <f>SUMIFS(WeeklyPicks!$M:$M,WeeklyPicks!$A:$A,"&lt;="&amp;$A26,WeeklyPicks!$C:$C,H$16)</f>
        <v>395</v>
      </c>
      <c r="I26">
        <f>SUMIFS(WeeklyPicks!$M:$M,WeeklyPicks!$A:$A,"&lt;="&amp;$A26,WeeklyPicks!$C:$C,I$16)</f>
        <v>115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281</v>
      </c>
      <c r="L26">
        <f>SUMIFS(WeeklyPicks!$M:$M,WeeklyPicks!$A:$A,"&lt;="&amp;$A26,WeeklyPicks!$C:$C,L$16)</f>
        <v>385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555</v>
      </c>
      <c r="D27">
        <f>SUMIFS(WeeklyPicks!$M:$M,WeeklyPicks!$A:$A,"&lt;="&amp;$A27,WeeklyPicks!$C:$C,D$16)</f>
        <v>516</v>
      </c>
      <c r="E27">
        <f>SUMIFS(WeeklyPicks!$M:$M,WeeklyPicks!$A:$A,"&lt;="&amp;$A27,WeeklyPicks!$C:$C,E$16)</f>
        <v>513</v>
      </c>
      <c r="F27">
        <f>SUMIFS(WeeklyPicks!$M:$M,WeeklyPicks!$A:$A,"&lt;="&amp;$A27,WeeklyPicks!$C:$C,F$16)</f>
        <v>586</v>
      </c>
      <c r="G27">
        <f>SUMIFS(WeeklyPicks!$M:$M,WeeklyPicks!$A:$A,"&lt;="&amp;$A27,WeeklyPicks!$C:$C,G$16)</f>
        <v>449</v>
      </c>
      <c r="H27">
        <f>SUMIFS(WeeklyPicks!$M:$M,WeeklyPicks!$A:$A,"&lt;="&amp;$A27,WeeklyPicks!$C:$C,H$16)</f>
        <v>395</v>
      </c>
      <c r="I27">
        <f>SUMIFS(WeeklyPicks!$M:$M,WeeklyPicks!$A:$A,"&lt;="&amp;$A27,WeeklyPicks!$C:$C,I$16)</f>
        <v>115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281</v>
      </c>
      <c r="L27">
        <f>SUMIFS(WeeklyPicks!$M:$M,WeeklyPicks!$A:$A,"&lt;="&amp;$A27,WeeklyPicks!$C:$C,L$16)</f>
        <v>385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555</v>
      </c>
      <c r="D28">
        <f>SUMIFS(WeeklyPicks!$M:$M,WeeklyPicks!$A:$A,"&lt;="&amp;$A28,WeeklyPicks!$C:$C,D$16)</f>
        <v>516</v>
      </c>
      <c r="E28">
        <f>SUMIFS(WeeklyPicks!$M:$M,WeeklyPicks!$A:$A,"&lt;="&amp;$A28,WeeklyPicks!$C:$C,E$16)</f>
        <v>513</v>
      </c>
      <c r="F28">
        <f>SUMIFS(WeeklyPicks!$M:$M,WeeklyPicks!$A:$A,"&lt;="&amp;$A28,WeeklyPicks!$C:$C,F$16)</f>
        <v>586</v>
      </c>
      <c r="G28">
        <f>SUMIFS(WeeklyPicks!$M:$M,WeeklyPicks!$A:$A,"&lt;="&amp;$A28,WeeklyPicks!$C:$C,G$16)</f>
        <v>449</v>
      </c>
      <c r="H28">
        <f>SUMIFS(WeeklyPicks!$M:$M,WeeklyPicks!$A:$A,"&lt;="&amp;$A28,WeeklyPicks!$C:$C,H$16)</f>
        <v>395</v>
      </c>
      <c r="I28">
        <f>SUMIFS(WeeklyPicks!$M:$M,WeeklyPicks!$A:$A,"&lt;="&amp;$A28,WeeklyPicks!$C:$C,I$16)</f>
        <v>115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281</v>
      </c>
      <c r="L28">
        <f>SUMIFS(WeeklyPicks!$M:$M,WeeklyPicks!$A:$A,"&lt;="&amp;$A28,WeeklyPicks!$C:$C,L$16)</f>
        <v>385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555</v>
      </c>
      <c r="D29">
        <f>SUMIFS(WeeklyPicks!$M:$M,WeeklyPicks!$A:$A,"&lt;="&amp;$A29,WeeklyPicks!$C:$C,D$16)</f>
        <v>516</v>
      </c>
      <c r="E29">
        <f>SUMIFS(WeeklyPicks!$M:$M,WeeklyPicks!$A:$A,"&lt;="&amp;$A29,WeeklyPicks!$C:$C,E$16)</f>
        <v>513</v>
      </c>
      <c r="F29">
        <f>SUMIFS(WeeklyPicks!$M:$M,WeeklyPicks!$A:$A,"&lt;="&amp;$A29,WeeklyPicks!$C:$C,F$16)</f>
        <v>586</v>
      </c>
      <c r="G29">
        <f>SUMIFS(WeeklyPicks!$M:$M,WeeklyPicks!$A:$A,"&lt;="&amp;$A29,WeeklyPicks!$C:$C,G$16)</f>
        <v>449</v>
      </c>
      <c r="H29">
        <f>SUMIFS(WeeklyPicks!$M:$M,WeeklyPicks!$A:$A,"&lt;="&amp;$A29,WeeklyPicks!$C:$C,H$16)</f>
        <v>395</v>
      </c>
      <c r="I29">
        <f>SUMIFS(WeeklyPicks!$M:$M,WeeklyPicks!$A:$A,"&lt;="&amp;$A29,WeeklyPicks!$C:$C,I$16)</f>
        <v>115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281</v>
      </c>
      <c r="L29">
        <f>SUMIFS(WeeklyPicks!$M:$M,WeeklyPicks!$A:$A,"&lt;="&amp;$A29,WeeklyPicks!$C:$C,L$16)</f>
        <v>385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555</v>
      </c>
      <c r="D30">
        <f>SUMIFS(WeeklyPicks!$M:$M,WeeklyPicks!$A:$A,"&lt;="&amp;$A30,WeeklyPicks!$C:$C,D$16)</f>
        <v>516</v>
      </c>
      <c r="E30">
        <f>SUMIFS(WeeklyPicks!$M:$M,WeeklyPicks!$A:$A,"&lt;="&amp;$A30,WeeklyPicks!$C:$C,E$16)</f>
        <v>513</v>
      </c>
      <c r="F30">
        <f>SUMIFS(WeeklyPicks!$M:$M,WeeklyPicks!$A:$A,"&lt;="&amp;$A30,WeeklyPicks!$C:$C,F$16)</f>
        <v>586</v>
      </c>
      <c r="G30">
        <f>SUMIFS(WeeklyPicks!$M:$M,WeeklyPicks!$A:$A,"&lt;="&amp;$A30,WeeklyPicks!$C:$C,G$16)</f>
        <v>449</v>
      </c>
      <c r="H30">
        <f>SUMIFS(WeeklyPicks!$M:$M,WeeklyPicks!$A:$A,"&lt;="&amp;$A30,WeeklyPicks!$C:$C,H$16)</f>
        <v>395</v>
      </c>
      <c r="I30">
        <f>SUMIFS(WeeklyPicks!$M:$M,WeeklyPicks!$A:$A,"&lt;="&amp;$A30,WeeklyPicks!$C:$C,I$16)</f>
        <v>115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281</v>
      </c>
      <c r="L30">
        <f>SUMIFS(WeeklyPicks!$M:$M,WeeklyPicks!$A:$A,"&lt;="&amp;$A30,WeeklyPicks!$C:$C,L$16)</f>
        <v>385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555</v>
      </c>
      <c r="D31">
        <f>SUMIFS(WeeklyPicks!$M:$M,WeeklyPicks!$A:$A,"&lt;="&amp;$A31,WeeklyPicks!$C:$C,D$16)</f>
        <v>516</v>
      </c>
      <c r="E31">
        <f>SUMIFS(WeeklyPicks!$M:$M,WeeklyPicks!$A:$A,"&lt;="&amp;$A31,WeeklyPicks!$C:$C,E$16)</f>
        <v>513</v>
      </c>
      <c r="F31">
        <f>SUMIFS(WeeklyPicks!$M:$M,WeeklyPicks!$A:$A,"&lt;="&amp;$A31,WeeklyPicks!$C:$C,F$16)</f>
        <v>586</v>
      </c>
      <c r="G31">
        <f>SUMIFS(WeeklyPicks!$M:$M,WeeklyPicks!$A:$A,"&lt;="&amp;$A31,WeeklyPicks!$C:$C,G$16)</f>
        <v>449</v>
      </c>
      <c r="H31">
        <f>SUMIFS(WeeklyPicks!$M:$M,WeeklyPicks!$A:$A,"&lt;="&amp;$A31,WeeklyPicks!$C:$C,H$16)</f>
        <v>395</v>
      </c>
      <c r="I31">
        <f>SUMIFS(WeeklyPicks!$M:$M,WeeklyPicks!$A:$A,"&lt;="&amp;$A31,WeeklyPicks!$C:$C,I$16)</f>
        <v>115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281</v>
      </c>
      <c r="L31">
        <f>SUMIFS(WeeklyPicks!$M:$M,WeeklyPicks!$A:$A,"&lt;="&amp;$A31,WeeklyPicks!$C:$C,L$16)</f>
        <v>385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555</v>
      </c>
      <c r="D32">
        <f>SUMIFS(WeeklyPicks!$M:$M,WeeklyPicks!$A:$A,"&lt;="&amp;$A32,WeeklyPicks!$C:$C,D$16)</f>
        <v>516</v>
      </c>
      <c r="E32">
        <f>SUMIFS(WeeklyPicks!$M:$M,WeeklyPicks!$A:$A,"&lt;="&amp;$A32,WeeklyPicks!$C:$C,E$16)</f>
        <v>513</v>
      </c>
      <c r="F32">
        <f>SUMIFS(WeeklyPicks!$M:$M,WeeklyPicks!$A:$A,"&lt;="&amp;$A32,WeeklyPicks!$C:$C,F$16)</f>
        <v>586</v>
      </c>
      <c r="G32">
        <f>SUMIFS(WeeklyPicks!$M:$M,WeeklyPicks!$A:$A,"&lt;="&amp;$A32,WeeklyPicks!$C:$C,G$16)</f>
        <v>449</v>
      </c>
      <c r="H32">
        <f>SUMIFS(WeeklyPicks!$M:$M,WeeklyPicks!$A:$A,"&lt;="&amp;$A32,WeeklyPicks!$C:$C,H$16)</f>
        <v>395</v>
      </c>
      <c r="I32">
        <f>SUMIFS(WeeklyPicks!$M:$M,WeeklyPicks!$A:$A,"&lt;="&amp;$A32,WeeklyPicks!$C:$C,I$16)</f>
        <v>115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281</v>
      </c>
      <c r="L32">
        <f>SUMIFS(WeeklyPicks!$M:$M,WeeklyPicks!$A:$A,"&lt;="&amp;$A32,WeeklyPicks!$C:$C,L$16)</f>
        <v>385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555</v>
      </c>
      <c r="D33">
        <f>SUMIFS(WeeklyPicks!$M:$M,WeeklyPicks!$A:$A,"&lt;="&amp;$A33,WeeklyPicks!$C:$C,D$16)</f>
        <v>516</v>
      </c>
      <c r="E33">
        <f>SUMIFS(WeeklyPicks!$M:$M,WeeklyPicks!$A:$A,"&lt;="&amp;$A33,WeeklyPicks!$C:$C,E$16)</f>
        <v>513</v>
      </c>
      <c r="F33">
        <f>SUMIFS(WeeklyPicks!$M:$M,WeeklyPicks!$A:$A,"&lt;="&amp;$A33,WeeklyPicks!$C:$C,F$16)</f>
        <v>586</v>
      </c>
      <c r="G33">
        <f>SUMIFS(WeeklyPicks!$M:$M,WeeklyPicks!$A:$A,"&lt;="&amp;$A33,WeeklyPicks!$C:$C,G$16)</f>
        <v>449</v>
      </c>
      <c r="H33">
        <f>SUMIFS(WeeklyPicks!$M:$M,WeeklyPicks!$A:$A,"&lt;="&amp;$A33,WeeklyPicks!$C:$C,H$16)</f>
        <v>395</v>
      </c>
      <c r="I33">
        <f>SUMIFS(WeeklyPicks!$M:$M,WeeklyPicks!$A:$A,"&lt;="&amp;$A33,WeeklyPicks!$C:$C,I$16)</f>
        <v>115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281</v>
      </c>
      <c r="L33">
        <f>SUMIFS(WeeklyPicks!$M:$M,WeeklyPicks!$A:$A,"&lt;="&amp;$A33,WeeklyPicks!$C:$C,L$16)</f>
        <v>385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555</v>
      </c>
      <c r="D34">
        <f>SUMIFS(WeeklyPicks!$M:$M,WeeklyPicks!$A:$A,"&lt;="&amp;$A34,WeeklyPicks!$C:$C,D$16)</f>
        <v>516</v>
      </c>
      <c r="E34">
        <f>SUMIFS(WeeklyPicks!$M:$M,WeeklyPicks!$A:$A,"&lt;="&amp;$A34,WeeklyPicks!$C:$C,E$16)</f>
        <v>513</v>
      </c>
      <c r="F34">
        <f>SUMIFS(WeeklyPicks!$M:$M,WeeklyPicks!$A:$A,"&lt;="&amp;$A34,WeeklyPicks!$C:$C,F$16)</f>
        <v>586</v>
      </c>
      <c r="G34">
        <f>SUMIFS(WeeklyPicks!$M:$M,WeeklyPicks!$A:$A,"&lt;="&amp;$A34,WeeklyPicks!$C:$C,G$16)</f>
        <v>449</v>
      </c>
      <c r="H34">
        <f>SUMIFS(WeeklyPicks!$M:$M,WeeklyPicks!$A:$A,"&lt;="&amp;$A34,WeeklyPicks!$C:$C,H$16)</f>
        <v>395</v>
      </c>
      <c r="I34">
        <f>SUMIFS(WeeklyPicks!$M:$M,WeeklyPicks!$A:$A,"&lt;="&amp;$A34,WeeklyPicks!$C:$C,I$16)</f>
        <v>115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281</v>
      </c>
      <c r="L34">
        <f>SUMIFS(WeeklyPicks!$M:$M,WeeklyPicks!$A:$A,"&lt;="&amp;$A34,WeeklyPicks!$C:$C,L$16)</f>
        <v>385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555</v>
      </c>
      <c r="D35">
        <f>SUMIFS(WeeklyPicks!$M:$M,WeeklyPicks!$A:$A,"&lt;="&amp;$A35,WeeklyPicks!$C:$C,D$16)</f>
        <v>516</v>
      </c>
      <c r="E35">
        <f>SUMIFS(WeeklyPicks!$M:$M,WeeklyPicks!$A:$A,"&lt;="&amp;$A35,WeeklyPicks!$C:$C,E$16)</f>
        <v>513</v>
      </c>
      <c r="F35">
        <f>SUMIFS(WeeklyPicks!$M:$M,WeeklyPicks!$A:$A,"&lt;="&amp;$A35,WeeklyPicks!$C:$C,F$16)</f>
        <v>586</v>
      </c>
      <c r="G35">
        <f>SUMIFS(WeeklyPicks!$M:$M,WeeklyPicks!$A:$A,"&lt;="&amp;$A35,WeeklyPicks!$C:$C,G$16)</f>
        <v>449</v>
      </c>
      <c r="H35">
        <f>SUMIFS(WeeklyPicks!$M:$M,WeeklyPicks!$A:$A,"&lt;="&amp;$A35,WeeklyPicks!$C:$C,H$16)</f>
        <v>395</v>
      </c>
      <c r="I35">
        <f>SUMIFS(WeeklyPicks!$M:$M,WeeklyPicks!$A:$A,"&lt;="&amp;$A35,WeeklyPicks!$C:$C,I$16)</f>
        <v>115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281</v>
      </c>
      <c r="L35">
        <f>SUMIFS(WeeklyPicks!$M:$M,WeeklyPicks!$A:$A,"&lt;="&amp;$A35,WeeklyPicks!$C:$C,L$16)</f>
        <v>385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555</v>
      </c>
      <c r="D36">
        <f>SUMIFS(WeeklyPicks!$M:$M,WeeklyPicks!$A:$A,"&lt;="&amp;$A36,WeeklyPicks!$C:$C,D$16)</f>
        <v>516</v>
      </c>
      <c r="E36">
        <f>SUMIFS(WeeklyPicks!$M:$M,WeeklyPicks!$A:$A,"&lt;="&amp;$A36,WeeklyPicks!$C:$C,E$16)</f>
        <v>513</v>
      </c>
      <c r="F36">
        <f>SUMIFS(WeeklyPicks!$M:$M,WeeklyPicks!$A:$A,"&lt;="&amp;$A36,WeeklyPicks!$C:$C,F$16)</f>
        <v>586</v>
      </c>
      <c r="G36">
        <f>SUMIFS(WeeklyPicks!$M:$M,WeeklyPicks!$A:$A,"&lt;="&amp;$A36,WeeklyPicks!$C:$C,G$16)</f>
        <v>449</v>
      </c>
      <c r="H36">
        <f>SUMIFS(WeeklyPicks!$M:$M,WeeklyPicks!$A:$A,"&lt;="&amp;$A36,WeeklyPicks!$C:$C,H$16)</f>
        <v>395</v>
      </c>
      <c r="I36">
        <f>SUMIFS(WeeklyPicks!$M:$M,WeeklyPicks!$A:$A,"&lt;="&amp;$A36,WeeklyPicks!$C:$C,I$16)</f>
        <v>115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281</v>
      </c>
      <c r="L36">
        <f>SUMIFS(WeeklyPicks!$M:$M,WeeklyPicks!$A:$A,"&lt;="&amp;$A36,WeeklyPicks!$C:$C,L$16)</f>
        <v>385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555</v>
      </c>
      <c r="D37">
        <f>SUMIFS(WeeklyPicks!$M:$M,WeeklyPicks!$A:$A,"&lt;="&amp;$A37,WeeklyPicks!$C:$C,D$16)</f>
        <v>516</v>
      </c>
      <c r="E37">
        <f>SUMIFS(WeeklyPicks!$M:$M,WeeklyPicks!$A:$A,"&lt;="&amp;$A37,WeeklyPicks!$C:$C,E$16)</f>
        <v>513</v>
      </c>
      <c r="F37">
        <f>SUMIFS(WeeklyPicks!$M:$M,WeeklyPicks!$A:$A,"&lt;="&amp;$A37,WeeklyPicks!$C:$C,F$16)</f>
        <v>586</v>
      </c>
      <c r="G37">
        <f>SUMIFS(WeeklyPicks!$M:$M,WeeklyPicks!$A:$A,"&lt;="&amp;$A37,WeeklyPicks!$C:$C,G$16)</f>
        <v>449</v>
      </c>
      <c r="H37">
        <f>SUMIFS(WeeklyPicks!$M:$M,WeeklyPicks!$A:$A,"&lt;="&amp;$A37,WeeklyPicks!$C:$C,H$16)</f>
        <v>395</v>
      </c>
      <c r="I37">
        <f>SUMIFS(WeeklyPicks!$M:$M,WeeklyPicks!$A:$A,"&lt;="&amp;$A37,WeeklyPicks!$C:$C,I$16)</f>
        <v>115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281</v>
      </c>
      <c r="L37">
        <f>SUMIFS(WeeklyPicks!$M:$M,WeeklyPicks!$A:$A,"&lt;="&amp;$A37,WeeklyPicks!$C:$C,L$16)</f>
        <v>385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555</v>
      </c>
      <c r="D38">
        <f>SUMIFS(WeeklyPicks!$M:$M,WeeklyPicks!$A:$A,"&lt;="&amp;$A38,WeeklyPicks!$C:$C,D$16)</f>
        <v>516</v>
      </c>
      <c r="E38">
        <f>SUMIFS(WeeklyPicks!$M:$M,WeeklyPicks!$A:$A,"&lt;="&amp;$A38,WeeklyPicks!$C:$C,E$16)</f>
        <v>513</v>
      </c>
      <c r="F38">
        <f>SUMIFS(WeeklyPicks!$M:$M,WeeklyPicks!$A:$A,"&lt;="&amp;$A38,WeeklyPicks!$C:$C,F$16)</f>
        <v>586</v>
      </c>
      <c r="G38">
        <f>SUMIFS(WeeklyPicks!$M:$M,WeeklyPicks!$A:$A,"&lt;="&amp;$A38,WeeklyPicks!$C:$C,G$16)</f>
        <v>449</v>
      </c>
      <c r="H38">
        <f>SUMIFS(WeeklyPicks!$M:$M,WeeklyPicks!$A:$A,"&lt;="&amp;$A38,WeeklyPicks!$C:$C,H$16)</f>
        <v>395</v>
      </c>
      <c r="I38">
        <f>SUMIFS(WeeklyPicks!$M:$M,WeeklyPicks!$A:$A,"&lt;="&amp;$A38,WeeklyPicks!$C:$C,I$16)</f>
        <v>115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281</v>
      </c>
      <c r="L38">
        <f>SUMIFS(WeeklyPicks!$M:$M,WeeklyPicks!$A:$A,"&lt;="&amp;$A38,WeeklyPicks!$C:$C,L$16)</f>
        <v>385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555</v>
      </c>
      <c r="D39">
        <f>SUMIFS(WeeklyPicks!$M:$M,WeeklyPicks!$A:$A,"&lt;="&amp;$A39,WeeklyPicks!$C:$C,D$16)</f>
        <v>516</v>
      </c>
      <c r="E39">
        <f>SUMIFS(WeeklyPicks!$M:$M,WeeklyPicks!$A:$A,"&lt;="&amp;$A39,WeeklyPicks!$C:$C,E$16)</f>
        <v>513</v>
      </c>
      <c r="F39">
        <f>SUMIFS(WeeklyPicks!$M:$M,WeeklyPicks!$A:$A,"&lt;="&amp;$A39,WeeklyPicks!$C:$C,F$16)</f>
        <v>586</v>
      </c>
      <c r="G39">
        <f>SUMIFS(WeeklyPicks!$M:$M,WeeklyPicks!$A:$A,"&lt;="&amp;$A39,WeeklyPicks!$C:$C,G$16)</f>
        <v>449</v>
      </c>
      <c r="H39">
        <f>SUMIFS(WeeklyPicks!$M:$M,WeeklyPicks!$A:$A,"&lt;="&amp;$A39,WeeklyPicks!$C:$C,H$16)</f>
        <v>395</v>
      </c>
      <c r="I39">
        <f>SUMIFS(WeeklyPicks!$M:$M,WeeklyPicks!$A:$A,"&lt;="&amp;$A39,WeeklyPicks!$C:$C,I$16)</f>
        <v>115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281</v>
      </c>
      <c r="L39">
        <f>SUMIFS(WeeklyPicks!$M:$M,WeeklyPicks!$A:$A,"&lt;="&amp;$A39,WeeklyPicks!$C:$C,L$16)</f>
        <v>385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555</v>
      </c>
      <c r="D40">
        <f>SUMIFS(WeeklyPicks!$M:$M,WeeklyPicks!$A:$A,"&lt;="&amp;$A40,WeeklyPicks!$C:$C,D$16)</f>
        <v>516</v>
      </c>
      <c r="E40">
        <f>SUMIFS(WeeklyPicks!$M:$M,WeeklyPicks!$A:$A,"&lt;="&amp;$A40,WeeklyPicks!$C:$C,E$16)</f>
        <v>513</v>
      </c>
      <c r="F40">
        <f>SUMIFS(WeeklyPicks!$M:$M,WeeklyPicks!$A:$A,"&lt;="&amp;$A40,WeeklyPicks!$C:$C,F$16)</f>
        <v>586</v>
      </c>
      <c r="G40">
        <f>SUMIFS(WeeklyPicks!$M:$M,WeeklyPicks!$A:$A,"&lt;="&amp;$A40,WeeklyPicks!$C:$C,G$16)</f>
        <v>449</v>
      </c>
      <c r="H40">
        <f>SUMIFS(WeeklyPicks!$M:$M,WeeklyPicks!$A:$A,"&lt;="&amp;$A40,WeeklyPicks!$C:$C,H$16)</f>
        <v>395</v>
      </c>
      <c r="I40">
        <f>SUMIFS(WeeklyPicks!$M:$M,WeeklyPicks!$A:$A,"&lt;="&amp;$A40,WeeklyPicks!$C:$C,I$16)</f>
        <v>115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281</v>
      </c>
      <c r="L40">
        <f>SUMIFS(WeeklyPicks!$M:$M,WeeklyPicks!$A:$A,"&lt;="&amp;$A40,WeeklyPicks!$C:$C,L$16)</f>
        <v>385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555</v>
      </c>
      <c r="D41">
        <f>SUMIFS(WeeklyPicks!$M:$M,WeeklyPicks!$A:$A,"&lt;="&amp;$A41,WeeklyPicks!$C:$C,D$16)</f>
        <v>516</v>
      </c>
      <c r="E41">
        <f>SUMIFS(WeeklyPicks!$M:$M,WeeklyPicks!$A:$A,"&lt;="&amp;$A41,WeeklyPicks!$C:$C,E$16)</f>
        <v>513</v>
      </c>
      <c r="F41">
        <f>SUMIFS(WeeklyPicks!$M:$M,WeeklyPicks!$A:$A,"&lt;="&amp;$A41,WeeklyPicks!$C:$C,F$16)</f>
        <v>586</v>
      </c>
      <c r="G41">
        <f>SUMIFS(WeeklyPicks!$M:$M,WeeklyPicks!$A:$A,"&lt;="&amp;$A41,WeeklyPicks!$C:$C,G$16)</f>
        <v>449</v>
      </c>
      <c r="H41">
        <f>SUMIFS(WeeklyPicks!$M:$M,WeeklyPicks!$A:$A,"&lt;="&amp;$A41,WeeklyPicks!$C:$C,H$16)</f>
        <v>395</v>
      </c>
      <c r="I41">
        <f>SUMIFS(WeeklyPicks!$M:$M,WeeklyPicks!$A:$A,"&lt;="&amp;$A41,WeeklyPicks!$C:$C,I$16)</f>
        <v>115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281</v>
      </c>
      <c r="L41">
        <f>SUMIFS(WeeklyPicks!$M:$M,WeeklyPicks!$A:$A,"&lt;="&amp;$A41,WeeklyPicks!$C:$C,L$16)</f>
        <v>385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555</v>
      </c>
      <c r="D42">
        <f>SUMIFS(WeeklyPicks!$M:$M,WeeklyPicks!$A:$A,"&lt;="&amp;$A42,WeeklyPicks!$C:$C,D$16)</f>
        <v>516</v>
      </c>
      <c r="E42">
        <f>SUMIFS(WeeklyPicks!$M:$M,WeeklyPicks!$A:$A,"&lt;="&amp;$A42,WeeklyPicks!$C:$C,E$16)</f>
        <v>513</v>
      </c>
      <c r="F42">
        <f>SUMIFS(WeeklyPicks!$M:$M,WeeklyPicks!$A:$A,"&lt;="&amp;$A42,WeeklyPicks!$C:$C,F$16)</f>
        <v>586</v>
      </c>
      <c r="G42">
        <f>SUMIFS(WeeklyPicks!$M:$M,WeeklyPicks!$A:$A,"&lt;="&amp;$A42,WeeklyPicks!$C:$C,G$16)</f>
        <v>449</v>
      </c>
      <c r="H42">
        <f>SUMIFS(WeeklyPicks!$M:$M,WeeklyPicks!$A:$A,"&lt;="&amp;$A42,WeeklyPicks!$C:$C,H$16)</f>
        <v>395</v>
      </c>
      <c r="I42">
        <f>SUMIFS(WeeklyPicks!$M:$M,WeeklyPicks!$A:$A,"&lt;="&amp;$A42,WeeklyPicks!$C:$C,I$16)</f>
        <v>115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281</v>
      </c>
      <c r="L42">
        <f>SUMIFS(WeeklyPicks!$M:$M,WeeklyPicks!$A:$A,"&lt;="&amp;$A42,WeeklyPicks!$C:$C,L$16)</f>
        <v>385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555</v>
      </c>
      <c r="D43">
        <f>SUMIFS(WeeklyPicks!$M:$M,WeeklyPicks!$A:$A,"&lt;="&amp;$A43,WeeklyPicks!$C:$C,D$16)</f>
        <v>516</v>
      </c>
      <c r="E43">
        <f>SUMIFS(WeeklyPicks!$M:$M,WeeklyPicks!$A:$A,"&lt;="&amp;$A43,WeeklyPicks!$C:$C,E$16)</f>
        <v>513</v>
      </c>
      <c r="F43">
        <f>SUMIFS(WeeklyPicks!$M:$M,WeeklyPicks!$A:$A,"&lt;="&amp;$A43,WeeklyPicks!$C:$C,F$16)</f>
        <v>586</v>
      </c>
      <c r="G43">
        <f>SUMIFS(WeeklyPicks!$M:$M,WeeklyPicks!$A:$A,"&lt;="&amp;$A43,WeeklyPicks!$C:$C,G$16)</f>
        <v>449</v>
      </c>
      <c r="H43">
        <f>SUMIFS(WeeklyPicks!$M:$M,WeeklyPicks!$A:$A,"&lt;="&amp;$A43,WeeklyPicks!$C:$C,H$16)</f>
        <v>395</v>
      </c>
      <c r="I43">
        <f>SUMIFS(WeeklyPicks!$M:$M,WeeklyPicks!$A:$A,"&lt;="&amp;$A43,WeeklyPicks!$C:$C,I$16)</f>
        <v>115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281</v>
      </c>
      <c r="L43">
        <f>SUMIFS(WeeklyPicks!$M:$M,WeeklyPicks!$A:$A,"&lt;="&amp;$A43,WeeklyPicks!$C:$C,L$16)</f>
        <v>385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555</v>
      </c>
      <c r="D44">
        <f>SUMIFS(WeeklyPicks!$M:$M,WeeklyPicks!$A:$A,"&lt;="&amp;$A44,WeeklyPicks!$C:$C,D$16)</f>
        <v>516</v>
      </c>
      <c r="E44">
        <f>SUMIFS(WeeklyPicks!$M:$M,WeeklyPicks!$A:$A,"&lt;="&amp;$A44,WeeklyPicks!$C:$C,E$16)</f>
        <v>513</v>
      </c>
      <c r="F44">
        <f>SUMIFS(WeeklyPicks!$M:$M,WeeklyPicks!$A:$A,"&lt;="&amp;$A44,WeeklyPicks!$C:$C,F$16)</f>
        <v>586</v>
      </c>
      <c r="G44">
        <f>SUMIFS(WeeklyPicks!$M:$M,WeeklyPicks!$A:$A,"&lt;="&amp;$A44,WeeklyPicks!$C:$C,G$16)</f>
        <v>449</v>
      </c>
      <c r="H44">
        <f>SUMIFS(WeeklyPicks!$M:$M,WeeklyPicks!$A:$A,"&lt;="&amp;$A44,WeeklyPicks!$C:$C,H$16)</f>
        <v>395</v>
      </c>
      <c r="I44">
        <f>SUMIFS(WeeklyPicks!$M:$M,WeeklyPicks!$A:$A,"&lt;="&amp;$A44,WeeklyPicks!$C:$C,I$16)</f>
        <v>115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281</v>
      </c>
      <c r="L44">
        <f>SUMIFS(WeeklyPicks!$M:$M,WeeklyPicks!$A:$A,"&lt;="&amp;$A44,WeeklyPicks!$C:$C,L$16)</f>
        <v>385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555</v>
      </c>
      <c r="D45">
        <f>SUMIFS(WeeklyPicks!$M:$M,WeeklyPicks!$A:$A,"&lt;="&amp;$A45,WeeklyPicks!$C:$C,D$16)</f>
        <v>516</v>
      </c>
      <c r="E45">
        <f>SUMIFS(WeeklyPicks!$M:$M,WeeklyPicks!$A:$A,"&lt;="&amp;$A45,WeeklyPicks!$C:$C,E$16)</f>
        <v>513</v>
      </c>
      <c r="F45">
        <f>SUMIFS(WeeklyPicks!$M:$M,WeeklyPicks!$A:$A,"&lt;="&amp;$A45,WeeklyPicks!$C:$C,F$16)</f>
        <v>586</v>
      </c>
      <c r="G45">
        <f>SUMIFS(WeeklyPicks!$M:$M,WeeklyPicks!$A:$A,"&lt;="&amp;$A45,WeeklyPicks!$C:$C,G$16)</f>
        <v>449</v>
      </c>
      <c r="H45">
        <f>SUMIFS(WeeklyPicks!$M:$M,WeeklyPicks!$A:$A,"&lt;="&amp;$A45,WeeklyPicks!$C:$C,H$16)</f>
        <v>395</v>
      </c>
      <c r="I45">
        <f>SUMIFS(WeeklyPicks!$M:$M,WeeklyPicks!$A:$A,"&lt;="&amp;$A45,WeeklyPicks!$C:$C,I$16)</f>
        <v>115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281</v>
      </c>
      <c r="L45">
        <f>SUMIFS(WeeklyPicks!$M:$M,WeeklyPicks!$A:$A,"&lt;="&amp;$A45,WeeklyPicks!$C:$C,L$16)</f>
        <v>385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555</v>
      </c>
      <c r="D46">
        <f>SUMIFS(WeeklyPicks!$M:$M,WeeklyPicks!$A:$A,"&lt;="&amp;$A46,WeeklyPicks!$C:$C,D$16)</f>
        <v>516</v>
      </c>
      <c r="E46">
        <f>SUMIFS(WeeklyPicks!$M:$M,WeeklyPicks!$A:$A,"&lt;="&amp;$A46,WeeklyPicks!$C:$C,E$16)</f>
        <v>513</v>
      </c>
      <c r="F46">
        <f>SUMIFS(WeeklyPicks!$M:$M,WeeklyPicks!$A:$A,"&lt;="&amp;$A46,WeeklyPicks!$C:$C,F$16)</f>
        <v>586</v>
      </c>
      <c r="G46">
        <f>SUMIFS(WeeklyPicks!$M:$M,WeeklyPicks!$A:$A,"&lt;="&amp;$A46,WeeklyPicks!$C:$C,G$16)</f>
        <v>449</v>
      </c>
      <c r="H46">
        <f>SUMIFS(WeeklyPicks!$M:$M,WeeklyPicks!$A:$A,"&lt;="&amp;$A46,WeeklyPicks!$C:$C,H$16)</f>
        <v>395</v>
      </c>
      <c r="I46">
        <f>SUMIFS(WeeklyPicks!$M:$M,WeeklyPicks!$A:$A,"&lt;="&amp;$A46,WeeklyPicks!$C:$C,I$16)</f>
        <v>115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281</v>
      </c>
      <c r="L46">
        <f>SUMIFS(WeeklyPicks!$M:$M,WeeklyPicks!$A:$A,"&lt;="&amp;$A46,WeeklyPicks!$C:$C,L$16)</f>
        <v>385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555</v>
      </c>
      <c r="D47">
        <f>SUMIFS(WeeklyPicks!$M:$M,WeeklyPicks!$A:$A,"&lt;="&amp;$A47,WeeklyPicks!$C:$C,D$16)</f>
        <v>516</v>
      </c>
      <c r="E47">
        <f>SUMIFS(WeeklyPicks!$M:$M,WeeklyPicks!$A:$A,"&lt;="&amp;$A47,WeeklyPicks!$C:$C,E$16)</f>
        <v>513</v>
      </c>
      <c r="F47">
        <f>SUMIFS(WeeklyPicks!$M:$M,WeeklyPicks!$A:$A,"&lt;="&amp;$A47,WeeklyPicks!$C:$C,F$16)</f>
        <v>586</v>
      </c>
      <c r="G47">
        <f>SUMIFS(WeeklyPicks!$M:$M,WeeklyPicks!$A:$A,"&lt;="&amp;$A47,WeeklyPicks!$C:$C,G$16)</f>
        <v>449</v>
      </c>
      <c r="H47">
        <f>SUMIFS(WeeklyPicks!$M:$M,WeeklyPicks!$A:$A,"&lt;="&amp;$A47,WeeklyPicks!$C:$C,H$16)</f>
        <v>395</v>
      </c>
      <c r="I47">
        <f>SUMIFS(WeeklyPicks!$M:$M,WeeklyPicks!$A:$A,"&lt;="&amp;$A47,WeeklyPicks!$C:$C,I$16)</f>
        <v>115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281</v>
      </c>
      <c r="L47">
        <f>SUMIFS(WeeklyPicks!$M:$M,WeeklyPicks!$A:$A,"&lt;="&amp;$A47,WeeklyPicks!$C:$C,L$16)</f>
        <v>385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555</v>
      </c>
      <c r="D48">
        <f>SUMIFS(WeeklyPicks!$M:$M,WeeklyPicks!$A:$A,"&lt;="&amp;$A48,WeeklyPicks!$C:$C,D$16)</f>
        <v>516</v>
      </c>
      <c r="E48">
        <f>SUMIFS(WeeklyPicks!$M:$M,WeeklyPicks!$A:$A,"&lt;="&amp;$A48,WeeklyPicks!$C:$C,E$16)</f>
        <v>513</v>
      </c>
      <c r="F48">
        <f>SUMIFS(WeeklyPicks!$M:$M,WeeklyPicks!$A:$A,"&lt;="&amp;$A48,WeeklyPicks!$C:$C,F$16)</f>
        <v>586</v>
      </c>
      <c r="G48">
        <f>SUMIFS(WeeklyPicks!$M:$M,WeeklyPicks!$A:$A,"&lt;="&amp;$A48,WeeklyPicks!$C:$C,G$16)</f>
        <v>449</v>
      </c>
      <c r="H48">
        <f>SUMIFS(WeeklyPicks!$M:$M,WeeklyPicks!$A:$A,"&lt;="&amp;$A48,WeeklyPicks!$C:$C,H$16)</f>
        <v>395</v>
      </c>
      <c r="I48">
        <f>SUMIFS(WeeklyPicks!$M:$M,WeeklyPicks!$A:$A,"&lt;="&amp;$A48,WeeklyPicks!$C:$C,I$16)</f>
        <v>115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281</v>
      </c>
      <c r="L48">
        <f>SUMIFS(WeeklyPicks!$M:$M,WeeklyPicks!$A:$A,"&lt;="&amp;$A48,WeeklyPicks!$C:$C,L$16)</f>
        <v>385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555</v>
      </c>
      <c r="D49">
        <f>SUMIFS(WeeklyPicks!$M:$M,WeeklyPicks!$A:$A,"&lt;="&amp;$A49,WeeklyPicks!$C:$C,D$16)</f>
        <v>516</v>
      </c>
      <c r="E49">
        <f>SUMIFS(WeeklyPicks!$M:$M,WeeklyPicks!$A:$A,"&lt;="&amp;$A49,WeeklyPicks!$C:$C,E$16)</f>
        <v>513</v>
      </c>
      <c r="F49">
        <f>SUMIFS(WeeklyPicks!$M:$M,WeeklyPicks!$A:$A,"&lt;="&amp;$A49,WeeklyPicks!$C:$C,F$16)</f>
        <v>586</v>
      </c>
      <c r="G49">
        <f>SUMIFS(WeeklyPicks!$M:$M,WeeklyPicks!$A:$A,"&lt;="&amp;$A49,WeeklyPicks!$C:$C,G$16)</f>
        <v>449</v>
      </c>
      <c r="H49">
        <f>SUMIFS(WeeklyPicks!$M:$M,WeeklyPicks!$A:$A,"&lt;="&amp;$A49,WeeklyPicks!$C:$C,H$16)</f>
        <v>395</v>
      </c>
      <c r="I49">
        <f>SUMIFS(WeeklyPicks!$M:$M,WeeklyPicks!$A:$A,"&lt;="&amp;$A49,WeeklyPicks!$C:$C,I$16)</f>
        <v>115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281</v>
      </c>
      <c r="L49">
        <f>SUMIFS(WeeklyPicks!$M:$M,WeeklyPicks!$A:$A,"&lt;="&amp;$A49,WeeklyPicks!$C:$C,L$16)</f>
        <v>385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555</v>
      </c>
      <c r="D50">
        <f>SUMIFS(WeeklyPicks!$M:$M,WeeklyPicks!$A:$A,"&lt;="&amp;$A50,WeeklyPicks!$C:$C,D$16)</f>
        <v>516</v>
      </c>
      <c r="E50">
        <f>SUMIFS(WeeklyPicks!$M:$M,WeeklyPicks!$A:$A,"&lt;="&amp;$A50,WeeklyPicks!$C:$C,E$16)</f>
        <v>513</v>
      </c>
      <c r="F50">
        <f>SUMIFS(WeeklyPicks!$M:$M,WeeklyPicks!$A:$A,"&lt;="&amp;$A50,WeeklyPicks!$C:$C,F$16)</f>
        <v>586</v>
      </c>
      <c r="G50">
        <f>SUMIFS(WeeklyPicks!$M:$M,WeeklyPicks!$A:$A,"&lt;="&amp;$A50,WeeklyPicks!$C:$C,G$16)</f>
        <v>449</v>
      </c>
      <c r="H50">
        <f>SUMIFS(WeeklyPicks!$M:$M,WeeklyPicks!$A:$A,"&lt;="&amp;$A50,WeeklyPicks!$C:$C,H$16)</f>
        <v>395</v>
      </c>
      <c r="I50">
        <f>SUMIFS(WeeklyPicks!$M:$M,WeeklyPicks!$A:$A,"&lt;="&amp;$A50,WeeklyPicks!$C:$C,I$16)</f>
        <v>115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281</v>
      </c>
      <c r="L50">
        <f>SUMIFS(WeeklyPicks!$M:$M,WeeklyPicks!$A:$A,"&lt;="&amp;$A50,WeeklyPicks!$C:$C,L$16)</f>
        <v>385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555</v>
      </c>
      <c r="D51">
        <f>SUMIFS(WeeklyPicks!$M:$M,WeeklyPicks!$A:$A,"&lt;="&amp;$A51,WeeklyPicks!$C:$C,D$16)</f>
        <v>516</v>
      </c>
      <c r="E51">
        <f>SUMIFS(WeeklyPicks!$M:$M,WeeklyPicks!$A:$A,"&lt;="&amp;$A51,WeeklyPicks!$C:$C,E$16)</f>
        <v>513</v>
      </c>
      <c r="F51">
        <f>SUMIFS(WeeklyPicks!$M:$M,WeeklyPicks!$A:$A,"&lt;="&amp;$A51,WeeklyPicks!$C:$C,F$16)</f>
        <v>586</v>
      </c>
      <c r="G51">
        <f>SUMIFS(WeeklyPicks!$M:$M,WeeklyPicks!$A:$A,"&lt;="&amp;$A51,WeeklyPicks!$C:$C,G$16)</f>
        <v>449</v>
      </c>
      <c r="H51">
        <f>SUMIFS(WeeklyPicks!$M:$M,WeeklyPicks!$A:$A,"&lt;="&amp;$A51,WeeklyPicks!$C:$C,H$16)</f>
        <v>395</v>
      </c>
      <c r="I51">
        <f>SUMIFS(WeeklyPicks!$M:$M,WeeklyPicks!$A:$A,"&lt;="&amp;$A51,WeeklyPicks!$C:$C,I$16)</f>
        <v>115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281</v>
      </c>
      <c r="L51">
        <f>SUMIFS(WeeklyPicks!$M:$M,WeeklyPicks!$A:$A,"&lt;="&amp;$A51,WeeklyPicks!$C:$C,L$16)</f>
        <v>385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555</v>
      </c>
      <c r="D52">
        <f>SUMIFS(WeeklyPicks!$M:$M,WeeklyPicks!$A:$A,"&lt;="&amp;$A52,WeeklyPicks!$C:$C,D$16)</f>
        <v>516</v>
      </c>
      <c r="E52">
        <f>SUMIFS(WeeklyPicks!$M:$M,WeeklyPicks!$A:$A,"&lt;="&amp;$A52,WeeklyPicks!$C:$C,E$16)</f>
        <v>513</v>
      </c>
      <c r="F52">
        <f>SUMIFS(WeeklyPicks!$M:$M,WeeklyPicks!$A:$A,"&lt;="&amp;$A52,WeeklyPicks!$C:$C,F$16)</f>
        <v>586</v>
      </c>
      <c r="G52">
        <f>SUMIFS(WeeklyPicks!$M:$M,WeeklyPicks!$A:$A,"&lt;="&amp;$A52,WeeklyPicks!$C:$C,G$16)</f>
        <v>449</v>
      </c>
      <c r="H52">
        <f>SUMIFS(WeeklyPicks!$M:$M,WeeklyPicks!$A:$A,"&lt;="&amp;$A52,WeeklyPicks!$C:$C,H$16)</f>
        <v>395</v>
      </c>
      <c r="I52">
        <f>SUMIFS(WeeklyPicks!$M:$M,WeeklyPicks!$A:$A,"&lt;="&amp;$A52,WeeklyPicks!$C:$C,I$16)</f>
        <v>115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281</v>
      </c>
      <c r="L52">
        <f>SUMIFS(WeeklyPicks!$M:$M,WeeklyPicks!$A:$A,"&lt;="&amp;$A52,WeeklyPicks!$C:$C,L$16)</f>
        <v>385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555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516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513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586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449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395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115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281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385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2026-04-12T22:20:42Z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