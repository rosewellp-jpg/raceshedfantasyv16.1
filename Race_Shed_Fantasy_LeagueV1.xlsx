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874a645bcc4383e2/Documents/"/>
    </mc:Choice>
  </mc:AlternateContent>
  <xr:revisionPtr revIDLastSave="533" documentId="8_{64ED620B-E9CD-47B3-A172-B982AAA909D5}" xr6:coauthVersionLast="47" xr6:coauthVersionMax="47" xr10:uidLastSave="{65E8FE95-F743-4BC7-8FE7-32968D6C268E}"/>
  <bookViews>
    <workbookView xWindow="-108" yWindow="-108" windowWidth="23256" windowHeight="12456" firstSheet="3" activeTab="4" xr2:uid="{00000000-000D-0000-FFFF-FFFF00000000}"/>
  </bookViews>
  <sheets>
    <sheet name="README" sheetId="1" r:id="rId1"/>
    <sheet name="Setup" sheetId="2" r:id="rId2"/>
    <sheet name="PointsSystem" sheetId="3" r:id="rId3"/>
    <sheet name="Schedule" sheetId="4" r:id="rId4"/>
    <sheet name="WeeklyPicks" sheetId="5" r:id="rId5"/>
    <sheet name="RaceSummary" sheetId="6" r:id="rId6"/>
    <sheet name="RaceResults" sheetId="7" r:id="rId7"/>
    <sheet name="Calc" sheetId="8" state="hidden" r:id="rId8"/>
    <sheet name="CountCalc" sheetId="9" state="hidden" r:id="rId9"/>
    <sheet name="DriverStats" sheetId="10" r:id="rId10"/>
    <sheet name="Dashboard" sheetId="11" r:id="rId11"/>
    <sheet name="TV_Leaderboard" sheetId="12" r:id="rId12"/>
    <sheet name="Players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4" i="12" l="1"/>
  <c r="B13" i="12"/>
  <c r="B12" i="12"/>
  <c r="B11" i="12"/>
  <c r="B10" i="12"/>
  <c r="B9" i="12"/>
  <c r="B8" i="12"/>
  <c r="B7" i="12"/>
  <c r="B6" i="12"/>
  <c r="B5" i="12"/>
  <c r="D3565" i="9"/>
  <c r="D3564" i="9"/>
  <c r="D3563" i="9"/>
  <c r="D3562" i="9"/>
  <c r="D3561" i="9"/>
  <c r="D3560" i="9"/>
  <c r="D3559" i="9"/>
  <c r="D3558" i="9"/>
  <c r="D3557" i="9"/>
  <c r="D3556" i="9"/>
  <c r="D3555" i="9"/>
  <c r="D3554" i="9"/>
  <c r="D3553" i="9"/>
  <c r="D3552" i="9"/>
  <c r="D3551" i="9"/>
  <c r="D3550" i="9"/>
  <c r="D3549" i="9"/>
  <c r="D3548" i="9"/>
  <c r="D3547" i="9"/>
  <c r="D3546" i="9"/>
  <c r="D3545" i="9"/>
  <c r="D3544" i="9"/>
  <c r="D3543" i="9"/>
  <c r="D3542" i="9"/>
  <c r="D3541" i="9"/>
  <c r="D3540" i="9"/>
  <c r="D3539" i="9"/>
  <c r="D3538" i="9"/>
  <c r="D3537" i="9"/>
  <c r="D3536" i="9"/>
  <c r="D3535" i="9"/>
  <c r="D3534" i="9"/>
  <c r="D3533" i="9"/>
  <c r="D3532" i="9"/>
  <c r="D3531" i="9"/>
  <c r="D3530" i="9"/>
  <c r="D3529" i="9"/>
  <c r="D3528" i="9"/>
  <c r="D3527" i="9"/>
  <c r="D3526" i="9"/>
  <c r="D3525" i="9"/>
  <c r="D3524" i="9"/>
  <c r="D3523" i="9"/>
  <c r="D3522" i="9"/>
  <c r="D3521" i="9"/>
  <c r="D3520" i="9"/>
  <c r="D3519" i="9"/>
  <c r="D3518" i="9"/>
  <c r="D3517" i="9"/>
  <c r="D3516" i="9"/>
  <c r="D3515" i="9"/>
  <c r="D3514" i="9"/>
  <c r="D3513" i="9"/>
  <c r="D3512" i="9"/>
  <c r="D3511" i="9"/>
  <c r="D3510" i="9"/>
  <c r="D3509" i="9"/>
  <c r="D3508" i="9"/>
  <c r="D3507" i="9"/>
  <c r="D3506" i="9"/>
  <c r="D3505" i="9"/>
  <c r="D3504" i="9"/>
  <c r="D3503" i="9"/>
  <c r="D3502" i="9"/>
  <c r="D3501" i="9"/>
  <c r="D3500" i="9"/>
  <c r="D3499" i="9"/>
  <c r="D3498" i="9"/>
  <c r="D3497" i="9"/>
  <c r="D3496" i="9"/>
  <c r="D3495" i="9"/>
  <c r="D3494" i="9"/>
  <c r="D3493" i="9"/>
  <c r="D3492" i="9"/>
  <c r="D3491" i="9"/>
  <c r="D3490" i="9"/>
  <c r="D3489" i="9"/>
  <c r="D3488" i="9"/>
  <c r="D3487" i="9"/>
  <c r="D3486" i="9"/>
  <c r="D3485" i="9"/>
  <c r="D3484" i="9"/>
  <c r="D3483" i="9"/>
  <c r="D3482" i="9"/>
  <c r="D3481" i="9"/>
  <c r="D3480" i="9"/>
  <c r="D3479" i="9"/>
  <c r="D3478" i="9"/>
  <c r="D3477" i="9"/>
  <c r="D3476" i="9"/>
  <c r="D3475" i="9"/>
  <c r="D3474" i="9"/>
  <c r="D3473" i="9"/>
  <c r="D3472" i="9"/>
  <c r="D3471" i="9"/>
  <c r="D3470" i="9"/>
  <c r="D3469" i="9"/>
  <c r="D3468" i="9"/>
  <c r="D3467" i="9"/>
  <c r="D3466" i="9"/>
  <c r="D3465" i="9"/>
  <c r="D3464" i="9"/>
  <c r="D3463" i="9"/>
  <c r="D3462" i="9"/>
  <c r="D3461" i="9"/>
  <c r="D3460" i="9"/>
  <c r="D3459" i="9"/>
  <c r="D3458" i="9"/>
  <c r="D3457" i="9"/>
  <c r="D3456" i="9"/>
  <c r="D3455" i="9"/>
  <c r="D3454" i="9"/>
  <c r="D3453" i="9"/>
  <c r="D3452" i="9"/>
  <c r="D3451" i="9"/>
  <c r="D3450" i="9"/>
  <c r="D3449" i="9"/>
  <c r="D3448" i="9"/>
  <c r="D3447" i="9"/>
  <c r="D3446" i="9"/>
  <c r="D3445" i="9"/>
  <c r="D3444" i="9"/>
  <c r="D3443" i="9"/>
  <c r="D3442" i="9"/>
  <c r="D3441" i="9"/>
  <c r="D3440" i="9"/>
  <c r="D3439" i="9"/>
  <c r="D3438" i="9"/>
  <c r="D3437" i="9"/>
  <c r="D3436" i="9"/>
  <c r="D3435" i="9"/>
  <c r="D3434" i="9"/>
  <c r="D3433" i="9"/>
  <c r="D3432" i="9"/>
  <c r="D3431" i="9"/>
  <c r="D3430" i="9"/>
  <c r="D3429" i="9"/>
  <c r="D3428" i="9"/>
  <c r="D3427" i="9"/>
  <c r="D3426" i="9"/>
  <c r="D3425" i="9"/>
  <c r="D3424" i="9"/>
  <c r="D3423" i="9"/>
  <c r="D3422" i="9"/>
  <c r="D3421" i="9"/>
  <c r="D3420" i="9"/>
  <c r="D3419" i="9"/>
  <c r="D3418" i="9"/>
  <c r="D3417" i="9"/>
  <c r="D3416" i="9"/>
  <c r="D3415" i="9"/>
  <c r="D3414" i="9"/>
  <c r="D3413" i="9"/>
  <c r="D3412" i="9"/>
  <c r="D3411" i="9"/>
  <c r="D3410" i="9"/>
  <c r="D3409" i="9"/>
  <c r="D3408" i="9"/>
  <c r="D3407" i="9"/>
  <c r="D3406" i="9"/>
  <c r="D3405" i="9"/>
  <c r="D3404" i="9"/>
  <c r="D3403" i="9"/>
  <c r="D3402" i="9"/>
  <c r="D3401" i="9"/>
  <c r="D3400" i="9"/>
  <c r="D3399" i="9"/>
  <c r="D3398" i="9"/>
  <c r="D3397" i="9"/>
  <c r="D3396" i="9"/>
  <c r="D3395" i="9"/>
  <c r="D3394" i="9"/>
  <c r="D3393" i="9"/>
  <c r="D3392" i="9"/>
  <c r="D3391" i="9"/>
  <c r="D3390" i="9"/>
  <c r="D3389" i="9"/>
  <c r="D3388" i="9"/>
  <c r="D3387" i="9"/>
  <c r="D3386" i="9"/>
  <c r="D3385" i="9"/>
  <c r="D3384" i="9"/>
  <c r="D3383" i="9"/>
  <c r="D3382" i="9"/>
  <c r="D3381" i="9"/>
  <c r="D3380" i="9"/>
  <c r="D3379" i="9"/>
  <c r="D3378" i="9"/>
  <c r="D3377" i="9"/>
  <c r="D3376" i="9"/>
  <c r="D3375" i="9"/>
  <c r="D3374" i="9"/>
  <c r="D3373" i="9"/>
  <c r="D3372" i="9"/>
  <c r="D3371" i="9"/>
  <c r="D3370" i="9"/>
  <c r="D3369" i="9"/>
  <c r="D3368" i="9"/>
  <c r="D3367" i="9"/>
  <c r="D3366" i="9"/>
  <c r="D3365" i="9"/>
  <c r="D3364" i="9"/>
  <c r="D3363" i="9"/>
  <c r="D3362" i="9"/>
  <c r="D3361" i="9"/>
  <c r="D3360" i="9"/>
  <c r="D3359" i="9"/>
  <c r="D3358" i="9"/>
  <c r="D3357" i="9"/>
  <c r="D3356" i="9"/>
  <c r="D3355" i="9"/>
  <c r="D3354" i="9"/>
  <c r="D3353" i="9"/>
  <c r="D3352" i="9"/>
  <c r="D3351" i="9"/>
  <c r="D3350" i="9"/>
  <c r="D3349" i="9"/>
  <c r="D3348" i="9"/>
  <c r="D3347" i="9"/>
  <c r="D3346" i="9"/>
  <c r="D3345" i="9"/>
  <c r="D3344" i="9"/>
  <c r="D3343" i="9"/>
  <c r="D3342" i="9"/>
  <c r="D3341" i="9"/>
  <c r="D3340" i="9"/>
  <c r="D3339" i="9"/>
  <c r="D3338" i="9"/>
  <c r="D3337" i="9"/>
  <c r="D3336" i="9"/>
  <c r="D3335" i="9"/>
  <c r="D3334" i="9"/>
  <c r="D3333" i="9"/>
  <c r="D3332" i="9"/>
  <c r="D3331" i="9"/>
  <c r="D3330" i="9"/>
  <c r="D3329" i="9"/>
  <c r="D3328" i="9"/>
  <c r="D3327" i="9"/>
  <c r="D3326" i="9"/>
  <c r="D3325" i="9"/>
  <c r="D3324" i="9"/>
  <c r="D3323" i="9"/>
  <c r="D3322" i="9"/>
  <c r="D3321" i="9"/>
  <c r="D3320" i="9"/>
  <c r="D3319" i="9"/>
  <c r="D3318" i="9"/>
  <c r="D3317" i="9"/>
  <c r="D3316" i="9"/>
  <c r="D3315" i="9"/>
  <c r="D3314" i="9"/>
  <c r="D3313" i="9"/>
  <c r="D3312" i="9"/>
  <c r="D3311" i="9"/>
  <c r="D3310" i="9"/>
  <c r="D3309" i="9"/>
  <c r="D3308" i="9"/>
  <c r="D3307" i="9"/>
  <c r="D3306" i="9"/>
  <c r="D3305" i="9"/>
  <c r="D3304" i="9"/>
  <c r="D3303" i="9"/>
  <c r="D3302" i="9"/>
  <c r="D3301" i="9"/>
  <c r="D3300" i="9"/>
  <c r="D3299" i="9"/>
  <c r="D3298" i="9"/>
  <c r="D3297" i="9"/>
  <c r="D3296" i="9"/>
  <c r="D3295" i="9"/>
  <c r="D3294" i="9"/>
  <c r="D3293" i="9"/>
  <c r="D3292" i="9"/>
  <c r="D3291" i="9"/>
  <c r="D3290" i="9"/>
  <c r="D3289" i="9"/>
  <c r="D3288" i="9"/>
  <c r="D3287" i="9"/>
  <c r="D3286" i="9"/>
  <c r="D3285" i="9"/>
  <c r="D3284" i="9"/>
  <c r="D3283" i="9"/>
  <c r="D3282" i="9"/>
  <c r="D3281" i="9"/>
  <c r="D3280" i="9"/>
  <c r="D3279" i="9"/>
  <c r="D3278" i="9"/>
  <c r="D3277" i="9"/>
  <c r="D3276" i="9"/>
  <c r="D3275" i="9"/>
  <c r="D3274" i="9"/>
  <c r="D3273" i="9"/>
  <c r="D3272" i="9"/>
  <c r="D3271" i="9"/>
  <c r="D3270" i="9"/>
  <c r="D3269" i="9"/>
  <c r="D3268" i="9"/>
  <c r="D3267" i="9"/>
  <c r="D3266" i="9"/>
  <c r="D3265" i="9"/>
  <c r="D3264" i="9"/>
  <c r="D3263" i="9"/>
  <c r="D3262" i="9"/>
  <c r="D3261" i="9"/>
  <c r="D3260" i="9"/>
  <c r="D3259" i="9"/>
  <c r="D3258" i="9"/>
  <c r="D3257" i="9"/>
  <c r="D3256" i="9"/>
  <c r="D3255" i="9"/>
  <c r="D3254" i="9"/>
  <c r="D3253" i="9"/>
  <c r="D3252" i="9"/>
  <c r="D3251" i="9"/>
  <c r="D3250" i="9"/>
  <c r="D3249" i="9"/>
  <c r="D3248" i="9"/>
  <c r="D3247" i="9"/>
  <c r="D3246" i="9"/>
  <c r="D3245" i="9"/>
  <c r="D3244" i="9"/>
  <c r="D3243" i="9"/>
  <c r="D3242" i="9"/>
  <c r="D3241" i="9"/>
  <c r="D3240" i="9"/>
  <c r="D3239" i="9"/>
  <c r="D3238" i="9"/>
  <c r="D3237" i="9"/>
  <c r="D3236" i="9"/>
  <c r="D3235" i="9"/>
  <c r="D3234" i="9"/>
  <c r="D3233" i="9"/>
  <c r="D3232" i="9"/>
  <c r="D3231" i="9"/>
  <c r="D3230" i="9"/>
  <c r="D3229" i="9"/>
  <c r="D3228" i="9"/>
  <c r="D3227" i="9"/>
  <c r="D3226" i="9"/>
  <c r="D3225" i="9"/>
  <c r="D3224" i="9"/>
  <c r="D3223" i="9"/>
  <c r="D3222" i="9"/>
  <c r="D3221" i="9"/>
  <c r="D3220" i="9"/>
  <c r="D3219" i="9"/>
  <c r="D3218" i="9"/>
  <c r="D3217" i="9"/>
  <c r="D3216" i="9"/>
  <c r="D3215" i="9"/>
  <c r="D3214" i="9"/>
  <c r="D3213" i="9"/>
  <c r="D3212" i="9"/>
  <c r="D3211" i="9"/>
  <c r="D3210" i="9"/>
  <c r="D3209" i="9"/>
  <c r="D3208" i="9"/>
  <c r="D3207" i="9"/>
  <c r="D3206" i="9"/>
  <c r="D3205" i="9"/>
  <c r="D3204" i="9"/>
  <c r="D3203" i="9"/>
  <c r="D3202" i="9"/>
  <c r="D3201" i="9"/>
  <c r="D3200" i="9"/>
  <c r="D3199" i="9"/>
  <c r="D3198" i="9"/>
  <c r="D3197" i="9"/>
  <c r="D3196" i="9"/>
  <c r="D3195" i="9"/>
  <c r="D3194" i="9"/>
  <c r="D3193" i="9"/>
  <c r="D3192" i="9"/>
  <c r="D3191" i="9"/>
  <c r="D3190" i="9"/>
  <c r="D3189" i="9"/>
  <c r="D3188" i="9"/>
  <c r="D3187" i="9"/>
  <c r="D3186" i="9"/>
  <c r="D3185" i="9"/>
  <c r="D3184" i="9"/>
  <c r="D3183" i="9"/>
  <c r="D3182" i="9"/>
  <c r="D3181" i="9"/>
  <c r="D3180" i="9"/>
  <c r="D3179" i="9"/>
  <c r="D3178" i="9"/>
  <c r="D3177" i="9"/>
  <c r="D3176" i="9"/>
  <c r="D3175" i="9"/>
  <c r="D3174" i="9"/>
  <c r="D3173" i="9"/>
  <c r="D3172" i="9"/>
  <c r="D3171" i="9"/>
  <c r="D3170" i="9"/>
  <c r="D3169" i="9"/>
  <c r="D3168" i="9"/>
  <c r="D3167" i="9"/>
  <c r="D3166" i="9"/>
  <c r="D3165" i="9"/>
  <c r="D3164" i="9"/>
  <c r="D3163" i="9"/>
  <c r="D3162" i="9"/>
  <c r="D3161" i="9"/>
  <c r="D3160" i="9"/>
  <c r="D3159" i="9"/>
  <c r="D3158" i="9"/>
  <c r="D3157" i="9"/>
  <c r="D3156" i="9"/>
  <c r="D3155" i="9"/>
  <c r="D3154" i="9"/>
  <c r="D3153" i="9"/>
  <c r="D3152" i="9"/>
  <c r="D3151" i="9"/>
  <c r="D3150" i="9"/>
  <c r="D3149" i="9"/>
  <c r="D3148" i="9"/>
  <c r="D3147" i="9"/>
  <c r="D3146" i="9"/>
  <c r="D3145" i="9"/>
  <c r="D3144" i="9"/>
  <c r="D3143" i="9"/>
  <c r="D3142" i="9"/>
  <c r="D3141" i="9"/>
  <c r="D3140" i="9"/>
  <c r="D3139" i="9"/>
  <c r="D3138" i="9"/>
  <c r="D3137" i="9"/>
  <c r="D3136" i="9"/>
  <c r="D3135" i="9"/>
  <c r="D3134" i="9"/>
  <c r="D3133" i="9"/>
  <c r="D3132" i="9"/>
  <c r="D3131" i="9"/>
  <c r="D3130" i="9"/>
  <c r="D3129" i="9"/>
  <c r="D3128" i="9"/>
  <c r="D3127" i="9"/>
  <c r="D3126" i="9"/>
  <c r="D3125" i="9"/>
  <c r="D3124" i="9"/>
  <c r="D3123" i="9"/>
  <c r="D3122" i="9"/>
  <c r="D3121" i="9"/>
  <c r="D3120" i="9"/>
  <c r="D3119" i="9"/>
  <c r="D3118" i="9"/>
  <c r="D3117" i="9"/>
  <c r="D3116" i="9"/>
  <c r="D3115" i="9"/>
  <c r="D3114" i="9"/>
  <c r="D3113" i="9"/>
  <c r="D3112" i="9"/>
  <c r="D3111" i="9"/>
  <c r="D3110" i="9"/>
  <c r="D3109" i="9"/>
  <c r="D3108" i="9"/>
  <c r="D3107" i="9"/>
  <c r="D3106" i="9"/>
  <c r="D3105" i="9"/>
  <c r="D3104" i="9"/>
  <c r="D3103" i="9"/>
  <c r="D3102" i="9"/>
  <c r="D3101" i="9"/>
  <c r="D3100" i="9"/>
  <c r="D3099" i="9"/>
  <c r="D3098" i="9"/>
  <c r="D3097" i="9"/>
  <c r="D3096" i="9"/>
  <c r="D3095" i="9"/>
  <c r="D3094" i="9"/>
  <c r="D3093" i="9"/>
  <c r="D3092" i="9"/>
  <c r="D3091" i="9"/>
  <c r="D3090" i="9"/>
  <c r="D3089" i="9"/>
  <c r="D3088" i="9"/>
  <c r="D3087" i="9"/>
  <c r="D3086" i="9"/>
  <c r="D3085" i="9"/>
  <c r="D3084" i="9"/>
  <c r="D3083" i="9"/>
  <c r="D3082" i="9"/>
  <c r="D3081" i="9"/>
  <c r="D3080" i="9"/>
  <c r="D3079" i="9"/>
  <c r="D3078" i="9"/>
  <c r="D3077" i="9"/>
  <c r="D3076" i="9"/>
  <c r="D3075" i="9"/>
  <c r="D3074" i="9"/>
  <c r="D3073" i="9"/>
  <c r="D3072" i="9"/>
  <c r="D3071" i="9"/>
  <c r="D3070" i="9"/>
  <c r="D3069" i="9"/>
  <c r="D3068" i="9"/>
  <c r="D3067" i="9"/>
  <c r="D3066" i="9"/>
  <c r="D3065" i="9"/>
  <c r="D3064" i="9"/>
  <c r="D3063" i="9"/>
  <c r="D3062" i="9"/>
  <c r="D3061" i="9"/>
  <c r="D3060" i="9"/>
  <c r="D3059" i="9"/>
  <c r="D3058" i="9"/>
  <c r="D3057" i="9"/>
  <c r="D3056" i="9"/>
  <c r="D3055" i="9"/>
  <c r="D3054" i="9"/>
  <c r="D3053" i="9"/>
  <c r="D3052" i="9"/>
  <c r="D3051" i="9"/>
  <c r="D3050" i="9"/>
  <c r="D3049" i="9"/>
  <c r="D3048" i="9"/>
  <c r="D3047" i="9"/>
  <c r="D3046" i="9"/>
  <c r="D3045" i="9"/>
  <c r="D3044" i="9"/>
  <c r="D3043" i="9"/>
  <c r="D3042" i="9"/>
  <c r="D3041" i="9"/>
  <c r="D3040" i="9"/>
  <c r="D3039" i="9"/>
  <c r="D3038" i="9"/>
  <c r="D3037" i="9"/>
  <c r="D3036" i="9"/>
  <c r="D3035" i="9"/>
  <c r="D3034" i="9"/>
  <c r="D3033" i="9"/>
  <c r="D3032" i="9"/>
  <c r="D3031" i="9"/>
  <c r="D3030" i="9"/>
  <c r="D3029" i="9"/>
  <c r="D3028" i="9"/>
  <c r="D3027" i="9"/>
  <c r="D3026" i="9"/>
  <c r="D3025" i="9"/>
  <c r="D3024" i="9"/>
  <c r="D3023" i="9"/>
  <c r="D3022" i="9"/>
  <c r="D3021" i="9"/>
  <c r="D3020" i="9"/>
  <c r="D3019" i="9"/>
  <c r="D3018" i="9"/>
  <c r="D3017" i="9"/>
  <c r="D3016" i="9"/>
  <c r="D3015" i="9"/>
  <c r="D3014" i="9"/>
  <c r="D3013" i="9"/>
  <c r="D3012" i="9"/>
  <c r="D3011" i="9"/>
  <c r="D3010" i="9"/>
  <c r="D3009" i="9"/>
  <c r="D3008" i="9"/>
  <c r="D3007" i="9"/>
  <c r="D3006" i="9"/>
  <c r="D3005" i="9"/>
  <c r="D3004" i="9"/>
  <c r="D3003" i="9"/>
  <c r="D3002" i="9"/>
  <c r="D3001" i="9"/>
  <c r="D3000" i="9"/>
  <c r="D2999" i="9"/>
  <c r="D2998" i="9"/>
  <c r="D2997" i="9"/>
  <c r="D2996" i="9"/>
  <c r="D2995" i="9"/>
  <c r="D2994" i="9"/>
  <c r="D2993" i="9"/>
  <c r="D2992" i="9"/>
  <c r="D2991" i="9"/>
  <c r="D2990" i="9"/>
  <c r="D2989" i="9"/>
  <c r="D2988" i="9"/>
  <c r="D2987" i="9"/>
  <c r="D2986" i="9"/>
  <c r="D2985" i="9"/>
  <c r="D2984" i="9"/>
  <c r="D2983" i="9"/>
  <c r="D2982" i="9"/>
  <c r="D2981" i="9"/>
  <c r="D2980" i="9"/>
  <c r="D2979" i="9"/>
  <c r="D2978" i="9"/>
  <c r="D2977" i="9"/>
  <c r="D2976" i="9"/>
  <c r="D2975" i="9"/>
  <c r="D2974" i="9"/>
  <c r="D2973" i="9"/>
  <c r="D2972" i="9"/>
  <c r="D2971" i="9"/>
  <c r="D2970" i="9"/>
  <c r="D2969" i="9"/>
  <c r="D2968" i="9"/>
  <c r="D2967" i="9"/>
  <c r="D2966" i="9"/>
  <c r="D2965" i="9"/>
  <c r="D2964" i="9"/>
  <c r="D2963" i="9"/>
  <c r="D2962" i="9"/>
  <c r="D2961" i="9"/>
  <c r="D2960" i="9"/>
  <c r="D2959" i="9"/>
  <c r="D2958" i="9"/>
  <c r="D2957" i="9"/>
  <c r="D2956" i="9"/>
  <c r="D2955" i="9"/>
  <c r="D2954" i="9"/>
  <c r="D2953" i="9"/>
  <c r="D2952" i="9"/>
  <c r="D2951" i="9"/>
  <c r="D2950" i="9"/>
  <c r="D2949" i="9"/>
  <c r="D2948" i="9"/>
  <c r="D2947" i="9"/>
  <c r="D2946" i="9"/>
  <c r="D2945" i="9"/>
  <c r="D2944" i="9"/>
  <c r="D2943" i="9"/>
  <c r="D2942" i="9"/>
  <c r="D2941" i="9"/>
  <c r="D2940" i="9"/>
  <c r="D2939" i="9"/>
  <c r="D2938" i="9"/>
  <c r="D2937" i="9"/>
  <c r="D2936" i="9"/>
  <c r="D2935" i="9"/>
  <c r="D2934" i="9"/>
  <c r="D2933" i="9"/>
  <c r="D2932" i="9"/>
  <c r="D2931" i="9"/>
  <c r="D2930" i="9"/>
  <c r="D2929" i="9"/>
  <c r="D2928" i="9"/>
  <c r="D2927" i="9"/>
  <c r="D2926" i="9"/>
  <c r="D2925" i="9"/>
  <c r="D2924" i="9"/>
  <c r="D2923" i="9"/>
  <c r="D2922" i="9"/>
  <c r="D2921" i="9"/>
  <c r="D2920" i="9"/>
  <c r="D2919" i="9"/>
  <c r="D2918" i="9"/>
  <c r="D2917" i="9"/>
  <c r="D2916" i="9"/>
  <c r="D2915" i="9"/>
  <c r="D2914" i="9"/>
  <c r="D2913" i="9"/>
  <c r="D2912" i="9"/>
  <c r="D2911" i="9"/>
  <c r="D2910" i="9"/>
  <c r="D2909" i="9"/>
  <c r="D2908" i="9"/>
  <c r="D2907" i="9"/>
  <c r="D2906" i="9"/>
  <c r="D2905" i="9"/>
  <c r="D2904" i="9"/>
  <c r="D2903" i="9"/>
  <c r="D2902" i="9"/>
  <c r="D2901" i="9"/>
  <c r="D2900" i="9"/>
  <c r="D2899" i="9"/>
  <c r="D2898" i="9"/>
  <c r="D2897" i="9"/>
  <c r="D2896" i="9"/>
  <c r="D2895" i="9"/>
  <c r="D2894" i="9"/>
  <c r="D2893" i="9"/>
  <c r="D2892" i="9"/>
  <c r="D2891" i="9"/>
  <c r="D2890" i="9"/>
  <c r="D2889" i="9"/>
  <c r="D2888" i="9"/>
  <c r="D2887" i="9"/>
  <c r="D2886" i="9"/>
  <c r="D2885" i="9"/>
  <c r="D2884" i="9"/>
  <c r="D2883" i="9"/>
  <c r="D2882" i="9"/>
  <c r="D2881" i="9"/>
  <c r="D2880" i="9"/>
  <c r="D2879" i="9"/>
  <c r="D2878" i="9"/>
  <c r="D2877" i="9"/>
  <c r="D2876" i="9"/>
  <c r="D2875" i="9"/>
  <c r="D2874" i="9"/>
  <c r="D2873" i="9"/>
  <c r="D2872" i="9"/>
  <c r="D2871" i="9"/>
  <c r="D2870" i="9"/>
  <c r="D2869" i="9"/>
  <c r="D2868" i="9"/>
  <c r="D2867" i="9"/>
  <c r="D2866" i="9"/>
  <c r="D2865" i="9"/>
  <c r="D2864" i="9"/>
  <c r="D2863" i="9"/>
  <c r="D2862" i="9"/>
  <c r="D2861" i="9"/>
  <c r="D2860" i="9"/>
  <c r="D2859" i="9"/>
  <c r="D2858" i="9"/>
  <c r="D2857" i="9"/>
  <c r="D2856" i="9"/>
  <c r="D2855" i="9"/>
  <c r="D2854" i="9"/>
  <c r="D2853" i="9"/>
  <c r="D2852" i="9"/>
  <c r="D2851" i="9"/>
  <c r="D2850" i="9"/>
  <c r="D2849" i="9"/>
  <c r="D2848" i="9"/>
  <c r="D2847" i="9"/>
  <c r="D2846" i="9"/>
  <c r="D2845" i="9"/>
  <c r="D2844" i="9"/>
  <c r="D2843" i="9"/>
  <c r="D2842" i="9"/>
  <c r="D2841" i="9"/>
  <c r="D2840" i="9"/>
  <c r="D2839" i="9"/>
  <c r="D2838" i="9"/>
  <c r="D2837" i="9"/>
  <c r="D2836" i="9"/>
  <c r="D2835" i="9"/>
  <c r="D2834" i="9"/>
  <c r="D2833" i="9"/>
  <c r="D2832" i="9"/>
  <c r="D2831" i="9"/>
  <c r="D2830" i="9"/>
  <c r="D2829" i="9"/>
  <c r="D2828" i="9"/>
  <c r="D2827" i="9"/>
  <c r="D2826" i="9"/>
  <c r="D2825" i="9"/>
  <c r="D2824" i="9"/>
  <c r="D2823" i="9"/>
  <c r="D2822" i="9"/>
  <c r="D2821" i="9"/>
  <c r="D2820" i="9"/>
  <c r="D2819" i="9"/>
  <c r="D2818" i="9"/>
  <c r="D2817" i="9"/>
  <c r="D2816" i="9"/>
  <c r="D2815" i="9"/>
  <c r="D2814" i="9"/>
  <c r="D2813" i="9"/>
  <c r="D2812" i="9"/>
  <c r="D2811" i="9"/>
  <c r="D2810" i="9"/>
  <c r="D2809" i="9"/>
  <c r="D2808" i="9"/>
  <c r="D2807" i="9"/>
  <c r="D2806" i="9"/>
  <c r="D2805" i="9"/>
  <c r="D2804" i="9"/>
  <c r="D2803" i="9"/>
  <c r="D2802" i="9"/>
  <c r="D2801" i="9"/>
  <c r="D2800" i="9"/>
  <c r="D2799" i="9"/>
  <c r="D2798" i="9"/>
  <c r="D2797" i="9"/>
  <c r="D2796" i="9"/>
  <c r="D2795" i="9"/>
  <c r="D2794" i="9"/>
  <c r="D2793" i="9"/>
  <c r="D2792" i="9"/>
  <c r="D2791" i="9"/>
  <c r="D2790" i="9"/>
  <c r="D2789" i="9"/>
  <c r="D2788" i="9"/>
  <c r="D2787" i="9"/>
  <c r="D2786" i="9"/>
  <c r="D2785" i="9"/>
  <c r="D2784" i="9"/>
  <c r="D2783" i="9"/>
  <c r="D2782" i="9"/>
  <c r="D2781" i="9"/>
  <c r="D2780" i="9"/>
  <c r="D2779" i="9"/>
  <c r="D2778" i="9"/>
  <c r="D2777" i="9"/>
  <c r="D2776" i="9"/>
  <c r="D2775" i="9"/>
  <c r="D2774" i="9"/>
  <c r="D2773" i="9"/>
  <c r="D2772" i="9"/>
  <c r="D2771" i="9"/>
  <c r="D2770" i="9"/>
  <c r="D2769" i="9"/>
  <c r="D2768" i="9"/>
  <c r="D2767" i="9"/>
  <c r="D2766" i="9"/>
  <c r="D2765" i="9"/>
  <c r="D2764" i="9"/>
  <c r="D2763" i="9"/>
  <c r="D2762" i="9"/>
  <c r="D2761" i="9"/>
  <c r="D2760" i="9"/>
  <c r="D2759" i="9"/>
  <c r="D2758" i="9"/>
  <c r="D2757" i="9"/>
  <c r="D2756" i="9"/>
  <c r="D2755" i="9"/>
  <c r="D2754" i="9"/>
  <c r="D2753" i="9"/>
  <c r="D2752" i="9"/>
  <c r="D2751" i="9"/>
  <c r="D2750" i="9"/>
  <c r="D2749" i="9"/>
  <c r="D2748" i="9"/>
  <c r="D2747" i="9"/>
  <c r="D2746" i="9"/>
  <c r="D2745" i="9"/>
  <c r="D2744" i="9"/>
  <c r="D2743" i="9"/>
  <c r="D2742" i="9"/>
  <c r="D2741" i="9"/>
  <c r="D2740" i="9"/>
  <c r="D2739" i="9"/>
  <c r="D2738" i="9"/>
  <c r="D2737" i="9"/>
  <c r="D2736" i="9"/>
  <c r="D2735" i="9"/>
  <c r="D2734" i="9"/>
  <c r="D2733" i="9"/>
  <c r="D2732" i="9"/>
  <c r="D2731" i="9"/>
  <c r="D2730" i="9"/>
  <c r="D2729" i="9"/>
  <c r="D2728" i="9"/>
  <c r="D2727" i="9"/>
  <c r="D2726" i="9"/>
  <c r="D2725" i="9"/>
  <c r="D2724" i="9"/>
  <c r="D2723" i="9"/>
  <c r="D2722" i="9"/>
  <c r="D2721" i="9"/>
  <c r="D2720" i="9"/>
  <c r="D2719" i="9"/>
  <c r="D2718" i="9"/>
  <c r="D2717" i="9"/>
  <c r="D2716" i="9"/>
  <c r="D2715" i="9"/>
  <c r="D2714" i="9"/>
  <c r="D2713" i="9"/>
  <c r="D2712" i="9"/>
  <c r="D2711" i="9"/>
  <c r="D2710" i="9"/>
  <c r="D2709" i="9"/>
  <c r="D2708" i="9"/>
  <c r="D2707" i="9"/>
  <c r="D2706" i="9"/>
  <c r="D2705" i="9"/>
  <c r="D2704" i="9"/>
  <c r="D2703" i="9"/>
  <c r="D2702" i="9"/>
  <c r="D2701" i="9"/>
  <c r="D2700" i="9"/>
  <c r="D2699" i="9"/>
  <c r="D2698" i="9"/>
  <c r="D2697" i="9"/>
  <c r="D2696" i="9"/>
  <c r="D2695" i="9"/>
  <c r="D2694" i="9"/>
  <c r="D2693" i="9"/>
  <c r="D2692" i="9"/>
  <c r="D2691" i="9"/>
  <c r="D2690" i="9"/>
  <c r="D2689" i="9"/>
  <c r="D2688" i="9"/>
  <c r="D2687" i="9"/>
  <c r="D2686" i="9"/>
  <c r="D2685" i="9"/>
  <c r="D2684" i="9"/>
  <c r="D2683" i="9"/>
  <c r="D2682" i="9"/>
  <c r="D2681" i="9"/>
  <c r="D2680" i="9"/>
  <c r="D2679" i="9"/>
  <c r="D2678" i="9"/>
  <c r="D2677" i="9"/>
  <c r="D2676" i="9"/>
  <c r="D2675" i="9"/>
  <c r="D2674" i="9"/>
  <c r="D2673" i="9"/>
  <c r="D2672" i="9"/>
  <c r="D2671" i="9"/>
  <c r="D2670" i="9"/>
  <c r="D2669" i="9"/>
  <c r="D2668" i="9"/>
  <c r="D2667" i="9"/>
  <c r="D2666" i="9"/>
  <c r="D2665" i="9"/>
  <c r="D2664" i="9"/>
  <c r="D2663" i="9"/>
  <c r="D2662" i="9"/>
  <c r="D2661" i="9"/>
  <c r="D2660" i="9"/>
  <c r="D2659" i="9"/>
  <c r="D2658" i="9"/>
  <c r="D2657" i="9"/>
  <c r="D2656" i="9"/>
  <c r="D2655" i="9"/>
  <c r="D2654" i="9"/>
  <c r="D2653" i="9"/>
  <c r="D2652" i="9"/>
  <c r="D2651" i="9"/>
  <c r="D2650" i="9"/>
  <c r="D2649" i="9"/>
  <c r="D2648" i="9"/>
  <c r="D2647" i="9"/>
  <c r="D2646" i="9"/>
  <c r="D2645" i="9"/>
  <c r="D2644" i="9"/>
  <c r="D2643" i="9"/>
  <c r="D2642" i="9"/>
  <c r="D2641" i="9"/>
  <c r="D2640" i="9"/>
  <c r="D2639" i="9"/>
  <c r="D2638" i="9"/>
  <c r="D2637" i="9"/>
  <c r="D2636" i="9"/>
  <c r="D2635" i="9"/>
  <c r="D2634" i="9"/>
  <c r="D2633" i="9"/>
  <c r="D2632" i="9"/>
  <c r="D2631" i="9"/>
  <c r="D2630" i="9"/>
  <c r="D2629" i="9"/>
  <c r="D2628" i="9"/>
  <c r="D2627" i="9"/>
  <c r="D2626" i="9"/>
  <c r="D2625" i="9"/>
  <c r="D2624" i="9"/>
  <c r="D2623" i="9"/>
  <c r="D2622" i="9"/>
  <c r="D2621" i="9"/>
  <c r="D2620" i="9"/>
  <c r="D2619" i="9"/>
  <c r="D2618" i="9"/>
  <c r="D2617" i="9"/>
  <c r="D2616" i="9"/>
  <c r="D2615" i="9"/>
  <c r="D2614" i="9"/>
  <c r="D2613" i="9"/>
  <c r="D2612" i="9"/>
  <c r="D2611" i="9"/>
  <c r="D2610" i="9"/>
  <c r="D2609" i="9"/>
  <c r="D2608" i="9"/>
  <c r="D2607" i="9"/>
  <c r="D2606" i="9"/>
  <c r="D2605" i="9"/>
  <c r="D2604" i="9"/>
  <c r="D2603" i="9"/>
  <c r="D2602" i="9"/>
  <c r="D2601" i="9"/>
  <c r="D2600" i="9"/>
  <c r="D2599" i="9"/>
  <c r="D2598" i="9"/>
  <c r="D2597" i="9"/>
  <c r="D2596" i="9"/>
  <c r="D2595" i="9"/>
  <c r="D2594" i="9"/>
  <c r="D2593" i="9"/>
  <c r="D2592" i="9"/>
  <c r="D2591" i="9"/>
  <c r="D2590" i="9"/>
  <c r="D2589" i="9"/>
  <c r="D2588" i="9"/>
  <c r="D2587" i="9"/>
  <c r="D2586" i="9"/>
  <c r="D2585" i="9"/>
  <c r="D2584" i="9"/>
  <c r="D2583" i="9"/>
  <c r="D2582" i="9"/>
  <c r="D2581" i="9"/>
  <c r="D2580" i="9"/>
  <c r="D2579" i="9"/>
  <c r="D2578" i="9"/>
  <c r="D2577" i="9"/>
  <c r="D2576" i="9"/>
  <c r="D2575" i="9"/>
  <c r="D2574" i="9"/>
  <c r="D2573" i="9"/>
  <c r="D2572" i="9"/>
  <c r="D2571" i="9"/>
  <c r="D2570" i="9"/>
  <c r="D2569" i="9"/>
  <c r="D2568" i="9"/>
  <c r="D2567" i="9"/>
  <c r="D2566" i="9"/>
  <c r="D2565" i="9"/>
  <c r="D2564" i="9"/>
  <c r="D2563" i="9"/>
  <c r="D2562" i="9"/>
  <c r="D2561" i="9"/>
  <c r="D2560" i="9"/>
  <c r="D2559" i="9"/>
  <c r="D2558" i="9"/>
  <c r="D2557" i="9"/>
  <c r="D2556" i="9"/>
  <c r="D2555" i="9"/>
  <c r="D2554" i="9"/>
  <c r="D2553" i="9"/>
  <c r="D2552" i="9"/>
  <c r="D2551" i="9"/>
  <c r="D2550" i="9"/>
  <c r="D2549" i="9"/>
  <c r="D2548" i="9"/>
  <c r="D2547" i="9"/>
  <c r="D2546" i="9"/>
  <c r="D2545" i="9"/>
  <c r="D2544" i="9"/>
  <c r="D2543" i="9"/>
  <c r="D2542" i="9"/>
  <c r="D2541" i="9"/>
  <c r="D2540" i="9"/>
  <c r="D2539" i="9"/>
  <c r="D2538" i="9"/>
  <c r="D2537" i="9"/>
  <c r="D2536" i="9"/>
  <c r="D2535" i="9"/>
  <c r="D2534" i="9"/>
  <c r="D2533" i="9"/>
  <c r="D2532" i="9"/>
  <c r="D2531" i="9"/>
  <c r="D2530" i="9"/>
  <c r="D2529" i="9"/>
  <c r="D2528" i="9"/>
  <c r="D2527" i="9"/>
  <c r="D2526" i="9"/>
  <c r="D2525" i="9"/>
  <c r="D2524" i="9"/>
  <c r="D2523" i="9"/>
  <c r="D2522" i="9"/>
  <c r="D2521" i="9"/>
  <c r="D2520" i="9"/>
  <c r="D2519" i="9"/>
  <c r="D2518" i="9"/>
  <c r="D2517" i="9"/>
  <c r="D2516" i="9"/>
  <c r="D2515" i="9"/>
  <c r="D2514" i="9"/>
  <c r="D2513" i="9"/>
  <c r="D2512" i="9"/>
  <c r="D2511" i="9"/>
  <c r="D2510" i="9"/>
  <c r="D2509" i="9"/>
  <c r="D2508" i="9"/>
  <c r="D2507" i="9"/>
  <c r="D2506" i="9"/>
  <c r="D2505" i="9"/>
  <c r="D2504" i="9"/>
  <c r="D2503" i="9"/>
  <c r="D2502" i="9"/>
  <c r="D2501" i="9"/>
  <c r="D2500" i="9"/>
  <c r="D2499" i="9"/>
  <c r="D2498" i="9"/>
  <c r="D2497" i="9"/>
  <c r="D2496" i="9"/>
  <c r="D2495" i="9"/>
  <c r="D2494" i="9"/>
  <c r="D2493" i="9"/>
  <c r="D2492" i="9"/>
  <c r="D2491" i="9"/>
  <c r="D2490" i="9"/>
  <c r="D2489" i="9"/>
  <c r="D2488" i="9"/>
  <c r="D2487" i="9"/>
  <c r="D2486" i="9"/>
  <c r="D2485" i="9"/>
  <c r="D2484" i="9"/>
  <c r="D2483" i="9"/>
  <c r="D2482" i="9"/>
  <c r="D2481" i="9"/>
  <c r="D2480" i="9"/>
  <c r="D2479" i="9"/>
  <c r="D2478" i="9"/>
  <c r="D2477" i="9"/>
  <c r="D2476" i="9"/>
  <c r="D2475" i="9"/>
  <c r="D2474" i="9"/>
  <c r="D2473" i="9"/>
  <c r="D2472" i="9"/>
  <c r="D2471" i="9"/>
  <c r="D2470" i="9"/>
  <c r="D2469" i="9"/>
  <c r="D2468" i="9"/>
  <c r="D2467" i="9"/>
  <c r="D2466" i="9"/>
  <c r="D2465" i="9"/>
  <c r="D2464" i="9"/>
  <c r="D2463" i="9"/>
  <c r="D2462" i="9"/>
  <c r="D2461" i="9"/>
  <c r="D2460" i="9"/>
  <c r="D2459" i="9"/>
  <c r="D2458" i="9"/>
  <c r="D2457" i="9"/>
  <c r="D2456" i="9"/>
  <c r="D2455" i="9"/>
  <c r="D2454" i="9"/>
  <c r="D2453" i="9"/>
  <c r="D2452" i="9"/>
  <c r="D2451" i="9"/>
  <c r="D2450" i="9"/>
  <c r="D2449" i="9"/>
  <c r="D2448" i="9"/>
  <c r="D2447" i="9"/>
  <c r="D2446" i="9"/>
  <c r="D2445" i="9"/>
  <c r="D2444" i="9"/>
  <c r="D2443" i="9"/>
  <c r="D2442" i="9"/>
  <c r="D2441" i="9"/>
  <c r="D2440" i="9"/>
  <c r="D2439" i="9"/>
  <c r="D2438" i="9"/>
  <c r="D2437" i="9"/>
  <c r="D2436" i="9"/>
  <c r="D2435" i="9"/>
  <c r="D2434" i="9"/>
  <c r="D2433" i="9"/>
  <c r="D2432" i="9"/>
  <c r="D2431" i="9"/>
  <c r="D2430" i="9"/>
  <c r="D2429" i="9"/>
  <c r="D2428" i="9"/>
  <c r="D2427" i="9"/>
  <c r="D2426" i="9"/>
  <c r="D2425" i="9"/>
  <c r="D2424" i="9"/>
  <c r="D2423" i="9"/>
  <c r="D2422" i="9"/>
  <c r="D2421" i="9"/>
  <c r="D2420" i="9"/>
  <c r="D2419" i="9"/>
  <c r="D2418" i="9"/>
  <c r="D2417" i="9"/>
  <c r="D2416" i="9"/>
  <c r="D2415" i="9"/>
  <c r="D2414" i="9"/>
  <c r="D2413" i="9"/>
  <c r="D2412" i="9"/>
  <c r="D2411" i="9"/>
  <c r="D2410" i="9"/>
  <c r="D2409" i="9"/>
  <c r="D2408" i="9"/>
  <c r="D2407" i="9"/>
  <c r="D2406" i="9"/>
  <c r="D2405" i="9"/>
  <c r="D2404" i="9"/>
  <c r="D2403" i="9"/>
  <c r="D2402" i="9"/>
  <c r="D2401" i="9"/>
  <c r="D2400" i="9"/>
  <c r="D2399" i="9"/>
  <c r="D2398" i="9"/>
  <c r="D2397" i="9"/>
  <c r="D2396" i="9"/>
  <c r="D2395" i="9"/>
  <c r="D2394" i="9"/>
  <c r="D2393" i="9"/>
  <c r="D2392" i="9"/>
  <c r="D2391" i="9"/>
  <c r="D2390" i="9"/>
  <c r="D2389" i="9"/>
  <c r="D2388" i="9"/>
  <c r="D2387" i="9"/>
  <c r="D2386" i="9"/>
  <c r="D2385" i="9"/>
  <c r="D2384" i="9"/>
  <c r="D2383" i="9"/>
  <c r="D2382" i="9"/>
  <c r="D2381" i="9"/>
  <c r="D2380" i="9"/>
  <c r="D2379" i="9"/>
  <c r="D2378" i="9"/>
  <c r="D2377" i="9"/>
  <c r="D2376" i="9"/>
  <c r="D2375" i="9"/>
  <c r="D2374" i="9"/>
  <c r="D2373" i="9"/>
  <c r="D2372" i="9"/>
  <c r="D2371" i="9"/>
  <c r="D2370" i="9"/>
  <c r="D2369" i="9"/>
  <c r="D2368" i="9"/>
  <c r="D2367" i="9"/>
  <c r="D2366" i="9"/>
  <c r="D2365" i="9"/>
  <c r="D2364" i="9"/>
  <c r="D2363" i="9"/>
  <c r="D2362" i="9"/>
  <c r="D2361" i="9"/>
  <c r="D2360" i="9"/>
  <c r="D2359" i="9"/>
  <c r="D2358" i="9"/>
  <c r="D2357" i="9"/>
  <c r="D2356" i="9"/>
  <c r="D2355" i="9"/>
  <c r="D2354" i="9"/>
  <c r="D2353" i="9"/>
  <c r="D2352" i="9"/>
  <c r="D2351" i="9"/>
  <c r="D2350" i="9"/>
  <c r="D2349" i="9"/>
  <c r="D2348" i="9"/>
  <c r="D2347" i="9"/>
  <c r="D2346" i="9"/>
  <c r="D2345" i="9"/>
  <c r="D2344" i="9"/>
  <c r="D2343" i="9"/>
  <c r="D2342" i="9"/>
  <c r="D2341" i="9"/>
  <c r="D2340" i="9"/>
  <c r="D2339" i="9"/>
  <c r="D2338" i="9"/>
  <c r="D2337" i="9"/>
  <c r="D2336" i="9"/>
  <c r="D2335" i="9"/>
  <c r="D2334" i="9"/>
  <c r="D2333" i="9"/>
  <c r="D2332" i="9"/>
  <c r="D2331" i="9"/>
  <c r="D2330" i="9"/>
  <c r="D2329" i="9"/>
  <c r="D2328" i="9"/>
  <c r="D2327" i="9"/>
  <c r="D2326" i="9"/>
  <c r="D2325" i="9"/>
  <c r="D2324" i="9"/>
  <c r="D2323" i="9"/>
  <c r="D2322" i="9"/>
  <c r="D2321" i="9"/>
  <c r="D2320" i="9"/>
  <c r="D2319" i="9"/>
  <c r="D2318" i="9"/>
  <c r="D2317" i="9"/>
  <c r="D2316" i="9"/>
  <c r="D2315" i="9"/>
  <c r="D2314" i="9"/>
  <c r="D2313" i="9"/>
  <c r="D2312" i="9"/>
  <c r="D2311" i="9"/>
  <c r="D2310" i="9"/>
  <c r="D2309" i="9"/>
  <c r="D2308" i="9"/>
  <c r="D2307" i="9"/>
  <c r="D2306" i="9"/>
  <c r="D2305" i="9"/>
  <c r="D2304" i="9"/>
  <c r="D2303" i="9"/>
  <c r="D2302" i="9"/>
  <c r="D2301" i="9"/>
  <c r="D2300" i="9"/>
  <c r="D2299" i="9"/>
  <c r="D2298" i="9"/>
  <c r="D2297" i="9"/>
  <c r="D2296" i="9"/>
  <c r="D2295" i="9"/>
  <c r="D2294" i="9"/>
  <c r="D2293" i="9"/>
  <c r="D2292" i="9"/>
  <c r="D2291" i="9"/>
  <c r="D2290" i="9"/>
  <c r="D2289" i="9"/>
  <c r="D2288" i="9"/>
  <c r="D2287" i="9"/>
  <c r="D2286" i="9"/>
  <c r="D2285" i="9"/>
  <c r="D2284" i="9"/>
  <c r="D2283" i="9"/>
  <c r="D2282" i="9"/>
  <c r="D2281" i="9"/>
  <c r="D2280" i="9"/>
  <c r="D2279" i="9"/>
  <c r="D2278" i="9"/>
  <c r="D2277" i="9"/>
  <c r="D2276" i="9"/>
  <c r="D2275" i="9"/>
  <c r="D2274" i="9"/>
  <c r="D2273" i="9"/>
  <c r="D2272" i="9"/>
  <c r="D2271" i="9"/>
  <c r="D2270" i="9"/>
  <c r="D2269" i="9"/>
  <c r="D2268" i="9"/>
  <c r="D2267" i="9"/>
  <c r="D2266" i="9"/>
  <c r="D2265" i="9"/>
  <c r="D2264" i="9"/>
  <c r="D2263" i="9"/>
  <c r="D2262" i="9"/>
  <c r="D2261" i="9"/>
  <c r="D2260" i="9"/>
  <c r="D2259" i="9"/>
  <c r="D2258" i="9"/>
  <c r="D2257" i="9"/>
  <c r="D2256" i="9"/>
  <c r="D2255" i="9"/>
  <c r="D2254" i="9"/>
  <c r="D2253" i="9"/>
  <c r="D2252" i="9"/>
  <c r="D2251" i="9"/>
  <c r="D2250" i="9"/>
  <c r="D2249" i="9"/>
  <c r="D2248" i="9"/>
  <c r="D2247" i="9"/>
  <c r="D2246" i="9"/>
  <c r="D2245" i="9"/>
  <c r="D2244" i="9"/>
  <c r="D2243" i="9"/>
  <c r="D2242" i="9"/>
  <c r="D2241" i="9"/>
  <c r="D2240" i="9"/>
  <c r="D2239" i="9"/>
  <c r="D2238" i="9"/>
  <c r="D2237" i="9"/>
  <c r="D2236" i="9"/>
  <c r="D2235" i="9"/>
  <c r="D2234" i="9"/>
  <c r="D2233" i="9"/>
  <c r="D2232" i="9"/>
  <c r="D2231" i="9"/>
  <c r="D2230" i="9"/>
  <c r="D2229" i="9"/>
  <c r="D2228" i="9"/>
  <c r="D2227" i="9"/>
  <c r="D2226" i="9"/>
  <c r="D2225" i="9"/>
  <c r="D2224" i="9"/>
  <c r="D2223" i="9"/>
  <c r="D2222" i="9"/>
  <c r="D2221" i="9"/>
  <c r="D2220" i="9"/>
  <c r="D2219" i="9"/>
  <c r="D2218" i="9"/>
  <c r="D2217" i="9"/>
  <c r="D2216" i="9"/>
  <c r="D2215" i="9"/>
  <c r="D2214" i="9"/>
  <c r="D2213" i="9"/>
  <c r="D2212" i="9"/>
  <c r="D2211" i="9"/>
  <c r="D2210" i="9"/>
  <c r="D2209" i="9"/>
  <c r="D2208" i="9"/>
  <c r="D2207" i="9"/>
  <c r="D2206" i="9"/>
  <c r="D2205" i="9"/>
  <c r="D2204" i="9"/>
  <c r="D2203" i="9"/>
  <c r="D2202" i="9"/>
  <c r="D2201" i="9"/>
  <c r="D2200" i="9"/>
  <c r="D2199" i="9"/>
  <c r="D2198" i="9"/>
  <c r="D2197" i="9"/>
  <c r="D2196" i="9"/>
  <c r="D2195" i="9"/>
  <c r="D2194" i="9"/>
  <c r="D2193" i="9"/>
  <c r="D2192" i="9"/>
  <c r="D2191" i="9"/>
  <c r="D2190" i="9"/>
  <c r="D2189" i="9"/>
  <c r="D2188" i="9"/>
  <c r="D2187" i="9"/>
  <c r="D2186" i="9"/>
  <c r="D2185" i="9"/>
  <c r="D2184" i="9"/>
  <c r="D2183" i="9"/>
  <c r="D2182" i="9"/>
  <c r="D2181" i="9"/>
  <c r="D2180" i="9"/>
  <c r="D2179" i="9"/>
  <c r="D2178" i="9"/>
  <c r="D2177" i="9"/>
  <c r="D2176" i="9"/>
  <c r="D2175" i="9"/>
  <c r="D2174" i="9"/>
  <c r="D2173" i="9"/>
  <c r="D2172" i="9"/>
  <c r="D2171" i="9"/>
  <c r="D2170" i="9"/>
  <c r="D2169" i="9"/>
  <c r="D2168" i="9"/>
  <c r="D2167" i="9"/>
  <c r="D2166" i="9"/>
  <c r="D2165" i="9"/>
  <c r="D2164" i="9"/>
  <c r="D2163" i="9"/>
  <c r="D2162" i="9"/>
  <c r="D2161" i="9"/>
  <c r="D2160" i="9"/>
  <c r="D2159" i="9"/>
  <c r="D2158" i="9"/>
  <c r="D2157" i="9"/>
  <c r="D2156" i="9"/>
  <c r="D2155" i="9"/>
  <c r="D2154" i="9"/>
  <c r="D2153" i="9"/>
  <c r="D2152" i="9"/>
  <c r="D2151" i="9"/>
  <c r="D2150" i="9"/>
  <c r="D2149" i="9"/>
  <c r="D2148" i="9"/>
  <c r="D2147" i="9"/>
  <c r="D2146" i="9"/>
  <c r="D2145" i="9"/>
  <c r="D2144" i="9"/>
  <c r="D2143" i="9"/>
  <c r="D2142" i="9"/>
  <c r="D2141" i="9"/>
  <c r="D2140" i="9"/>
  <c r="D2139" i="9"/>
  <c r="D2138" i="9"/>
  <c r="D2137" i="9"/>
  <c r="D2136" i="9"/>
  <c r="D2135" i="9"/>
  <c r="D2134" i="9"/>
  <c r="D2133" i="9"/>
  <c r="D2132" i="9"/>
  <c r="D2131" i="9"/>
  <c r="D2130" i="9"/>
  <c r="D2129" i="9"/>
  <c r="D2128" i="9"/>
  <c r="D2127" i="9"/>
  <c r="D2126" i="9"/>
  <c r="D2125" i="9"/>
  <c r="D2124" i="9"/>
  <c r="D2123" i="9"/>
  <c r="D2122" i="9"/>
  <c r="D2121" i="9"/>
  <c r="D2120" i="9"/>
  <c r="D2119" i="9"/>
  <c r="D2118" i="9"/>
  <c r="D2117" i="9"/>
  <c r="D2116" i="9"/>
  <c r="D2115" i="9"/>
  <c r="D2114" i="9"/>
  <c r="D2113" i="9"/>
  <c r="D2112" i="9"/>
  <c r="D2111" i="9"/>
  <c r="D2110" i="9"/>
  <c r="D2109" i="9"/>
  <c r="D2108" i="9"/>
  <c r="D2107" i="9"/>
  <c r="D2106" i="9"/>
  <c r="D2105" i="9"/>
  <c r="D2104" i="9"/>
  <c r="D2103" i="9"/>
  <c r="D2102" i="9"/>
  <c r="D2101" i="9"/>
  <c r="D2100" i="9"/>
  <c r="D2099" i="9"/>
  <c r="D2098" i="9"/>
  <c r="D2097" i="9"/>
  <c r="D2096" i="9"/>
  <c r="D2095" i="9"/>
  <c r="D2094" i="9"/>
  <c r="D2093" i="9"/>
  <c r="D2092" i="9"/>
  <c r="D2091" i="9"/>
  <c r="D2090" i="9"/>
  <c r="D2089" i="9"/>
  <c r="D2088" i="9"/>
  <c r="D2087" i="9"/>
  <c r="D2086" i="9"/>
  <c r="D2085" i="9"/>
  <c r="D2084" i="9"/>
  <c r="D2083" i="9"/>
  <c r="D2082" i="9"/>
  <c r="D2081" i="9"/>
  <c r="D2080" i="9"/>
  <c r="D2079" i="9"/>
  <c r="D2078" i="9"/>
  <c r="D2077" i="9"/>
  <c r="D2076" i="9"/>
  <c r="D2075" i="9"/>
  <c r="D2074" i="9"/>
  <c r="D2073" i="9"/>
  <c r="D2072" i="9"/>
  <c r="D2071" i="9"/>
  <c r="D2070" i="9"/>
  <c r="D2069" i="9"/>
  <c r="D2068" i="9"/>
  <c r="D2067" i="9"/>
  <c r="D2066" i="9"/>
  <c r="D2065" i="9"/>
  <c r="D2064" i="9"/>
  <c r="D2063" i="9"/>
  <c r="D2062" i="9"/>
  <c r="D2061" i="9"/>
  <c r="D2060" i="9"/>
  <c r="D2059" i="9"/>
  <c r="D2058" i="9"/>
  <c r="D2057" i="9"/>
  <c r="D2056" i="9"/>
  <c r="D2055" i="9"/>
  <c r="D2054" i="9"/>
  <c r="D2053" i="9"/>
  <c r="D2052" i="9"/>
  <c r="D2051" i="9"/>
  <c r="D2050" i="9"/>
  <c r="D2049" i="9"/>
  <c r="D2048" i="9"/>
  <c r="D2047" i="9"/>
  <c r="D2046" i="9"/>
  <c r="D2045" i="9"/>
  <c r="D2044" i="9"/>
  <c r="D2043" i="9"/>
  <c r="D2042" i="9"/>
  <c r="D2041" i="9"/>
  <c r="D2040" i="9"/>
  <c r="D2039" i="9"/>
  <c r="D2038" i="9"/>
  <c r="D2037" i="9"/>
  <c r="D2036" i="9"/>
  <c r="D2035" i="9"/>
  <c r="D2034" i="9"/>
  <c r="D2033" i="9"/>
  <c r="D2032" i="9"/>
  <c r="D2031" i="9"/>
  <c r="D2030" i="9"/>
  <c r="D2029" i="9"/>
  <c r="D2028" i="9"/>
  <c r="D2027" i="9"/>
  <c r="D2026" i="9"/>
  <c r="D2025" i="9"/>
  <c r="D2024" i="9"/>
  <c r="D2023" i="9"/>
  <c r="D2022" i="9"/>
  <c r="D2021" i="9"/>
  <c r="D2020" i="9"/>
  <c r="D2019" i="9"/>
  <c r="D2018" i="9"/>
  <c r="D2017" i="9"/>
  <c r="D2016" i="9"/>
  <c r="D2015" i="9"/>
  <c r="D2014" i="9"/>
  <c r="D2013" i="9"/>
  <c r="D2012" i="9"/>
  <c r="D2011" i="9"/>
  <c r="D2010" i="9"/>
  <c r="D2009" i="9"/>
  <c r="D2008" i="9"/>
  <c r="D2007" i="9"/>
  <c r="D2006" i="9"/>
  <c r="D2005" i="9"/>
  <c r="D2004" i="9"/>
  <c r="D2003" i="9"/>
  <c r="D2002" i="9"/>
  <c r="D2001" i="9"/>
  <c r="D2000" i="9"/>
  <c r="D1999" i="9"/>
  <c r="D1998" i="9"/>
  <c r="D1997" i="9"/>
  <c r="D1996" i="9"/>
  <c r="D1995" i="9"/>
  <c r="D1994" i="9"/>
  <c r="D1993" i="9"/>
  <c r="D1992" i="9"/>
  <c r="D1991" i="9"/>
  <c r="D1990" i="9"/>
  <c r="D1989" i="9"/>
  <c r="D1988" i="9"/>
  <c r="D1987" i="9"/>
  <c r="D1986" i="9"/>
  <c r="D1985" i="9"/>
  <c r="D1984" i="9"/>
  <c r="D1983" i="9"/>
  <c r="D1982" i="9"/>
  <c r="D1981" i="9"/>
  <c r="D1980" i="9"/>
  <c r="D1979" i="9"/>
  <c r="D1978" i="9"/>
  <c r="D1977" i="9"/>
  <c r="D1976" i="9"/>
  <c r="D1975" i="9"/>
  <c r="D1974" i="9"/>
  <c r="D1973" i="9"/>
  <c r="D1972" i="9"/>
  <c r="D1971" i="9"/>
  <c r="D1970" i="9"/>
  <c r="D1969" i="9"/>
  <c r="D1968" i="9"/>
  <c r="D1967" i="9"/>
  <c r="D1966" i="9"/>
  <c r="D1965" i="9"/>
  <c r="D1964" i="9"/>
  <c r="D1963" i="9"/>
  <c r="D1962" i="9"/>
  <c r="D1961" i="9"/>
  <c r="D1960" i="9"/>
  <c r="D1959" i="9"/>
  <c r="D1958" i="9"/>
  <c r="D1957" i="9"/>
  <c r="D1956" i="9"/>
  <c r="D1955" i="9"/>
  <c r="D1954" i="9"/>
  <c r="D1953" i="9"/>
  <c r="D1952" i="9"/>
  <c r="D1951" i="9"/>
  <c r="D1950" i="9"/>
  <c r="D1949" i="9"/>
  <c r="D1948" i="9"/>
  <c r="D1947" i="9"/>
  <c r="D1946" i="9"/>
  <c r="D1945" i="9"/>
  <c r="D1944" i="9"/>
  <c r="D1943" i="9"/>
  <c r="D1942" i="9"/>
  <c r="D1941" i="9"/>
  <c r="D1940" i="9"/>
  <c r="D1939" i="9"/>
  <c r="D1938" i="9"/>
  <c r="D1937" i="9"/>
  <c r="D1936" i="9"/>
  <c r="D1935" i="9"/>
  <c r="D1934" i="9"/>
  <c r="D1933" i="9"/>
  <c r="D1932" i="9"/>
  <c r="D1931" i="9"/>
  <c r="D1930" i="9"/>
  <c r="D1929" i="9"/>
  <c r="D1928" i="9"/>
  <c r="D1927" i="9"/>
  <c r="D1926" i="9"/>
  <c r="D1925" i="9"/>
  <c r="D1924" i="9"/>
  <c r="D1923" i="9"/>
  <c r="D1922" i="9"/>
  <c r="D1921" i="9"/>
  <c r="D1920" i="9"/>
  <c r="D1919" i="9"/>
  <c r="D1918" i="9"/>
  <c r="D1917" i="9"/>
  <c r="D1916" i="9"/>
  <c r="D1915" i="9"/>
  <c r="D1914" i="9"/>
  <c r="D1913" i="9"/>
  <c r="D1912" i="9"/>
  <c r="D1911" i="9"/>
  <c r="D1910" i="9"/>
  <c r="D1909" i="9"/>
  <c r="D1908" i="9"/>
  <c r="D1907" i="9"/>
  <c r="D1906" i="9"/>
  <c r="D1905" i="9"/>
  <c r="D1904" i="9"/>
  <c r="D1903" i="9"/>
  <c r="D1902" i="9"/>
  <c r="D1901" i="9"/>
  <c r="D1900" i="9"/>
  <c r="D1899" i="9"/>
  <c r="D1898" i="9"/>
  <c r="D1897" i="9"/>
  <c r="D1896" i="9"/>
  <c r="D1895" i="9"/>
  <c r="D1894" i="9"/>
  <c r="D1893" i="9"/>
  <c r="D1892" i="9"/>
  <c r="D1891" i="9"/>
  <c r="D1890" i="9"/>
  <c r="D1889" i="9"/>
  <c r="D1888" i="9"/>
  <c r="D1887" i="9"/>
  <c r="D1886" i="9"/>
  <c r="D1885" i="9"/>
  <c r="D1884" i="9"/>
  <c r="D1883" i="9"/>
  <c r="D1882" i="9"/>
  <c r="D1881" i="9"/>
  <c r="D1880" i="9"/>
  <c r="D1879" i="9"/>
  <c r="D1878" i="9"/>
  <c r="D1877" i="9"/>
  <c r="D1876" i="9"/>
  <c r="D1875" i="9"/>
  <c r="D1874" i="9"/>
  <c r="D1873" i="9"/>
  <c r="D1872" i="9"/>
  <c r="D1871" i="9"/>
  <c r="D1870" i="9"/>
  <c r="D1869" i="9"/>
  <c r="D1868" i="9"/>
  <c r="D1867" i="9"/>
  <c r="D1866" i="9"/>
  <c r="D1865" i="9"/>
  <c r="D1864" i="9"/>
  <c r="D1863" i="9"/>
  <c r="D1862" i="9"/>
  <c r="D1861" i="9"/>
  <c r="D1860" i="9"/>
  <c r="D1859" i="9"/>
  <c r="D1858" i="9"/>
  <c r="D1857" i="9"/>
  <c r="D1856" i="9"/>
  <c r="D1855" i="9"/>
  <c r="D1854" i="9"/>
  <c r="D1853" i="9"/>
  <c r="D1852" i="9"/>
  <c r="D1851" i="9"/>
  <c r="D1850" i="9"/>
  <c r="D1849" i="9"/>
  <c r="D1848" i="9"/>
  <c r="D1847" i="9"/>
  <c r="D1846" i="9"/>
  <c r="D1845" i="9"/>
  <c r="D1844" i="9"/>
  <c r="D1843" i="9"/>
  <c r="D1842" i="9"/>
  <c r="D1841" i="9"/>
  <c r="D1840" i="9"/>
  <c r="D1839" i="9"/>
  <c r="D1838" i="9"/>
  <c r="D1837" i="9"/>
  <c r="D1836" i="9"/>
  <c r="D1835" i="9"/>
  <c r="D1834" i="9"/>
  <c r="D1833" i="9"/>
  <c r="D1832" i="9"/>
  <c r="D1831" i="9"/>
  <c r="D1830" i="9"/>
  <c r="D1829" i="9"/>
  <c r="D1828" i="9"/>
  <c r="D1827" i="9"/>
  <c r="D1826" i="9"/>
  <c r="D1825" i="9"/>
  <c r="D1824" i="9"/>
  <c r="D1823" i="9"/>
  <c r="D1822" i="9"/>
  <c r="D1821" i="9"/>
  <c r="D1820" i="9"/>
  <c r="D1819" i="9"/>
  <c r="D1818" i="9"/>
  <c r="D1817" i="9"/>
  <c r="D1816" i="9"/>
  <c r="D1815" i="9"/>
  <c r="D1814" i="9"/>
  <c r="D1813" i="9"/>
  <c r="D1812" i="9"/>
  <c r="D1811" i="9"/>
  <c r="D1810" i="9"/>
  <c r="D1809" i="9"/>
  <c r="D1808" i="9"/>
  <c r="D1807" i="9"/>
  <c r="D1806" i="9"/>
  <c r="D1805" i="9"/>
  <c r="D1804" i="9"/>
  <c r="D1803" i="9"/>
  <c r="D1802" i="9"/>
  <c r="D1801" i="9"/>
  <c r="D1800" i="9"/>
  <c r="D1799" i="9"/>
  <c r="D1798" i="9"/>
  <c r="D1797" i="9"/>
  <c r="D1796" i="9"/>
  <c r="D1795" i="9"/>
  <c r="D1794" i="9"/>
  <c r="D1793" i="9"/>
  <c r="D1792" i="9"/>
  <c r="D1791" i="9"/>
  <c r="D1790" i="9"/>
  <c r="D1789" i="9"/>
  <c r="D1788" i="9"/>
  <c r="D1787" i="9"/>
  <c r="D1786" i="9"/>
  <c r="D1785" i="9"/>
  <c r="D1784" i="9"/>
  <c r="D1783" i="9"/>
  <c r="D1782" i="9"/>
  <c r="D1781" i="9"/>
  <c r="D1780" i="9"/>
  <c r="D1779" i="9"/>
  <c r="D1778" i="9"/>
  <c r="D1777" i="9"/>
  <c r="D1776" i="9"/>
  <c r="D1775" i="9"/>
  <c r="D1774" i="9"/>
  <c r="D1773" i="9"/>
  <c r="D1772" i="9"/>
  <c r="D1771" i="9"/>
  <c r="D1770" i="9"/>
  <c r="D1769" i="9"/>
  <c r="D1768" i="9"/>
  <c r="D1767" i="9"/>
  <c r="D1766" i="9"/>
  <c r="D1765" i="9"/>
  <c r="D1764" i="9"/>
  <c r="D1763" i="9"/>
  <c r="D1762" i="9"/>
  <c r="D1761" i="9"/>
  <c r="D1760" i="9"/>
  <c r="D1759" i="9"/>
  <c r="D1758" i="9"/>
  <c r="D1757" i="9"/>
  <c r="D1756" i="9"/>
  <c r="D1755" i="9"/>
  <c r="D1754" i="9"/>
  <c r="D1753" i="9"/>
  <c r="D1752" i="9"/>
  <c r="D1751" i="9"/>
  <c r="D1750" i="9"/>
  <c r="D1749" i="9"/>
  <c r="D1748" i="9"/>
  <c r="D1747" i="9"/>
  <c r="D1746" i="9"/>
  <c r="D1745" i="9"/>
  <c r="D1744" i="9"/>
  <c r="D1743" i="9"/>
  <c r="D1742" i="9"/>
  <c r="D1741" i="9"/>
  <c r="D1740" i="9"/>
  <c r="D1739" i="9"/>
  <c r="D1738" i="9"/>
  <c r="D1737" i="9"/>
  <c r="D1736" i="9"/>
  <c r="D1735" i="9"/>
  <c r="D1734" i="9"/>
  <c r="D1733" i="9"/>
  <c r="D1732" i="9"/>
  <c r="D1731" i="9"/>
  <c r="D1730" i="9"/>
  <c r="D1729" i="9"/>
  <c r="D1728" i="9"/>
  <c r="D1727" i="9"/>
  <c r="D1726" i="9"/>
  <c r="D1725" i="9"/>
  <c r="D1724" i="9"/>
  <c r="D1723" i="9"/>
  <c r="D1722" i="9"/>
  <c r="D1721" i="9"/>
  <c r="D1720" i="9"/>
  <c r="D1719" i="9"/>
  <c r="D1718" i="9"/>
  <c r="D1717" i="9"/>
  <c r="D1716" i="9"/>
  <c r="D1715" i="9"/>
  <c r="D1714" i="9"/>
  <c r="D1713" i="9"/>
  <c r="D1712" i="9"/>
  <c r="D1711" i="9"/>
  <c r="D1710" i="9"/>
  <c r="D1709" i="9"/>
  <c r="D1708" i="9"/>
  <c r="D1707" i="9"/>
  <c r="D1706" i="9"/>
  <c r="D1705" i="9"/>
  <c r="D1704" i="9"/>
  <c r="D1703" i="9"/>
  <c r="D1702" i="9"/>
  <c r="D1701" i="9"/>
  <c r="D1700" i="9"/>
  <c r="D1699" i="9"/>
  <c r="D1698" i="9"/>
  <c r="D1697" i="9"/>
  <c r="D1696" i="9"/>
  <c r="D1695" i="9"/>
  <c r="D1694" i="9"/>
  <c r="D1693" i="9"/>
  <c r="D1692" i="9"/>
  <c r="D1691" i="9"/>
  <c r="D1690" i="9"/>
  <c r="D1689" i="9"/>
  <c r="D1688" i="9"/>
  <c r="D1687" i="9"/>
  <c r="D1686" i="9"/>
  <c r="D1685" i="9"/>
  <c r="D1684" i="9"/>
  <c r="D1683" i="9"/>
  <c r="D1682" i="9"/>
  <c r="D1681" i="9"/>
  <c r="D1680" i="9"/>
  <c r="D1679" i="9"/>
  <c r="D1678" i="9"/>
  <c r="D1677" i="9"/>
  <c r="D1676" i="9"/>
  <c r="D1675" i="9"/>
  <c r="D1674" i="9"/>
  <c r="D1673" i="9"/>
  <c r="D1672" i="9"/>
  <c r="D1671" i="9"/>
  <c r="D1670" i="9"/>
  <c r="D1669" i="9"/>
  <c r="D1668" i="9"/>
  <c r="D1667" i="9"/>
  <c r="D1666" i="9"/>
  <c r="D1665" i="9"/>
  <c r="D1664" i="9"/>
  <c r="D1663" i="9"/>
  <c r="D1662" i="9"/>
  <c r="D1661" i="9"/>
  <c r="D1660" i="9"/>
  <c r="D1659" i="9"/>
  <c r="D1658" i="9"/>
  <c r="D1657" i="9"/>
  <c r="D1656" i="9"/>
  <c r="D1655" i="9"/>
  <c r="D1654" i="9"/>
  <c r="D1653" i="9"/>
  <c r="D1652" i="9"/>
  <c r="D1651" i="9"/>
  <c r="D1650" i="9"/>
  <c r="D1649" i="9"/>
  <c r="D1648" i="9"/>
  <c r="D1647" i="9"/>
  <c r="D1646" i="9"/>
  <c r="D1645" i="9"/>
  <c r="D1644" i="9"/>
  <c r="D1643" i="9"/>
  <c r="D1642" i="9"/>
  <c r="D1641" i="9"/>
  <c r="D1640" i="9"/>
  <c r="D1639" i="9"/>
  <c r="D1638" i="9"/>
  <c r="D1637" i="9"/>
  <c r="D1636" i="9"/>
  <c r="D1635" i="9"/>
  <c r="D1634" i="9"/>
  <c r="D1633" i="9"/>
  <c r="D1632" i="9"/>
  <c r="D1631" i="9"/>
  <c r="D1630" i="9"/>
  <c r="D1629" i="9"/>
  <c r="D1628" i="9"/>
  <c r="D1627" i="9"/>
  <c r="D1626" i="9"/>
  <c r="D1625" i="9"/>
  <c r="D1624" i="9"/>
  <c r="D1623" i="9"/>
  <c r="D1622" i="9"/>
  <c r="D1621" i="9"/>
  <c r="D1620" i="9"/>
  <c r="D1619" i="9"/>
  <c r="D1618" i="9"/>
  <c r="D1617" i="9"/>
  <c r="D1616" i="9"/>
  <c r="D1615" i="9"/>
  <c r="D1614" i="9"/>
  <c r="D1613" i="9"/>
  <c r="D1612" i="9"/>
  <c r="D1611" i="9"/>
  <c r="D1610" i="9"/>
  <c r="D1609" i="9"/>
  <c r="D1608" i="9"/>
  <c r="D1607" i="9"/>
  <c r="D1606" i="9"/>
  <c r="D1605" i="9"/>
  <c r="D1604" i="9"/>
  <c r="D1603" i="9"/>
  <c r="D1602" i="9"/>
  <c r="D1601" i="9"/>
  <c r="D1600" i="9"/>
  <c r="D1599" i="9"/>
  <c r="D1598" i="9"/>
  <c r="D1597" i="9"/>
  <c r="D1596" i="9"/>
  <c r="D1595" i="9"/>
  <c r="D1594" i="9"/>
  <c r="D1593" i="9"/>
  <c r="D1592" i="9"/>
  <c r="D1591" i="9"/>
  <c r="D1590" i="9"/>
  <c r="D1589" i="9"/>
  <c r="D1588" i="9"/>
  <c r="D1587" i="9"/>
  <c r="D1586" i="9"/>
  <c r="D1585" i="9"/>
  <c r="D1584" i="9"/>
  <c r="D1583" i="9"/>
  <c r="D1582" i="9"/>
  <c r="D1581" i="9"/>
  <c r="D1580" i="9"/>
  <c r="D1579" i="9"/>
  <c r="D1578" i="9"/>
  <c r="D1577" i="9"/>
  <c r="D1576" i="9"/>
  <c r="D1575" i="9"/>
  <c r="D1574" i="9"/>
  <c r="D1573" i="9"/>
  <c r="D1572" i="9"/>
  <c r="D1571" i="9"/>
  <c r="D1570" i="9"/>
  <c r="D1569" i="9"/>
  <c r="D1568" i="9"/>
  <c r="D1567" i="9"/>
  <c r="D1566" i="9"/>
  <c r="D1565" i="9"/>
  <c r="D1564" i="9"/>
  <c r="D1563" i="9"/>
  <c r="D1562" i="9"/>
  <c r="D1561" i="9"/>
  <c r="D1560" i="9"/>
  <c r="D1559" i="9"/>
  <c r="D1558" i="9"/>
  <c r="D1557" i="9"/>
  <c r="D1556" i="9"/>
  <c r="D1555" i="9"/>
  <c r="D1554" i="9"/>
  <c r="D1553" i="9"/>
  <c r="D1552" i="9"/>
  <c r="D1551" i="9"/>
  <c r="D1550" i="9"/>
  <c r="D1549" i="9"/>
  <c r="D1548" i="9"/>
  <c r="D1547" i="9"/>
  <c r="D1546" i="9"/>
  <c r="D1545" i="9"/>
  <c r="D1544" i="9"/>
  <c r="D1543" i="9"/>
  <c r="D1542" i="9"/>
  <c r="D1541" i="9"/>
  <c r="D1540" i="9"/>
  <c r="D1539" i="9"/>
  <c r="D1538" i="9"/>
  <c r="D1537" i="9"/>
  <c r="D1536" i="9"/>
  <c r="D1535" i="9"/>
  <c r="D1534" i="9"/>
  <c r="D1533" i="9"/>
  <c r="D1532" i="9"/>
  <c r="D1531" i="9"/>
  <c r="D1530" i="9"/>
  <c r="D1529" i="9"/>
  <c r="D1528" i="9"/>
  <c r="D1527" i="9"/>
  <c r="D1526" i="9"/>
  <c r="D1525" i="9"/>
  <c r="D1524" i="9"/>
  <c r="D1523" i="9"/>
  <c r="D1522" i="9"/>
  <c r="D1521" i="9"/>
  <c r="D1520" i="9"/>
  <c r="D1519" i="9"/>
  <c r="D1518" i="9"/>
  <c r="D1517" i="9"/>
  <c r="D1516" i="9"/>
  <c r="D1515" i="9"/>
  <c r="D1514" i="9"/>
  <c r="D1513" i="9"/>
  <c r="D1512" i="9"/>
  <c r="D1511" i="9"/>
  <c r="D1510" i="9"/>
  <c r="D1509" i="9"/>
  <c r="D1508" i="9"/>
  <c r="D1507" i="9"/>
  <c r="D1506" i="9"/>
  <c r="D1505" i="9"/>
  <c r="D1504" i="9"/>
  <c r="D1503" i="9"/>
  <c r="D1502" i="9"/>
  <c r="D1501" i="9"/>
  <c r="D1500" i="9"/>
  <c r="D1499" i="9"/>
  <c r="D1498" i="9"/>
  <c r="D1497" i="9"/>
  <c r="D1496" i="9"/>
  <c r="D1495" i="9"/>
  <c r="D1494" i="9"/>
  <c r="D1493" i="9"/>
  <c r="D1492" i="9"/>
  <c r="D1491" i="9"/>
  <c r="D1490" i="9"/>
  <c r="D1489" i="9"/>
  <c r="D1488" i="9"/>
  <c r="D1487" i="9"/>
  <c r="D1486" i="9"/>
  <c r="D1485" i="9"/>
  <c r="D1484" i="9"/>
  <c r="D1483" i="9"/>
  <c r="D1482" i="9"/>
  <c r="D1481" i="9"/>
  <c r="D1480" i="9"/>
  <c r="D1479" i="9"/>
  <c r="D1478" i="9"/>
  <c r="D1477" i="9"/>
  <c r="D1476" i="9"/>
  <c r="D1475" i="9"/>
  <c r="D1474" i="9"/>
  <c r="D1473" i="9"/>
  <c r="D1472" i="9"/>
  <c r="D1471" i="9"/>
  <c r="D1470" i="9"/>
  <c r="D1469" i="9"/>
  <c r="D1468" i="9"/>
  <c r="D1467" i="9"/>
  <c r="D1466" i="9"/>
  <c r="D1465" i="9"/>
  <c r="D1464" i="9"/>
  <c r="D1463" i="9"/>
  <c r="D1462" i="9"/>
  <c r="D1461" i="9"/>
  <c r="D1460" i="9"/>
  <c r="D1459" i="9"/>
  <c r="D1458" i="9"/>
  <c r="D1457" i="9"/>
  <c r="D1456" i="9"/>
  <c r="D1455" i="9"/>
  <c r="D1454" i="9"/>
  <c r="D1453" i="9"/>
  <c r="D1452" i="9"/>
  <c r="D1451" i="9"/>
  <c r="D1450" i="9"/>
  <c r="D1449" i="9"/>
  <c r="D1448" i="9"/>
  <c r="D1447" i="9"/>
  <c r="D1446" i="9"/>
  <c r="D1445" i="9"/>
  <c r="D1444" i="9"/>
  <c r="D1443" i="9"/>
  <c r="D1442" i="9"/>
  <c r="D1441" i="9"/>
  <c r="D1440" i="9"/>
  <c r="D1439" i="9"/>
  <c r="D1438" i="9"/>
  <c r="D1437" i="9"/>
  <c r="D1436" i="9"/>
  <c r="D1435" i="9"/>
  <c r="D1434" i="9"/>
  <c r="D1433" i="9"/>
  <c r="D1432" i="9"/>
  <c r="D1431" i="9"/>
  <c r="D1430" i="9"/>
  <c r="D1429" i="9"/>
  <c r="D1428" i="9"/>
  <c r="D1427" i="9"/>
  <c r="D1426" i="9"/>
  <c r="D1425" i="9"/>
  <c r="D1424" i="9"/>
  <c r="D1423" i="9"/>
  <c r="D1422" i="9"/>
  <c r="D1421" i="9"/>
  <c r="D1420" i="9"/>
  <c r="D1419" i="9"/>
  <c r="D1418" i="9"/>
  <c r="D1417" i="9"/>
  <c r="D1416" i="9"/>
  <c r="D1415" i="9"/>
  <c r="D1414" i="9"/>
  <c r="D1413" i="9"/>
  <c r="D1412" i="9"/>
  <c r="D1411" i="9"/>
  <c r="D1410" i="9"/>
  <c r="D1409" i="9"/>
  <c r="D1408" i="9"/>
  <c r="D1407" i="9"/>
  <c r="D1406" i="9"/>
  <c r="D1405" i="9"/>
  <c r="D1404" i="9"/>
  <c r="D1403" i="9"/>
  <c r="D1402" i="9"/>
  <c r="D1401" i="9"/>
  <c r="D1400" i="9"/>
  <c r="D1399" i="9"/>
  <c r="D1398" i="9"/>
  <c r="D1397" i="9"/>
  <c r="D1396" i="9"/>
  <c r="D1395" i="9"/>
  <c r="D1394" i="9"/>
  <c r="D1393" i="9"/>
  <c r="D1392" i="9"/>
  <c r="D1391" i="9"/>
  <c r="D1390" i="9"/>
  <c r="D1389" i="9"/>
  <c r="D1388" i="9"/>
  <c r="D1387" i="9"/>
  <c r="D1386" i="9"/>
  <c r="D1385" i="9"/>
  <c r="D1384" i="9"/>
  <c r="D1383" i="9"/>
  <c r="D1382" i="9"/>
  <c r="D1381" i="9"/>
  <c r="D1380" i="9"/>
  <c r="D1379" i="9"/>
  <c r="D1378" i="9"/>
  <c r="D1377" i="9"/>
  <c r="D1376" i="9"/>
  <c r="D1375" i="9"/>
  <c r="D1374" i="9"/>
  <c r="D1373" i="9"/>
  <c r="D1372" i="9"/>
  <c r="D1371" i="9"/>
  <c r="D1370" i="9"/>
  <c r="D1369" i="9"/>
  <c r="D1368" i="9"/>
  <c r="D1367" i="9"/>
  <c r="D1366" i="9"/>
  <c r="D1365" i="9"/>
  <c r="D1364" i="9"/>
  <c r="D1363" i="9"/>
  <c r="D1362" i="9"/>
  <c r="D1361" i="9"/>
  <c r="D1360" i="9"/>
  <c r="D1359" i="9"/>
  <c r="D1358" i="9"/>
  <c r="D1357" i="9"/>
  <c r="D1356" i="9"/>
  <c r="D1355" i="9"/>
  <c r="D1354" i="9"/>
  <c r="D1353" i="9"/>
  <c r="D1352" i="9"/>
  <c r="D1351" i="9"/>
  <c r="D1350" i="9"/>
  <c r="D1349" i="9"/>
  <c r="D1348" i="9"/>
  <c r="D1347" i="9"/>
  <c r="D1346" i="9"/>
  <c r="D1345" i="9"/>
  <c r="D1344" i="9"/>
  <c r="D1343" i="9"/>
  <c r="D1342" i="9"/>
  <c r="D1341" i="9"/>
  <c r="D1340" i="9"/>
  <c r="D1339" i="9"/>
  <c r="D1338" i="9"/>
  <c r="D1337" i="9"/>
  <c r="D1336" i="9"/>
  <c r="D1335" i="9"/>
  <c r="D1334" i="9"/>
  <c r="D1333" i="9"/>
  <c r="D1332" i="9"/>
  <c r="D1331" i="9"/>
  <c r="D1330" i="9"/>
  <c r="D1329" i="9"/>
  <c r="D1328" i="9"/>
  <c r="D1327" i="9"/>
  <c r="D1326" i="9"/>
  <c r="D1325" i="9"/>
  <c r="D1324" i="9"/>
  <c r="D1323" i="9"/>
  <c r="D1322" i="9"/>
  <c r="D1321" i="9"/>
  <c r="D1320" i="9"/>
  <c r="D1319" i="9"/>
  <c r="D1318" i="9"/>
  <c r="D1317" i="9"/>
  <c r="D1316" i="9"/>
  <c r="D1315" i="9"/>
  <c r="D1314" i="9"/>
  <c r="D1313" i="9"/>
  <c r="D1312" i="9"/>
  <c r="D1311" i="9"/>
  <c r="D1310" i="9"/>
  <c r="D1309" i="9"/>
  <c r="D1308" i="9"/>
  <c r="D1307" i="9"/>
  <c r="D1306" i="9"/>
  <c r="D1305" i="9"/>
  <c r="D1304" i="9"/>
  <c r="D1303" i="9"/>
  <c r="D1302" i="9"/>
  <c r="D1301" i="9"/>
  <c r="D1300" i="9"/>
  <c r="D1299" i="9"/>
  <c r="D1298" i="9"/>
  <c r="D1297" i="9"/>
  <c r="D1296" i="9"/>
  <c r="D1295" i="9"/>
  <c r="D1294" i="9"/>
  <c r="D1293" i="9"/>
  <c r="D1292" i="9"/>
  <c r="D1291" i="9"/>
  <c r="D1290" i="9"/>
  <c r="D1289" i="9"/>
  <c r="D1288" i="9"/>
  <c r="D1287" i="9"/>
  <c r="D1286" i="9"/>
  <c r="D1285" i="9"/>
  <c r="D1284" i="9"/>
  <c r="D1283" i="9"/>
  <c r="D1282" i="9"/>
  <c r="D1281" i="9"/>
  <c r="D1280" i="9"/>
  <c r="D1279" i="9"/>
  <c r="D1278" i="9"/>
  <c r="D1277" i="9"/>
  <c r="D1276" i="9"/>
  <c r="D1275" i="9"/>
  <c r="D1274" i="9"/>
  <c r="D1273" i="9"/>
  <c r="D1272" i="9"/>
  <c r="D1271" i="9"/>
  <c r="D1270" i="9"/>
  <c r="D1269" i="9"/>
  <c r="D1268" i="9"/>
  <c r="D1267" i="9"/>
  <c r="D1266" i="9"/>
  <c r="D1265" i="9"/>
  <c r="D1264" i="9"/>
  <c r="D1263" i="9"/>
  <c r="D1262" i="9"/>
  <c r="D1261" i="9"/>
  <c r="D1260" i="9"/>
  <c r="D1259" i="9"/>
  <c r="D1258" i="9"/>
  <c r="D1257" i="9"/>
  <c r="D1256" i="9"/>
  <c r="D1255" i="9"/>
  <c r="D1254" i="9"/>
  <c r="D1253" i="9"/>
  <c r="D1252" i="9"/>
  <c r="D1251" i="9"/>
  <c r="D1250" i="9"/>
  <c r="D1249" i="9"/>
  <c r="D1248" i="9"/>
  <c r="D1247" i="9"/>
  <c r="D1246" i="9"/>
  <c r="D1245" i="9"/>
  <c r="D1244" i="9"/>
  <c r="D1243" i="9"/>
  <c r="D1242" i="9"/>
  <c r="D1241" i="9"/>
  <c r="D1240" i="9"/>
  <c r="D1239" i="9"/>
  <c r="D1238" i="9"/>
  <c r="D1237" i="9"/>
  <c r="D1236" i="9"/>
  <c r="D1235" i="9"/>
  <c r="D1234" i="9"/>
  <c r="D1233" i="9"/>
  <c r="D1232" i="9"/>
  <c r="D1231" i="9"/>
  <c r="D1230" i="9"/>
  <c r="D1229" i="9"/>
  <c r="D1228" i="9"/>
  <c r="D1227" i="9"/>
  <c r="D1226" i="9"/>
  <c r="D1225" i="9"/>
  <c r="D1224" i="9"/>
  <c r="D1223" i="9"/>
  <c r="D1222" i="9"/>
  <c r="D1221" i="9"/>
  <c r="D1220" i="9"/>
  <c r="D1219" i="9"/>
  <c r="D1218" i="9"/>
  <c r="D1217" i="9"/>
  <c r="D1216" i="9"/>
  <c r="D1215" i="9"/>
  <c r="D1214" i="9"/>
  <c r="D1213" i="9"/>
  <c r="D1212" i="9"/>
  <c r="D1211" i="9"/>
  <c r="D1210" i="9"/>
  <c r="D1209" i="9"/>
  <c r="D1208" i="9"/>
  <c r="D1207" i="9"/>
  <c r="D1206" i="9"/>
  <c r="D1205" i="9"/>
  <c r="D1204" i="9"/>
  <c r="D1203" i="9"/>
  <c r="D1202" i="9"/>
  <c r="D1201" i="9"/>
  <c r="D1200" i="9"/>
  <c r="D1199" i="9"/>
  <c r="D1198" i="9"/>
  <c r="D1197" i="9"/>
  <c r="D1196" i="9"/>
  <c r="D1195" i="9"/>
  <c r="D1194" i="9"/>
  <c r="D1193" i="9"/>
  <c r="D1192" i="9"/>
  <c r="D1191" i="9"/>
  <c r="D1190" i="9"/>
  <c r="D1189" i="9"/>
  <c r="D1188" i="9"/>
  <c r="D1187" i="9"/>
  <c r="D1186" i="9"/>
  <c r="D1185" i="9"/>
  <c r="D1184" i="9"/>
  <c r="D1183" i="9"/>
  <c r="D1182" i="9"/>
  <c r="D1181" i="9"/>
  <c r="D1180" i="9"/>
  <c r="D1179" i="9"/>
  <c r="D1178" i="9"/>
  <c r="D1177" i="9"/>
  <c r="D1176" i="9"/>
  <c r="D1175" i="9"/>
  <c r="D1174" i="9"/>
  <c r="D1173" i="9"/>
  <c r="D1172" i="9"/>
  <c r="D1171" i="9"/>
  <c r="D1170" i="9"/>
  <c r="D1169" i="9"/>
  <c r="D1168" i="9"/>
  <c r="D1167" i="9"/>
  <c r="D1166" i="9"/>
  <c r="D1165" i="9"/>
  <c r="D1164" i="9"/>
  <c r="D1163" i="9"/>
  <c r="D1162" i="9"/>
  <c r="D1161" i="9"/>
  <c r="D1160" i="9"/>
  <c r="D1159" i="9"/>
  <c r="D1158" i="9"/>
  <c r="D1157" i="9"/>
  <c r="D1156" i="9"/>
  <c r="D1155" i="9"/>
  <c r="D1154" i="9"/>
  <c r="D1153" i="9"/>
  <c r="D1152" i="9"/>
  <c r="D1151" i="9"/>
  <c r="D1150" i="9"/>
  <c r="D1149" i="9"/>
  <c r="D1148" i="9"/>
  <c r="D1147" i="9"/>
  <c r="D1146" i="9"/>
  <c r="D1145" i="9"/>
  <c r="D1144" i="9"/>
  <c r="D1143" i="9"/>
  <c r="D1142" i="9"/>
  <c r="D1141" i="9"/>
  <c r="D1140" i="9"/>
  <c r="D1139" i="9"/>
  <c r="D1138" i="9"/>
  <c r="D1137" i="9"/>
  <c r="D1136" i="9"/>
  <c r="D1135" i="9"/>
  <c r="D1134" i="9"/>
  <c r="D1133" i="9"/>
  <c r="D1132" i="9"/>
  <c r="D1131" i="9"/>
  <c r="D1130" i="9"/>
  <c r="D1129" i="9"/>
  <c r="D1128" i="9"/>
  <c r="D1127" i="9"/>
  <c r="D1126" i="9"/>
  <c r="D1125" i="9"/>
  <c r="D1124" i="9"/>
  <c r="D1123" i="9"/>
  <c r="D1122" i="9"/>
  <c r="D1121" i="9"/>
  <c r="D1120" i="9"/>
  <c r="D1119" i="9"/>
  <c r="D1118" i="9"/>
  <c r="D1117" i="9"/>
  <c r="D1116" i="9"/>
  <c r="D1115" i="9"/>
  <c r="D1114" i="9"/>
  <c r="D1113" i="9"/>
  <c r="D1112" i="9"/>
  <c r="D1111" i="9"/>
  <c r="D1110" i="9"/>
  <c r="D1109" i="9"/>
  <c r="D1108" i="9"/>
  <c r="D1107" i="9"/>
  <c r="D1106" i="9"/>
  <c r="D1105" i="9"/>
  <c r="D1104" i="9"/>
  <c r="D1103" i="9"/>
  <c r="D1102" i="9"/>
  <c r="D1101" i="9"/>
  <c r="D1100" i="9"/>
  <c r="D1099" i="9"/>
  <c r="D1098" i="9"/>
  <c r="D1097" i="9"/>
  <c r="D1096" i="9"/>
  <c r="D1095" i="9"/>
  <c r="D1094" i="9"/>
  <c r="D1093" i="9"/>
  <c r="D1092" i="9"/>
  <c r="D1091" i="9"/>
  <c r="D1090" i="9"/>
  <c r="D1089" i="9"/>
  <c r="D1088" i="9"/>
  <c r="D1087" i="9"/>
  <c r="D1086" i="9"/>
  <c r="D1085" i="9"/>
  <c r="D1084" i="9"/>
  <c r="D1083" i="9"/>
  <c r="D1082" i="9"/>
  <c r="D1081" i="9"/>
  <c r="D1080" i="9"/>
  <c r="D1079" i="9"/>
  <c r="D1078" i="9"/>
  <c r="D1077" i="9"/>
  <c r="D1076" i="9"/>
  <c r="D1075" i="9"/>
  <c r="D1074" i="9"/>
  <c r="D1073" i="9"/>
  <c r="D1072" i="9"/>
  <c r="D1071" i="9"/>
  <c r="D1070" i="9"/>
  <c r="D1069" i="9"/>
  <c r="D1068" i="9"/>
  <c r="D1067" i="9"/>
  <c r="D1066" i="9"/>
  <c r="D1065" i="9"/>
  <c r="D1064" i="9"/>
  <c r="D1063" i="9"/>
  <c r="D1062" i="9"/>
  <c r="D1061" i="9"/>
  <c r="D1060" i="9"/>
  <c r="D1059" i="9"/>
  <c r="D1058" i="9"/>
  <c r="D1057" i="9"/>
  <c r="D1056" i="9"/>
  <c r="D1055" i="9"/>
  <c r="D1054" i="9"/>
  <c r="D1053" i="9"/>
  <c r="D1052" i="9"/>
  <c r="D1051" i="9"/>
  <c r="D1050" i="9"/>
  <c r="D1049" i="9"/>
  <c r="D1048" i="9"/>
  <c r="D1047" i="9"/>
  <c r="D1046" i="9"/>
  <c r="D1045" i="9"/>
  <c r="D1044" i="9"/>
  <c r="D1043" i="9"/>
  <c r="D1042" i="9"/>
  <c r="D1041" i="9"/>
  <c r="D1040" i="9"/>
  <c r="D1039" i="9"/>
  <c r="D1038" i="9"/>
  <c r="D1037" i="9"/>
  <c r="D1036" i="9"/>
  <c r="D1035" i="9"/>
  <c r="D1034" i="9"/>
  <c r="D1033" i="9"/>
  <c r="D1032" i="9"/>
  <c r="D1031" i="9"/>
  <c r="D1030" i="9"/>
  <c r="D1029" i="9"/>
  <c r="D1028" i="9"/>
  <c r="D1027" i="9"/>
  <c r="D1026" i="9"/>
  <c r="D1025" i="9"/>
  <c r="D1024" i="9"/>
  <c r="D1023" i="9"/>
  <c r="D1022" i="9"/>
  <c r="D1021" i="9"/>
  <c r="D1020" i="9"/>
  <c r="D1019" i="9"/>
  <c r="D1018" i="9"/>
  <c r="D1017" i="9"/>
  <c r="D1016" i="9"/>
  <c r="D1015" i="9"/>
  <c r="D1014" i="9"/>
  <c r="D1013" i="9"/>
  <c r="D1012" i="9"/>
  <c r="D1011" i="9"/>
  <c r="D1010" i="9"/>
  <c r="D1009" i="9"/>
  <c r="D1008" i="9"/>
  <c r="D1007" i="9"/>
  <c r="D1006" i="9"/>
  <c r="D1005" i="9"/>
  <c r="D1004" i="9"/>
  <c r="D1003" i="9"/>
  <c r="D1002" i="9"/>
  <c r="D1001" i="9"/>
  <c r="D1000" i="9"/>
  <c r="D999" i="9"/>
  <c r="D998" i="9"/>
  <c r="D997" i="9"/>
  <c r="D996" i="9"/>
  <c r="D995" i="9"/>
  <c r="D994" i="9"/>
  <c r="D993" i="9"/>
  <c r="D992" i="9"/>
  <c r="D991" i="9"/>
  <c r="D990" i="9"/>
  <c r="D989" i="9"/>
  <c r="D988" i="9"/>
  <c r="D987" i="9"/>
  <c r="D986" i="9"/>
  <c r="D985" i="9"/>
  <c r="D984" i="9"/>
  <c r="D983" i="9"/>
  <c r="D982" i="9"/>
  <c r="D981" i="9"/>
  <c r="D980" i="9"/>
  <c r="D979" i="9"/>
  <c r="D978" i="9"/>
  <c r="D977" i="9"/>
  <c r="D976" i="9"/>
  <c r="D975" i="9"/>
  <c r="D974" i="9"/>
  <c r="D973" i="9"/>
  <c r="D972" i="9"/>
  <c r="D971" i="9"/>
  <c r="D970" i="9"/>
  <c r="D969" i="9"/>
  <c r="D968" i="9"/>
  <c r="D967" i="9"/>
  <c r="D966" i="9"/>
  <c r="D965" i="9"/>
  <c r="D964" i="9"/>
  <c r="D963" i="9"/>
  <c r="D962" i="9"/>
  <c r="D961" i="9"/>
  <c r="D960" i="9"/>
  <c r="D959" i="9"/>
  <c r="D958" i="9"/>
  <c r="D957" i="9"/>
  <c r="D956" i="9"/>
  <c r="D955" i="9"/>
  <c r="D954" i="9"/>
  <c r="D953" i="9"/>
  <c r="D952" i="9"/>
  <c r="D951" i="9"/>
  <c r="D950" i="9"/>
  <c r="D949" i="9"/>
  <c r="D948" i="9"/>
  <c r="D947" i="9"/>
  <c r="D946" i="9"/>
  <c r="D945" i="9"/>
  <c r="D944" i="9"/>
  <c r="D943" i="9"/>
  <c r="D942" i="9"/>
  <c r="D941" i="9"/>
  <c r="D940" i="9"/>
  <c r="D939" i="9"/>
  <c r="D938" i="9"/>
  <c r="D937" i="9"/>
  <c r="D936" i="9"/>
  <c r="D935" i="9"/>
  <c r="D934" i="9"/>
  <c r="D933" i="9"/>
  <c r="D932" i="9"/>
  <c r="D931" i="9"/>
  <c r="D930" i="9"/>
  <c r="D929" i="9"/>
  <c r="D928" i="9"/>
  <c r="D927" i="9"/>
  <c r="D926" i="9"/>
  <c r="D925" i="9"/>
  <c r="D924" i="9"/>
  <c r="D923" i="9"/>
  <c r="D922" i="9"/>
  <c r="D921" i="9"/>
  <c r="D920" i="9"/>
  <c r="D919" i="9"/>
  <c r="D918" i="9"/>
  <c r="D917" i="9"/>
  <c r="D916" i="9"/>
  <c r="D915" i="9"/>
  <c r="D914" i="9"/>
  <c r="D913" i="9"/>
  <c r="D912" i="9"/>
  <c r="D911" i="9"/>
  <c r="D910" i="9"/>
  <c r="D909" i="9"/>
  <c r="D908" i="9"/>
  <c r="D907" i="9"/>
  <c r="D906" i="9"/>
  <c r="D905" i="9"/>
  <c r="D904" i="9"/>
  <c r="D903" i="9"/>
  <c r="D902" i="9"/>
  <c r="D901" i="9"/>
  <c r="D900" i="9"/>
  <c r="D899" i="9"/>
  <c r="D898" i="9"/>
  <c r="D897" i="9"/>
  <c r="D896" i="9"/>
  <c r="D895" i="9"/>
  <c r="D894" i="9"/>
  <c r="D893" i="9"/>
  <c r="D892" i="9"/>
  <c r="D891" i="9"/>
  <c r="D890" i="9"/>
  <c r="D889" i="9"/>
  <c r="D888" i="9"/>
  <c r="D887" i="9"/>
  <c r="D886" i="9"/>
  <c r="D885" i="9"/>
  <c r="D884" i="9"/>
  <c r="D883" i="9"/>
  <c r="D882" i="9"/>
  <c r="D881" i="9"/>
  <c r="D880" i="9"/>
  <c r="D879" i="9"/>
  <c r="D878" i="9"/>
  <c r="D877" i="9"/>
  <c r="D876" i="9"/>
  <c r="D875" i="9"/>
  <c r="D874" i="9"/>
  <c r="D873" i="9"/>
  <c r="D872" i="9"/>
  <c r="D871" i="9"/>
  <c r="D870" i="9"/>
  <c r="D869" i="9"/>
  <c r="D868" i="9"/>
  <c r="D867" i="9"/>
  <c r="D866" i="9"/>
  <c r="D865" i="9"/>
  <c r="D864" i="9"/>
  <c r="D863" i="9"/>
  <c r="D862" i="9"/>
  <c r="D861" i="9"/>
  <c r="D860" i="9"/>
  <c r="D859" i="9"/>
  <c r="D858" i="9"/>
  <c r="D857" i="9"/>
  <c r="D856" i="9"/>
  <c r="D855" i="9"/>
  <c r="D854" i="9"/>
  <c r="D853" i="9"/>
  <c r="D852" i="9"/>
  <c r="D851" i="9"/>
  <c r="D850" i="9"/>
  <c r="D849" i="9"/>
  <c r="D848" i="9"/>
  <c r="D847" i="9"/>
  <c r="D846" i="9"/>
  <c r="D845" i="9"/>
  <c r="D844" i="9"/>
  <c r="D843" i="9"/>
  <c r="D842" i="9"/>
  <c r="D841" i="9"/>
  <c r="D840" i="9"/>
  <c r="D839" i="9"/>
  <c r="D838" i="9"/>
  <c r="D837" i="9"/>
  <c r="D836" i="9"/>
  <c r="D835" i="9"/>
  <c r="D834" i="9"/>
  <c r="D833" i="9"/>
  <c r="D832" i="9"/>
  <c r="D831" i="9"/>
  <c r="D830" i="9"/>
  <c r="D829" i="9"/>
  <c r="D828" i="9"/>
  <c r="D827" i="9"/>
  <c r="D826" i="9"/>
  <c r="D825" i="9"/>
  <c r="D824" i="9"/>
  <c r="D823" i="9"/>
  <c r="D822" i="9"/>
  <c r="D821" i="9"/>
  <c r="D820" i="9"/>
  <c r="D819" i="9"/>
  <c r="D818" i="9"/>
  <c r="D817" i="9"/>
  <c r="D816" i="9"/>
  <c r="D815" i="9"/>
  <c r="D814" i="9"/>
  <c r="D813" i="9"/>
  <c r="D812" i="9"/>
  <c r="D811" i="9"/>
  <c r="D810" i="9"/>
  <c r="D809" i="9"/>
  <c r="D808" i="9"/>
  <c r="D807" i="9"/>
  <c r="D806" i="9"/>
  <c r="D805" i="9"/>
  <c r="D804" i="9"/>
  <c r="D803" i="9"/>
  <c r="D802" i="9"/>
  <c r="D801" i="9"/>
  <c r="D800" i="9"/>
  <c r="D799" i="9"/>
  <c r="D798" i="9"/>
  <c r="D797" i="9"/>
  <c r="D796" i="9"/>
  <c r="D795" i="9"/>
  <c r="D794" i="9"/>
  <c r="D793" i="9"/>
  <c r="D792" i="9"/>
  <c r="D791" i="9"/>
  <c r="D790" i="9"/>
  <c r="D789" i="9"/>
  <c r="D788" i="9"/>
  <c r="D787" i="9"/>
  <c r="D786" i="9"/>
  <c r="D785" i="9"/>
  <c r="D784" i="9"/>
  <c r="D783" i="9"/>
  <c r="D782" i="9"/>
  <c r="D781" i="9"/>
  <c r="D780" i="9"/>
  <c r="D779" i="9"/>
  <c r="D778" i="9"/>
  <c r="D777" i="9"/>
  <c r="D776" i="9"/>
  <c r="D775" i="9"/>
  <c r="D774" i="9"/>
  <c r="D773" i="9"/>
  <c r="D772" i="9"/>
  <c r="D771" i="9"/>
  <c r="D770" i="9"/>
  <c r="D769" i="9"/>
  <c r="D768" i="9"/>
  <c r="D767" i="9"/>
  <c r="D766" i="9"/>
  <c r="D765" i="9"/>
  <c r="D764" i="9"/>
  <c r="D763" i="9"/>
  <c r="D762" i="9"/>
  <c r="D761" i="9"/>
  <c r="D760" i="9"/>
  <c r="D759" i="9"/>
  <c r="D758" i="9"/>
  <c r="D757" i="9"/>
  <c r="D756" i="9"/>
  <c r="D755" i="9"/>
  <c r="D754" i="9"/>
  <c r="D753" i="9"/>
  <c r="D752" i="9"/>
  <c r="D751" i="9"/>
  <c r="D750" i="9"/>
  <c r="D749" i="9"/>
  <c r="D748" i="9"/>
  <c r="D747" i="9"/>
  <c r="D746" i="9"/>
  <c r="D745" i="9"/>
  <c r="D744" i="9"/>
  <c r="D743" i="9"/>
  <c r="D742" i="9"/>
  <c r="D741" i="9"/>
  <c r="D740" i="9"/>
  <c r="D739" i="9"/>
  <c r="D738" i="9"/>
  <c r="D737" i="9"/>
  <c r="D736" i="9"/>
  <c r="D735" i="9"/>
  <c r="D734" i="9"/>
  <c r="D733" i="9"/>
  <c r="D732" i="9"/>
  <c r="D731" i="9"/>
  <c r="D730" i="9"/>
  <c r="D729" i="9"/>
  <c r="D728" i="9"/>
  <c r="D727" i="9"/>
  <c r="D726" i="9"/>
  <c r="D725" i="9"/>
  <c r="D724" i="9"/>
  <c r="D723" i="9"/>
  <c r="D722" i="9"/>
  <c r="D721" i="9"/>
  <c r="D720" i="9"/>
  <c r="D719" i="9"/>
  <c r="D718" i="9"/>
  <c r="D717" i="9"/>
  <c r="D716" i="9"/>
  <c r="D715" i="9"/>
  <c r="D714" i="9"/>
  <c r="D713" i="9"/>
  <c r="D712" i="9"/>
  <c r="D711" i="9"/>
  <c r="D710" i="9"/>
  <c r="D709" i="9"/>
  <c r="D708" i="9"/>
  <c r="D707" i="9"/>
  <c r="D706" i="9"/>
  <c r="D705" i="9"/>
  <c r="D704" i="9"/>
  <c r="D703" i="9"/>
  <c r="D702" i="9"/>
  <c r="D701" i="9"/>
  <c r="D700" i="9"/>
  <c r="D699" i="9"/>
  <c r="D698" i="9"/>
  <c r="D697" i="9"/>
  <c r="D696" i="9"/>
  <c r="D695" i="9"/>
  <c r="D694" i="9"/>
  <c r="D693" i="9"/>
  <c r="D692" i="9"/>
  <c r="D691" i="9"/>
  <c r="D690" i="9"/>
  <c r="D689" i="9"/>
  <c r="D688" i="9"/>
  <c r="D687" i="9"/>
  <c r="D686" i="9"/>
  <c r="D685" i="9"/>
  <c r="D684" i="9"/>
  <c r="D683" i="9"/>
  <c r="D682" i="9"/>
  <c r="D681" i="9"/>
  <c r="D680" i="9"/>
  <c r="D679" i="9"/>
  <c r="D678" i="9"/>
  <c r="D677" i="9"/>
  <c r="D676" i="9"/>
  <c r="D675" i="9"/>
  <c r="D674" i="9"/>
  <c r="D673" i="9"/>
  <c r="D672" i="9"/>
  <c r="D671" i="9"/>
  <c r="D670" i="9"/>
  <c r="D669" i="9"/>
  <c r="D668" i="9"/>
  <c r="D667" i="9"/>
  <c r="D666" i="9"/>
  <c r="D665" i="9"/>
  <c r="D664" i="9"/>
  <c r="D663" i="9"/>
  <c r="D662" i="9"/>
  <c r="D661" i="9"/>
  <c r="D660" i="9"/>
  <c r="D659" i="9"/>
  <c r="D658" i="9"/>
  <c r="D657" i="9"/>
  <c r="D656" i="9"/>
  <c r="D655" i="9"/>
  <c r="D654" i="9"/>
  <c r="D653" i="9"/>
  <c r="D652" i="9"/>
  <c r="D651" i="9"/>
  <c r="D650" i="9"/>
  <c r="D649" i="9"/>
  <c r="D648" i="9"/>
  <c r="D647" i="9"/>
  <c r="D646" i="9"/>
  <c r="D645" i="9"/>
  <c r="D644" i="9"/>
  <c r="D643" i="9"/>
  <c r="D642" i="9"/>
  <c r="D641" i="9"/>
  <c r="D640" i="9"/>
  <c r="D639" i="9"/>
  <c r="D638" i="9"/>
  <c r="D637" i="9"/>
  <c r="D636" i="9"/>
  <c r="D635" i="9"/>
  <c r="D634" i="9"/>
  <c r="D633" i="9"/>
  <c r="D632" i="9"/>
  <c r="D631" i="9"/>
  <c r="D630" i="9"/>
  <c r="D629" i="9"/>
  <c r="D628" i="9"/>
  <c r="D627" i="9"/>
  <c r="D626" i="9"/>
  <c r="D625" i="9"/>
  <c r="D624" i="9"/>
  <c r="D623" i="9"/>
  <c r="D622" i="9"/>
  <c r="D621" i="9"/>
  <c r="D620" i="9"/>
  <c r="D619" i="9"/>
  <c r="D618" i="9"/>
  <c r="D617" i="9"/>
  <c r="D616" i="9"/>
  <c r="D615" i="9"/>
  <c r="D614" i="9"/>
  <c r="D613" i="9"/>
  <c r="D612" i="9"/>
  <c r="D611" i="9"/>
  <c r="D610" i="9"/>
  <c r="D609" i="9"/>
  <c r="D608" i="9"/>
  <c r="D607" i="9"/>
  <c r="D606" i="9"/>
  <c r="D605" i="9"/>
  <c r="D604" i="9"/>
  <c r="D603" i="9"/>
  <c r="D602" i="9"/>
  <c r="D601" i="9"/>
  <c r="D600" i="9"/>
  <c r="D599" i="9"/>
  <c r="D598" i="9"/>
  <c r="D597" i="9"/>
  <c r="D596" i="9"/>
  <c r="D595" i="9"/>
  <c r="D594" i="9"/>
  <c r="D593" i="9"/>
  <c r="D592" i="9"/>
  <c r="D591" i="9"/>
  <c r="D590" i="9"/>
  <c r="D589" i="9"/>
  <c r="D588" i="9"/>
  <c r="D587" i="9"/>
  <c r="D586" i="9"/>
  <c r="D585" i="9"/>
  <c r="D584" i="9"/>
  <c r="D583" i="9"/>
  <c r="D582" i="9"/>
  <c r="D581" i="9"/>
  <c r="D580" i="9"/>
  <c r="D579" i="9"/>
  <c r="D578" i="9"/>
  <c r="D577" i="9"/>
  <c r="D576" i="9"/>
  <c r="D575" i="9"/>
  <c r="D574" i="9"/>
  <c r="D573" i="9"/>
  <c r="D572" i="9"/>
  <c r="D571" i="9"/>
  <c r="D570" i="9"/>
  <c r="D569" i="9"/>
  <c r="D568" i="9"/>
  <c r="D567" i="9"/>
  <c r="D566" i="9"/>
  <c r="D565" i="9"/>
  <c r="D564" i="9"/>
  <c r="D563" i="9"/>
  <c r="D562" i="9"/>
  <c r="D561" i="9"/>
  <c r="D560" i="9"/>
  <c r="D559" i="9"/>
  <c r="D558" i="9"/>
  <c r="D557" i="9"/>
  <c r="D556" i="9"/>
  <c r="D555" i="9"/>
  <c r="D554" i="9"/>
  <c r="D553" i="9"/>
  <c r="D552" i="9"/>
  <c r="D551" i="9"/>
  <c r="D550" i="9"/>
  <c r="D549" i="9"/>
  <c r="D548" i="9"/>
  <c r="D547" i="9"/>
  <c r="D546" i="9"/>
  <c r="D545" i="9"/>
  <c r="D544" i="9"/>
  <c r="D543" i="9"/>
  <c r="D542" i="9"/>
  <c r="D541" i="9"/>
  <c r="D540" i="9"/>
  <c r="D539" i="9"/>
  <c r="D538" i="9"/>
  <c r="D537" i="9"/>
  <c r="D536" i="9"/>
  <c r="D535" i="9"/>
  <c r="D534" i="9"/>
  <c r="D533" i="9"/>
  <c r="D532" i="9"/>
  <c r="D531" i="9"/>
  <c r="D530" i="9"/>
  <c r="D529" i="9"/>
  <c r="D528" i="9"/>
  <c r="D527" i="9"/>
  <c r="D526" i="9"/>
  <c r="D525" i="9"/>
  <c r="D524" i="9"/>
  <c r="D523" i="9"/>
  <c r="D522" i="9"/>
  <c r="D521" i="9"/>
  <c r="D520" i="9"/>
  <c r="D519" i="9"/>
  <c r="D518" i="9"/>
  <c r="D517" i="9"/>
  <c r="D516" i="9"/>
  <c r="D515" i="9"/>
  <c r="D514" i="9"/>
  <c r="D513" i="9"/>
  <c r="D512" i="9"/>
  <c r="D511" i="9"/>
  <c r="D510" i="9"/>
  <c r="D509" i="9"/>
  <c r="D508" i="9"/>
  <c r="D507" i="9"/>
  <c r="D506" i="9"/>
  <c r="D505" i="9"/>
  <c r="D504" i="9"/>
  <c r="D503" i="9"/>
  <c r="D502" i="9"/>
  <c r="D501" i="9"/>
  <c r="D500" i="9"/>
  <c r="D499" i="9"/>
  <c r="D498" i="9"/>
  <c r="D497" i="9"/>
  <c r="D496" i="9"/>
  <c r="D495" i="9"/>
  <c r="D494" i="9"/>
  <c r="D493" i="9"/>
  <c r="D492" i="9"/>
  <c r="D491" i="9"/>
  <c r="D490" i="9"/>
  <c r="D489" i="9"/>
  <c r="D488" i="9"/>
  <c r="D487" i="9"/>
  <c r="D486" i="9"/>
  <c r="D485" i="9"/>
  <c r="D484" i="9"/>
  <c r="D483" i="9"/>
  <c r="D482" i="9"/>
  <c r="D481" i="9"/>
  <c r="D480" i="9"/>
  <c r="D479" i="9"/>
  <c r="D478" i="9"/>
  <c r="D477" i="9"/>
  <c r="D476" i="9"/>
  <c r="D475" i="9"/>
  <c r="D474" i="9"/>
  <c r="D473" i="9"/>
  <c r="D472" i="9"/>
  <c r="D471" i="9"/>
  <c r="D470" i="9"/>
  <c r="D469" i="9"/>
  <c r="D468" i="9"/>
  <c r="D467" i="9"/>
  <c r="D466" i="9"/>
  <c r="D465" i="9"/>
  <c r="D464" i="9"/>
  <c r="D463" i="9"/>
  <c r="D462" i="9"/>
  <c r="D461" i="9"/>
  <c r="D460" i="9"/>
  <c r="D459" i="9"/>
  <c r="D458" i="9"/>
  <c r="D457" i="9"/>
  <c r="D456" i="9"/>
  <c r="D455" i="9"/>
  <c r="D454" i="9"/>
  <c r="D453" i="9"/>
  <c r="D452" i="9"/>
  <c r="D451" i="9"/>
  <c r="D450" i="9"/>
  <c r="D449" i="9"/>
  <c r="D448" i="9"/>
  <c r="D447" i="9"/>
  <c r="D446" i="9"/>
  <c r="D445" i="9"/>
  <c r="D444" i="9"/>
  <c r="D443" i="9"/>
  <c r="D442" i="9"/>
  <c r="D441" i="9"/>
  <c r="D440" i="9"/>
  <c r="D439" i="9"/>
  <c r="D438" i="9"/>
  <c r="D437" i="9"/>
  <c r="D436" i="9"/>
  <c r="D435" i="9"/>
  <c r="D434" i="9"/>
  <c r="D433" i="9"/>
  <c r="D432" i="9"/>
  <c r="D431" i="9"/>
  <c r="D430" i="9"/>
  <c r="D429" i="9"/>
  <c r="D428" i="9"/>
  <c r="D427" i="9"/>
  <c r="D426" i="9"/>
  <c r="D425" i="9"/>
  <c r="D424" i="9"/>
  <c r="D423" i="9"/>
  <c r="D422" i="9"/>
  <c r="D421" i="9"/>
  <c r="D420" i="9"/>
  <c r="D419" i="9"/>
  <c r="D418" i="9"/>
  <c r="D417" i="9"/>
  <c r="D416" i="9"/>
  <c r="D415" i="9"/>
  <c r="D414" i="9"/>
  <c r="D413" i="9"/>
  <c r="D412" i="9"/>
  <c r="D411" i="9"/>
  <c r="D410" i="9"/>
  <c r="D409" i="9"/>
  <c r="D408" i="9"/>
  <c r="D407" i="9"/>
  <c r="D406" i="9"/>
  <c r="D405" i="9"/>
  <c r="D404" i="9"/>
  <c r="D403" i="9"/>
  <c r="D402" i="9"/>
  <c r="D401" i="9"/>
  <c r="D400" i="9"/>
  <c r="D399" i="9"/>
  <c r="D398" i="9"/>
  <c r="D397" i="9"/>
  <c r="D396" i="9"/>
  <c r="D395" i="9"/>
  <c r="D394" i="9"/>
  <c r="D393" i="9"/>
  <c r="D392" i="9"/>
  <c r="D391" i="9"/>
  <c r="D390" i="9"/>
  <c r="D389" i="9"/>
  <c r="D388" i="9"/>
  <c r="D387" i="9"/>
  <c r="D386" i="9"/>
  <c r="D385" i="9"/>
  <c r="D384" i="9"/>
  <c r="D383" i="9"/>
  <c r="D382" i="9"/>
  <c r="D381" i="9"/>
  <c r="D380" i="9"/>
  <c r="D379" i="9"/>
  <c r="D378" i="9"/>
  <c r="D377" i="9"/>
  <c r="D376" i="9"/>
  <c r="D375" i="9"/>
  <c r="D374" i="9"/>
  <c r="D373" i="9"/>
  <c r="D372" i="9"/>
  <c r="D371" i="9"/>
  <c r="D370" i="9"/>
  <c r="D369" i="9"/>
  <c r="D368" i="9"/>
  <c r="D367" i="9"/>
  <c r="D366" i="9"/>
  <c r="D365" i="9"/>
  <c r="D364" i="9"/>
  <c r="D363" i="9"/>
  <c r="D362" i="9"/>
  <c r="D361" i="9"/>
  <c r="D360" i="9"/>
  <c r="D359" i="9"/>
  <c r="D358" i="9"/>
  <c r="D357" i="9"/>
  <c r="D356" i="9"/>
  <c r="D355" i="9"/>
  <c r="D354" i="9"/>
  <c r="D353" i="9"/>
  <c r="D352" i="9"/>
  <c r="D351" i="9"/>
  <c r="D350" i="9"/>
  <c r="D349" i="9"/>
  <c r="D348" i="9"/>
  <c r="D347" i="9"/>
  <c r="D346" i="9"/>
  <c r="D345" i="9"/>
  <c r="D344" i="9"/>
  <c r="D343" i="9"/>
  <c r="D342" i="9"/>
  <c r="D341" i="9"/>
  <c r="D340" i="9"/>
  <c r="D339" i="9"/>
  <c r="D338" i="9"/>
  <c r="D337" i="9"/>
  <c r="D336" i="9"/>
  <c r="D335" i="9"/>
  <c r="D334" i="9"/>
  <c r="D333" i="9"/>
  <c r="D332" i="9"/>
  <c r="D331" i="9"/>
  <c r="D330" i="9"/>
  <c r="D329" i="9"/>
  <c r="D328" i="9"/>
  <c r="D327" i="9"/>
  <c r="D326" i="9"/>
  <c r="D325" i="9"/>
  <c r="D324" i="9"/>
  <c r="D323" i="9"/>
  <c r="D322" i="9"/>
  <c r="D321" i="9"/>
  <c r="D320" i="9"/>
  <c r="D319" i="9"/>
  <c r="D318" i="9"/>
  <c r="D317" i="9"/>
  <c r="D316" i="9"/>
  <c r="D315" i="9"/>
  <c r="D314" i="9"/>
  <c r="D313" i="9"/>
  <c r="D312" i="9"/>
  <c r="D311" i="9"/>
  <c r="D310" i="9"/>
  <c r="D309" i="9"/>
  <c r="D308" i="9"/>
  <c r="D307" i="9"/>
  <c r="D306" i="9"/>
  <c r="D305" i="9"/>
  <c r="D304" i="9"/>
  <c r="D303" i="9"/>
  <c r="D302" i="9"/>
  <c r="D301" i="9"/>
  <c r="D300" i="9"/>
  <c r="D299" i="9"/>
  <c r="D298" i="9"/>
  <c r="D297" i="9"/>
  <c r="D296" i="9"/>
  <c r="D295" i="9"/>
  <c r="D294" i="9"/>
  <c r="D293" i="9"/>
  <c r="D292" i="9"/>
  <c r="D291" i="9"/>
  <c r="D290" i="9"/>
  <c r="D289" i="9"/>
  <c r="D288" i="9"/>
  <c r="D287" i="9"/>
  <c r="D286" i="9"/>
  <c r="D285" i="9"/>
  <c r="D284" i="9"/>
  <c r="D283" i="9"/>
  <c r="D282" i="9"/>
  <c r="D281" i="9"/>
  <c r="D280" i="9"/>
  <c r="D279" i="9"/>
  <c r="D278" i="9"/>
  <c r="D277" i="9"/>
  <c r="D276" i="9"/>
  <c r="D275" i="9"/>
  <c r="D274" i="9"/>
  <c r="D273" i="9"/>
  <c r="D272" i="9"/>
  <c r="D271" i="9"/>
  <c r="D270" i="9"/>
  <c r="D269" i="9"/>
  <c r="D268" i="9"/>
  <c r="D267" i="9"/>
  <c r="D266" i="9"/>
  <c r="D265" i="9"/>
  <c r="D264" i="9"/>
  <c r="D263" i="9"/>
  <c r="D262" i="9"/>
  <c r="D261" i="9"/>
  <c r="D260" i="9"/>
  <c r="D259" i="9"/>
  <c r="D258" i="9"/>
  <c r="D257" i="9"/>
  <c r="D256" i="9"/>
  <c r="D255" i="9"/>
  <c r="D254" i="9"/>
  <c r="D253" i="9"/>
  <c r="D252" i="9"/>
  <c r="D251" i="9"/>
  <c r="D250" i="9"/>
  <c r="D249" i="9"/>
  <c r="D248" i="9"/>
  <c r="D247" i="9"/>
  <c r="D246" i="9"/>
  <c r="D245" i="9"/>
  <c r="D244" i="9"/>
  <c r="D243" i="9"/>
  <c r="D242" i="9"/>
  <c r="D241" i="9"/>
  <c r="D240" i="9"/>
  <c r="D239" i="9"/>
  <c r="D238" i="9"/>
  <c r="D237" i="9"/>
  <c r="D236" i="9"/>
  <c r="D235" i="9"/>
  <c r="D234" i="9"/>
  <c r="D233" i="9"/>
  <c r="D232" i="9"/>
  <c r="D231" i="9"/>
  <c r="D230" i="9"/>
  <c r="D229" i="9"/>
  <c r="D228" i="9"/>
  <c r="D227" i="9"/>
  <c r="D226" i="9"/>
  <c r="D225" i="9"/>
  <c r="D224" i="9"/>
  <c r="D223" i="9"/>
  <c r="D222" i="9"/>
  <c r="D221" i="9"/>
  <c r="D220" i="9"/>
  <c r="D219" i="9"/>
  <c r="D218" i="9"/>
  <c r="D217" i="9"/>
  <c r="D216" i="9"/>
  <c r="D215" i="9"/>
  <c r="D214" i="9"/>
  <c r="D213" i="9"/>
  <c r="D212" i="9"/>
  <c r="D211" i="9"/>
  <c r="D210" i="9"/>
  <c r="D209" i="9"/>
  <c r="D208" i="9"/>
  <c r="D207" i="9"/>
  <c r="D206" i="9"/>
  <c r="D205" i="9"/>
  <c r="D204" i="9"/>
  <c r="D203" i="9"/>
  <c r="D202" i="9"/>
  <c r="D201" i="9"/>
  <c r="D200" i="9"/>
  <c r="D199" i="9"/>
  <c r="D198" i="9"/>
  <c r="D197" i="9"/>
  <c r="D196" i="9"/>
  <c r="D195" i="9"/>
  <c r="D194" i="9"/>
  <c r="D193" i="9"/>
  <c r="D192" i="9"/>
  <c r="D191" i="9"/>
  <c r="D190" i="9"/>
  <c r="D189" i="9"/>
  <c r="D188" i="9"/>
  <c r="D187" i="9"/>
  <c r="D186" i="9"/>
  <c r="D185" i="9"/>
  <c r="D184" i="9"/>
  <c r="D183" i="9"/>
  <c r="D182" i="9"/>
  <c r="D181" i="9"/>
  <c r="D180" i="9"/>
  <c r="D179" i="9"/>
  <c r="D178" i="9"/>
  <c r="D177" i="9"/>
  <c r="D176" i="9"/>
  <c r="D175" i="9"/>
  <c r="D174" i="9"/>
  <c r="D173" i="9"/>
  <c r="D172" i="9"/>
  <c r="D171" i="9"/>
  <c r="D170" i="9"/>
  <c r="D169" i="9"/>
  <c r="D168" i="9"/>
  <c r="D167" i="9"/>
  <c r="D166" i="9"/>
  <c r="D165" i="9"/>
  <c r="D164" i="9"/>
  <c r="D163" i="9"/>
  <c r="D162" i="9"/>
  <c r="D161" i="9"/>
  <c r="D160" i="9"/>
  <c r="D159" i="9"/>
  <c r="D158" i="9"/>
  <c r="D157" i="9"/>
  <c r="D156" i="9"/>
  <c r="D155" i="9"/>
  <c r="D154" i="9"/>
  <c r="D153" i="9"/>
  <c r="D152" i="9"/>
  <c r="D151" i="9"/>
  <c r="D150" i="9"/>
  <c r="D149" i="9"/>
  <c r="D148" i="9"/>
  <c r="D147" i="9"/>
  <c r="D146" i="9"/>
  <c r="D145" i="9"/>
  <c r="D144" i="9"/>
  <c r="D143" i="9"/>
  <c r="D142" i="9"/>
  <c r="D141" i="9"/>
  <c r="D140" i="9"/>
  <c r="D139" i="9"/>
  <c r="D138" i="9"/>
  <c r="D137" i="9"/>
  <c r="D136" i="9"/>
  <c r="D135" i="9"/>
  <c r="D134" i="9"/>
  <c r="D133" i="9"/>
  <c r="D132" i="9"/>
  <c r="D131" i="9"/>
  <c r="D130" i="9"/>
  <c r="D129" i="9"/>
  <c r="D128" i="9"/>
  <c r="D127" i="9"/>
  <c r="D126" i="9"/>
  <c r="D125" i="9"/>
  <c r="D124" i="9"/>
  <c r="D123" i="9"/>
  <c r="D122" i="9"/>
  <c r="D121" i="9"/>
  <c r="D120" i="9"/>
  <c r="D119" i="9"/>
  <c r="D118" i="9"/>
  <c r="D117" i="9"/>
  <c r="D116" i="9"/>
  <c r="D115" i="9"/>
  <c r="D114" i="9"/>
  <c r="D113" i="9"/>
  <c r="D112" i="9"/>
  <c r="D111" i="9"/>
  <c r="D110" i="9"/>
  <c r="D109" i="9"/>
  <c r="D108" i="9"/>
  <c r="D107" i="9"/>
  <c r="D106" i="9"/>
  <c r="D105" i="9"/>
  <c r="D104" i="9"/>
  <c r="D103" i="9"/>
  <c r="D102" i="9"/>
  <c r="D101" i="9"/>
  <c r="D100" i="9"/>
  <c r="D99" i="9"/>
  <c r="D98" i="9"/>
  <c r="D97" i="9"/>
  <c r="D96" i="9"/>
  <c r="D95" i="9"/>
  <c r="D94" i="9"/>
  <c r="D93" i="9"/>
  <c r="D92" i="9"/>
  <c r="D91" i="9"/>
  <c r="D90" i="9"/>
  <c r="D89" i="9"/>
  <c r="D88" i="9"/>
  <c r="D87" i="9"/>
  <c r="D86" i="9"/>
  <c r="D85" i="9"/>
  <c r="D84" i="9"/>
  <c r="D83" i="9"/>
  <c r="D82" i="9"/>
  <c r="D81" i="9"/>
  <c r="D80" i="9"/>
  <c r="D79" i="9"/>
  <c r="D78" i="9"/>
  <c r="D77" i="9"/>
  <c r="D76" i="9"/>
  <c r="D75" i="9"/>
  <c r="D74" i="9"/>
  <c r="D73" i="9"/>
  <c r="D72" i="9"/>
  <c r="D71" i="9"/>
  <c r="D70" i="9"/>
  <c r="D69" i="9"/>
  <c r="D68" i="9"/>
  <c r="D67" i="9"/>
  <c r="D66" i="9"/>
  <c r="D65" i="9"/>
  <c r="D64" i="9"/>
  <c r="D63" i="9"/>
  <c r="D62" i="9"/>
  <c r="D61" i="9"/>
  <c r="D60" i="9"/>
  <c r="D59" i="9"/>
  <c r="D58" i="9"/>
  <c r="D57" i="9"/>
  <c r="D56" i="9"/>
  <c r="D55" i="9"/>
  <c r="D54" i="9"/>
  <c r="D53" i="9"/>
  <c r="D52" i="9"/>
  <c r="D51" i="9"/>
  <c r="D50" i="9"/>
  <c r="D49" i="9"/>
  <c r="D48" i="9"/>
  <c r="D47" i="9"/>
  <c r="D46" i="9"/>
  <c r="D45" i="9"/>
  <c r="D44" i="9"/>
  <c r="D43" i="9"/>
  <c r="D42" i="9"/>
  <c r="D41" i="9"/>
  <c r="D40" i="9"/>
  <c r="D39" i="9"/>
  <c r="D38" i="9"/>
  <c r="D37" i="9"/>
  <c r="D36" i="9"/>
  <c r="D35" i="9"/>
  <c r="D34" i="9"/>
  <c r="D33" i="9"/>
  <c r="D32" i="9"/>
  <c r="D31" i="9"/>
  <c r="D30" i="9"/>
  <c r="D29" i="9"/>
  <c r="D28" i="9"/>
  <c r="D27" i="9"/>
  <c r="D26" i="9"/>
  <c r="D25" i="9"/>
  <c r="D24" i="9"/>
  <c r="D23" i="9"/>
  <c r="D22" i="9"/>
  <c r="D21" i="9"/>
  <c r="D20" i="9"/>
  <c r="D19" i="9"/>
  <c r="D18" i="9"/>
  <c r="D17" i="9"/>
  <c r="D16" i="9"/>
  <c r="D15" i="9"/>
  <c r="D14" i="9"/>
  <c r="D13" i="9"/>
  <c r="D12" i="9"/>
  <c r="D11" i="9"/>
  <c r="D10" i="9"/>
  <c r="D9" i="9"/>
  <c r="D8" i="9"/>
  <c r="D7" i="9"/>
  <c r="D6" i="9"/>
  <c r="D5" i="9"/>
  <c r="D4" i="9"/>
  <c r="D3" i="9"/>
  <c r="D2" i="9"/>
  <c r="E1081" i="8"/>
  <c r="G1081" i="8" s="1"/>
  <c r="E1080" i="8"/>
  <c r="E1079" i="8"/>
  <c r="G1079" i="8" s="1"/>
  <c r="E1078" i="8"/>
  <c r="G1078" i="8" s="1"/>
  <c r="E1077" i="8"/>
  <c r="E1076" i="8"/>
  <c r="G1076" i="8" s="1"/>
  <c r="E1075" i="8"/>
  <c r="G1075" i="8" s="1"/>
  <c r="E1074" i="8"/>
  <c r="G1074" i="8" s="1"/>
  <c r="E1073" i="8"/>
  <c r="F1073" i="8" s="1"/>
  <c r="E1072" i="8"/>
  <c r="G1072" i="8" s="1"/>
  <c r="E1071" i="8"/>
  <c r="E1070" i="8"/>
  <c r="G1070" i="8" s="1"/>
  <c r="E1069" i="8"/>
  <c r="G1069" i="8" s="1"/>
  <c r="E1068" i="8"/>
  <c r="E1067" i="8"/>
  <c r="G1067" i="8" s="1"/>
  <c r="E1066" i="8"/>
  <c r="E1065" i="8"/>
  <c r="E1064" i="8"/>
  <c r="F1064" i="8" s="1"/>
  <c r="E1063" i="8"/>
  <c r="G1063" i="8" s="1"/>
  <c r="E1062" i="8"/>
  <c r="G1062" i="8" s="1"/>
  <c r="E1061" i="8"/>
  <c r="F1061" i="8" s="1"/>
  <c r="E1060" i="8"/>
  <c r="F1060" i="8" s="1"/>
  <c r="E1059" i="8"/>
  <c r="G1059" i="8" s="1"/>
  <c r="E1058" i="8"/>
  <c r="E1057" i="8"/>
  <c r="G1057" i="8" s="1"/>
  <c r="E1056" i="8"/>
  <c r="G1056" i="8" s="1"/>
  <c r="E1055" i="8"/>
  <c r="F1055" i="8" s="1"/>
  <c r="E1054" i="8"/>
  <c r="E1053" i="8"/>
  <c r="E1052" i="8"/>
  <c r="E1051" i="8"/>
  <c r="F1051" i="8" s="1"/>
  <c r="E1050" i="8"/>
  <c r="G1050" i="8" s="1"/>
  <c r="E1049" i="8"/>
  <c r="F1049" i="8" s="1"/>
  <c r="E1048" i="8"/>
  <c r="F1048" i="8" s="1"/>
  <c r="E1047" i="8"/>
  <c r="G1047" i="8" s="1"/>
  <c r="E1046" i="8"/>
  <c r="E1045" i="8"/>
  <c r="G1045" i="8" s="1"/>
  <c r="E1044" i="8"/>
  <c r="E1043" i="8"/>
  <c r="F1043" i="8" s="1"/>
  <c r="E1042" i="8"/>
  <c r="G1042" i="8" s="1"/>
  <c r="E1041" i="8"/>
  <c r="F1041" i="8" s="1"/>
  <c r="E1040" i="8"/>
  <c r="G1040" i="8" s="1"/>
  <c r="E1039" i="8"/>
  <c r="F1039" i="8" s="1"/>
  <c r="E1038" i="8"/>
  <c r="G1038" i="8" s="1"/>
  <c r="E1037" i="8"/>
  <c r="E1036" i="8"/>
  <c r="G1036" i="8" s="1"/>
  <c r="E1035" i="8"/>
  <c r="E1034" i="8"/>
  <c r="G1034" i="8" s="1"/>
  <c r="E1033" i="8"/>
  <c r="E1032" i="8"/>
  <c r="G1032" i="8" s="1"/>
  <c r="E1031" i="8"/>
  <c r="F1031" i="8" s="1"/>
  <c r="E1030" i="8"/>
  <c r="E1029" i="8"/>
  <c r="E1028" i="8"/>
  <c r="F1028" i="8" s="1"/>
  <c r="E1027" i="8"/>
  <c r="E1026" i="8"/>
  <c r="G1026" i="8" s="1"/>
  <c r="E1025" i="8"/>
  <c r="F1025" i="8" s="1"/>
  <c r="E1024" i="8"/>
  <c r="G1024" i="8" s="1"/>
  <c r="E1023" i="8"/>
  <c r="E1022" i="8"/>
  <c r="G1022" i="8" s="1"/>
  <c r="E1021" i="8"/>
  <c r="F1021" i="8" s="1"/>
  <c r="E1020" i="8"/>
  <c r="E1019" i="8"/>
  <c r="E1018" i="8"/>
  <c r="E1017" i="8"/>
  <c r="G1017" i="8" s="1"/>
  <c r="E1016" i="8"/>
  <c r="E1015" i="8"/>
  <c r="E1014" i="8"/>
  <c r="G1014" i="8" s="1"/>
  <c r="E1013" i="8"/>
  <c r="E1012" i="8"/>
  <c r="F1012" i="8" s="1"/>
  <c r="E1011" i="8"/>
  <c r="G1011" i="8" s="1"/>
  <c r="E1010" i="8"/>
  <c r="G1010" i="8" s="1"/>
  <c r="E1009" i="8"/>
  <c r="E1008" i="8"/>
  <c r="G1008" i="8" s="1"/>
  <c r="E1007" i="8"/>
  <c r="G1007" i="8" s="1"/>
  <c r="E1006" i="8"/>
  <c r="E1005" i="8"/>
  <c r="F1005" i="8" s="1"/>
  <c r="E1004" i="8"/>
  <c r="G1004" i="8" s="1"/>
  <c r="E1003" i="8"/>
  <c r="F1003" i="8" s="1"/>
  <c r="E1002" i="8"/>
  <c r="G1002" i="8" s="1"/>
  <c r="E1001" i="8"/>
  <c r="G1001" i="8" s="1"/>
  <c r="E1000" i="8"/>
  <c r="E999" i="8"/>
  <c r="G999" i="8" s="1"/>
  <c r="E998" i="8"/>
  <c r="E997" i="8"/>
  <c r="G997" i="8" s="1"/>
  <c r="E996" i="8"/>
  <c r="E995" i="8"/>
  <c r="E994" i="8"/>
  <c r="G994" i="8" s="1"/>
  <c r="E993" i="8"/>
  <c r="E992" i="8"/>
  <c r="G992" i="8" s="1"/>
  <c r="E991" i="8"/>
  <c r="F991" i="8" s="1"/>
  <c r="E990" i="8"/>
  <c r="G990" i="8" s="1"/>
  <c r="E989" i="8"/>
  <c r="G989" i="8" s="1"/>
  <c r="E988" i="8"/>
  <c r="E987" i="8"/>
  <c r="F987" i="8" s="1"/>
  <c r="E986" i="8"/>
  <c r="E985" i="8"/>
  <c r="E984" i="8"/>
  <c r="G984" i="8" s="1"/>
  <c r="E983" i="8"/>
  <c r="G983" i="8" s="1"/>
  <c r="E982" i="8"/>
  <c r="G982" i="8" s="1"/>
  <c r="E981" i="8"/>
  <c r="G981" i="8" s="1"/>
  <c r="E980" i="8"/>
  <c r="F980" i="8" s="1"/>
  <c r="E979" i="8"/>
  <c r="E978" i="8"/>
  <c r="G978" i="8" s="1"/>
  <c r="E977" i="8"/>
  <c r="F977" i="8" s="1"/>
  <c r="E976" i="8"/>
  <c r="E975" i="8"/>
  <c r="F975" i="8" s="1"/>
  <c r="E974" i="8"/>
  <c r="G974" i="8" s="1"/>
  <c r="E973" i="8"/>
  <c r="F973" i="8" s="1"/>
  <c r="E972" i="8"/>
  <c r="E971" i="8"/>
  <c r="G971" i="8" s="1"/>
  <c r="E970" i="8"/>
  <c r="G970" i="8" s="1"/>
  <c r="E969" i="8"/>
  <c r="G969" i="8" s="1"/>
  <c r="E968" i="8"/>
  <c r="G968" i="8" s="1"/>
  <c r="E967" i="8"/>
  <c r="G967" i="8" s="1"/>
  <c r="E966" i="8"/>
  <c r="G966" i="8" s="1"/>
  <c r="E965" i="8"/>
  <c r="F965" i="8" s="1"/>
  <c r="E964" i="8"/>
  <c r="E963" i="8"/>
  <c r="E962" i="8"/>
  <c r="E961" i="8"/>
  <c r="F961" i="8" s="1"/>
  <c r="E960" i="8"/>
  <c r="G960" i="8" s="1"/>
  <c r="E959" i="8"/>
  <c r="E958" i="8"/>
  <c r="E957" i="8"/>
  <c r="G957" i="8" s="1"/>
  <c r="E956" i="8"/>
  <c r="G956" i="8" s="1"/>
  <c r="E955" i="8"/>
  <c r="F955" i="8" s="1"/>
  <c r="E954" i="8"/>
  <c r="E953" i="8"/>
  <c r="E952" i="8"/>
  <c r="E951" i="8"/>
  <c r="F951" i="8" s="1"/>
  <c r="E950" i="8"/>
  <c r="E949" i="8"/>
  <c r="G949" i="8" s="1"/>
  <c r="E948" i="8"/>
  <c r="E947" i="8"/>
  <c r="F947" i="8" s="1"/>
  <c r="E946" i="8"/>
  <c r="G946" i="8" s="1"/>
  <c r="E945" i="8"/>
  <c r="F945" i="8" s="1"/>
  <c r="E944" i="8"/>
  <c r="G944" i="8" s="1"/>
  <c r="E943" i="8"/>
  <c r="F943" i="8" s="1"/>
  <c r="E942" i="8"/>
  <c r="E941" i="8"/>
  <c r="G941" i="8" s="1"/>
  <c r="E940" i="8"/>
  <c r="F940" i="8" s="1"/>
  <c r="E939" i="8"/>
  <c r="F939" i="8" s="1"/>
  <c r="E938" i="8"/>
  <c r="G938" i="8" s="1"/>
  <c r="E937" i="8"/>
  <c r="F937" i="8" s="1"/>
  <c r="E936" i="8"/>
  <c r="E935" i="8"/>
  <c r="F935" i="8" s="1"/>
  <c r="E934" i="8"/>
  <c r="G934" i="8" s="1"/>
  <c r="E933" i="8"/>
  <c r="G933" i="8" s="1"/>
  <c r="E932" i="8"/>
  <c r="F932" i="8" s="1"/>
  <c r="E931" i="8"/>
  <c r="E930" i="8"/>
  <c r="G930" i="8" s="1"/>
  <c r="E929" i="8"/>
  <c r="F929" i="8" s="1"/>
  <c r="E928" i="8"/>
  <c r="E927" i="8"/>
  <c r="G927" i="8" s="1"/>
  <c r="E926" i="8"/>
  <c r="G926" i="8" s="1"/>
  <c r="E925" i="8"/>
  <c r="G925" i="8" s="1"/>
  <c r="E924" i="8"/>
  <c r="E923" i="8"/>
  <c r="E922" i="8"/>
  <c r="E921" i="8"/>
  <c r="F921" i="8" s="1"/>
  <c r="E920" i="8"/>
  <c r="G920" i="8" s="1"/>
  <c r="E919" i="8"/>
  <c r="F919" i="8" s="1"/>
  <c r="E918" i="8"/>
  <c r="G918" i="8" s="1"/>
  <c r="E917" i="8"/>
  <c r="G917" i="8" s="1"/>
  <c r="E916" i="8"/>
  <c r="F916" i="8" s="1"/>
  <c r="E915" i="8"/>
  <c r="F915" i="8" s="1"/>
  <c r="E914" i="8"/>
  <c r="G914" i="8" s="1"/>
  <c r="E913" i="8"/>
  <c r="E912" i="8"/>
  <c r="E911" i="8"/>
  <c r="G911" i="8" s="1"/>
  <c r="E910" i="8"/>
  <c r="E909" i="8"/>
  <c r="G909" i="8" s="1"/>
  <c r="E908" i="8"/>
  <c r="F908" i="8" s="1"/>
  <c r="E907" i="8"/>
  <c r="G907" i="8" s="1"/>
  <c r="E906" i="8"/>
  <c r="E905" i="8"/>
  <c r="F905" i="8" s="1"/>
  <c r="E904" i="8"/>
  <c r="G904" i="8" s="1"/>
  <c r="E903" i="8"/>
  <c r="E902" i="8"/>
  <c r="E901" i="8"/>
  <c r="E900" i="8"/>
  <c r="G900" i="8" s="1"/>
  <c r="E899" i="8"/>
  <c r="F899" i="8" s="1"/>
  <c r="E898" i="8"/>
  <c r="E897" i="8"/>
  <c r="F897" i="8" s="1"/>
  <c r="E896" i="8"/>
  <c r="F896" i="8" s="1"/>
  <c r="E895" i="8"/>
  <c r="E894" i="8"/>
  <c r="E893" i="8"/>
  <c r="E892" i="8"/>
  <c r="G892" i="8" s="1"/>
  <c r="E891" i="8"/>
  <c r="G891" i="8" s="1"/>
  <c r="E890" i="8"/>
  <c r="E889" i="8"/>
  <c r="E888" i="8"/>
  <c r="G888" i="8" s="1"/>
  <c r="E887" i="8"/>
  <c r="F887" i="8" s="1"/>
  <c r="E886" i="8"/>
  <c r="E885" i="8"/>
  <c r="F885" i="8" s="1"/>
  <c r="E884" i="8"/>
  <c r="E883" i="8"/>
  <c r="G883" i="8" s="1"/>
  <c r="E882" i="8"/>
  <c r="G882" i="8" s="1"/>
  <c r="E881" i="8"/>
  <c r="E880" i="8"/>
  <c r="G880" i="8" s="1"/>
  <c r="E879" i="8"/>
  <c r="G879" i="8" s="1"/>
  <c r="E878" i="8"/>
  <c r="E877" i="8"/>
  <c r="F877" i="8" s="1"/>
  <c r="E876" i="8"/>
  <c r="G876" i="8" s="1"/>
  <c r="E875" i="8"/>
  <c r="F875" i="8" s="1"/>
  <c r="E874" i="8"/>
  <c r="F874" i="8" s="1"/>
  <c r="E873" i="8"/>
  <c r="F873" i="8" s="1"/>
  <c r="E872" i="8"/>
  <c r="G872" i="8" s="1"/>
  <c r="E871" i="8"/>
  <c r="G871" i="8" s="1"/>
  <c r="E870" i="8"/>
  <c r="E869" i="8"/>
  <c r="E868" i="8"/>
  <c r="E867" i="8"/>
  <c r="E866" i="8"/>
  <c r="G866" i="8" s="1"/>
  <c r="E865" i="8"/>
  <c r="F865" i="8" s="1"/>
  <c r="E864" i="8"/>
  <c r="G864" i="8" s="1"/>
  <c r="E863" i="8"/>
  <c r="E862" i="8"/>
  <c r="E861" i="8"/>
  <c r="E860" i="8"/>
  <c r="F860" i="8" s="1"/>
  <c r="E859" i="8"/>
  <c r="G859" i="8" s="1"/>
  <c r="E858" i="8"/>
  <c r="E857" i="8"/>
  <c r="F857" i="8" s="1"/>
  <c r="E856" i="8"/>
  <c r="E855" i="8"/>
  <c r="G855" i="8" s="1"/>
  <c r="E854" i="8"/>
  <c r="E853" i="8"/>
  <c r="F853" i="8" s="1"/>
  <c r="E852" i="8"/>
  <c r="F852" i="8" s="1"/>
  <c r="E851" i="8"/>
  <c r="F851" i="8" s="1"/>
  <c r="E850" i="8"/>
  <c r="G850" i="8" s="1"/>
  <c r="E849" i="8"/>
  <c r="F849" i="8" s="1"/>
  <c r="E848" i="8"/>
  <c r="E847" i="8"/>
  <c r="G847" i="8" s="1"/>
  <c r="E846" i="8"/>
  <c r="G846" i="8" s="1"/>
  <c r="E845" i="8"/>
  <c r="E844" i="8"/>
  <c r="G844" i="8" s="1"/>
  <c r="E843" i="8"/>
  <c r="E842" i="8"/>
  <c r="G842" i="8" s="1"/>
  <c r="E841" i="8"/>
  <c r="F841" i="8" s="1"/>
  <c r="E840" i="8"/>
  <c r="G840" i="8" s="1"/>
  <c r="E839" i="8"/>
  <c r="E838" i="8"/>
  <c r="F838" i="8" s="1"/>
  <c r="E837" i="8"/>
  <c r="F837" i="8" s="1"/>
  <c r="E836" i="8"/>
  <c r="E835" i="8"/>
  <c r="E834" i="8"/>
  <c r="G834" i="8" s="1"/>
  <c r="E833" i="8"/>
  <c r="E832" i="8"/>
  <c r="G832" i="8" s="1"/>
  <c r="E831" i="8"/>
  <c r="G831" i="8" s="1"/>
  <c r="E830" i="8"/>
  <c r="G830" i="8" s="1"/>
  <c r="E829" i="8"/>
  <c r="F829" i="8" s="1"/>
  <c r="E828" i="8"/>
  <c r="E827" i="8"/>
  <c r="G827" i="8" s="1"/>
  <c r="E826" i="8"/>
  <c r="E825" i="8"/>
  <c r="F825" i="8" s="1"/>
  <c r="E824" i="8"/>
  <c r="E823" i="8"/>
  <c r="E822" i="8"/>
  <c r="E821" i="8"/>
  <c r="F821" i="8" s="1"/>
  <c r="E820" i="8"/>
  <c r="E819" i="8"/>
  <c r="E818" i="8"/>
  <c r="G818" i="8" s="1"/>
  <c r="E817" i="8"/>
  <c r="F817" i="8" s="1"/>
  <c r="E816" i="8"/>
  <c r="G816" i="8" s="1"/>
  <c r="E815" i="8"/>
  <c r="F815" i="8" s="1"/>
  <c r="E814" i="8"/>
  <c r="G814" i="8" s="1"/>
  <c r="E813" i="8"/>
  <c r="F813" i="8" s="1"/>
  <c r="E812" i="8"/>
  <c r="F812" i="8" s="1"/>
  <c r="E811" i="8"/>
  <c r="G811" i="8" s="1"/>
  <c r="E810" i="8"/>
  <c r="E809" i="8"/>
  <c r="F809" i="8" s="1"/>
  <c r="E808" i="8"/>
  <c r="E807" i="8"/>
  <c r="G807" i="8" s="1"/>
  <c r="E806" i="8"/>
  <c r="E805" i="8"/>
  <c r="F805" i="8" s="1"/>
  <c r="E804" i="8"/>
  <c r="F804" i="8" s="1"/>
  <c r="E803" i="8"/>
  <c r="F803" i="8" s="1"/>
  <c r="E802" i="8"/>
  <c r="E801" i="8"/>
  <c r="F801" i="8" s="1"/>
  <c r="E800" i="8"/>
  <c r="E799" i="8"/>
  <c r="G799" i="8" s="1"/>
  <c r="E798" i="8"/>
  <c r="E797" i="8"/>
  <c r="F797" i="8" s="1"/>
  <c r="E796" i="8"/>
  <c r="G796" i="8" s="1"/>
  <c r="E795" i="8"/>
  <c r="E794" i="8"/>
  <c r="G794" i="8" s="1"/>
  <c r="E793" i="8"/>
  <c r="E792" i="8"/>
  <c r="E791" i="8"/>
  <c r="F791" i="8" s="1"/>
  <c r="E790" i="8"/>
  <c r="E789" i="8"/>
  <c r="F789" i="8" s="1"/>
  <c r="E788" i="8"/>
  <c r="G788" i="8" s="1"/>
  <c r="E787" i="8"/>
  <c r="E786" i="8"/>
  <c r="E785" i="8"/>
  <c r="E784" i="8"/>
  <c r="F784" i="8" s="1"/>
  <c r="E783" i="8"/>
  <c r="G783" i="8" s="1"/>
  <c r="E782" i="8"/>
  <c r="G782" i="8" s="1"/>
  <c r="E781" i="8"/>
  <c r="F781" i="8" s="1"/>
  <c r="E780" i="8"/>
  <c r="E779" i="8"/>
  <c r="G779" i="8" s="1"/>
  <c r="E778" i="8"/>
  <c r="F778" i="8" s="1"/>
  <c r="E777" i="8"/>
  <c r="F777" i="8" s="1"/>
  <c r="E776" i="8"/>
  <c r="G776" i="8" s="1"/>
  <c r="E775" i="8"/>
  <c r="E774" i="8"/>
  <c r="E773" i="8"/>
  <c r="E772" i="8"/>
  <c r="E771" i="8"/>
  <c r="F771" i="8" s="1"/>
  <c r="E770" i="8"/>
  <c r="G770" i="8" s="1"/>
  <c r="E769" i="8"/>
  <c r="F769" i="8" s="1"/>
  <c r="E768" i="8"/>
  <c r="G768" i="8" s="1"/>
  <c r="E767" i="8"/>
  <c r="G767" i="8" s="1"/>
  <c r="E766" i="8"/>
  <c r="G766" i="8" s="1"/>
  <c r="E765" i="8"/>
  <c r="E764" i="8"/>
  <c r="F764" i="8" s="1"/>
  <c r="E763" i="8"/>
  <c r="F763" i="8" s="1"/>
  <c r="E762" i="8"/>
  <c r="G762" i="8" s="1"/>
  <c r="E761" i="8"/>
  <c r="F761" i="8" s="1"/>
  <c r="E760" i="8"/>
  <c r="F760" i="8" s="1"/>
  <c r="E759" i="8"/>
  <c r="F759" i="8" s="1"/>
  <c r="E758" i="8"/>
  <c r="G758" i="8" s="1"/>
  <c r="E757" i="8"/>
  <c r="F757" i="8" s="1"/>
  <c r="E756" i="8"/>
  <c r="E755" i="8"/>
  <c r="G755" i="8" s="1"/>
  <c r="E754" i="8"/>
  <c r="G754" i="8" s="1"/>
  <c r="E753" i="8"/>
  <c r="F753" i="8" s="1"/>
  <c r="E752" i="8"/>
  <c r="E751" i="8"/>
  <c r="F751" i="8" s="1"/>
  <c r="E750" i="8"/>
  <c r="E749" i="8"/>
  <c r="E748" i="8"/>
  <c r="G748" i="8" s="1"/>
  <c r="E747" i="8"/>
  <c r="E746" i="8"/>
  <c r="F746" i="8" s="1"/>
  <c r="E745" i="8"/>
  <c r="F745" i="8" s="1"/>
  <c r="E744" i="8"/>
  <c r="E743" i="8"/>
  <c r="G743" i="8" s="1"/>
  <c r="E742" i="8"/>
  <c r="G742" i="8" s="1"/>
  <c r="E741" i="8"/>
  <c r="F741" i="8" s="1"/>
  <c r="E740" i="8"/>
  <c r="E739" i="8"/>
  <c r="G739" i="8" s="1"/>
  <c r="E738" i="8"/>
  <c r="G738" i="8" s="1"/>
  <c r="E737" i="8"/>
  <c r="E736" i="8"/>
  <c r="G736" i="8" s="1"/>
  <c r="E735" i="8"/>
  <c r="F735" i="8" s="1"/>
  <c r="E734" i="8"/>
  <c r="E733" i="8"/>
  <c r="F733" i="8" s="1"/>
  <c r="E732" i="8"/>
  <c r="F732" i="8" s="1"/>
  <c r="E731" i="8"/>
  <c r="F731" i="8" s="1"/>
  <c r="E730" i="8"/>
  <c r="G730" i="8" s="1"/>
  <c r="E729" i="8"/>
  <c r="F729" i="8" s="1"/>
  <c r="E728" i="8"/>
  <c r="E727" i="8"/>
  <c r="E726" i="8"/>
  <c r="G726" i="8" s="1"/>
  <c r="E725" i="8"/>
  <c r="F725" i="8" s="1"/>
  <c r="E724" i="8"/>
  <c r="E723" i="8"/>
  <c r="G723" i="8" s="1"/>
  <c r="E722" i="8"/>
  <c r="E721" i="8"/>
  <c r="F721" i="8" s="1"/>
  <c r="E720" i="8"/>
  <c r="G720" i="8" s="1"/>
  <c r="E719" i="8"/>
  <c r="G719" i="8" s="1"/>
  <c r="E718" i="8"/>
  <c r="G718" i="8" s="1"/>
  <c r="E717" i="8"/>
  <c r="F717" i="8" s="1"/>
  <c r="E716" i="8"/>
  <c r="F716" i="8" s="1"/>
  <c r="E715" i="8"/>
  <c r="G715" i="8" s="1"/>
  <c r="E714" i="8"/>
  <c r="F714" i="8" s="1"/>
  <c r="E713" i="8"/>
  <c r="F713" i="8" s="1"/>
  <c r="E712" i="8"/>
  <c r="E711" i="8"/>
  <c r="F711" i="8" s="1"/>
  <c r="E710" i="8"/>
  <c r="F710" i="8" s="1"/>
  <c r="E709" i="8"/>
  <c r="E708" i="8"/>
  <c r="F708" i="8" s="1"/>
  <c r="E707" i="8"/>
  <c r="G707" i="8" s="1"/>
  <c r="E706" i="8"/>
  <c r="E705" i="8"/>
  <c r="E704" i="8"/>
  <c r="E703" i="8"/>
  <c r="E702" i="8"/>
  <c r="F702" i="8" s="1"/>
  <c r="E701" i="8"/>
  <c r="F701" i="8" s="1"/>
  <c r="E700" i="8"/>
  <c r="G700" i="8" s="1"/>
  <c r="E699" i="8"/>
  <c r="G699" i="8" s="1"/>
  <c r="E698" i="8"/>
  <c r="G698" i="8" s="1"/>
  <c r="E697" i="8"/>
  <c r="F697" i="8" s="1"/>
  <c r="E696" i="8"/>
  <c r="E695" i="8"/>
  <c r="E694" i="8"/>
  <c r="E693" i="8"/>
  <c r="F693" i="8" s="1"/>
  <c r="E692" i="8"/>
  <c r="E691" i="8"/>
  <c r="G691" i="8" s="1"/>
  <c r="E690" i="8"/>
  <c r="E689" i="8"/>
  <c r="E688" i="8"/>
  <c r="G688" i="8" s="1"/>
  <c r="E687" i="8"/>
  <c r="G687" i="8" s="1"/>
  <c r="E686" i="8"/>
  <c r="G686" i="8" s="1"/>
  <c r="E685" i="8"/>
  <c r="F685" i="8" s="1"/>
  <c r="E684" i="8"/>
  <c r="G684" i="8" s="1"/>
  <c r="E683" i="8"/>
  <c r="F683" i="8" s="1"/>
  <c r="E682" i="8"/>
  <c r="E681" i="8"/>
  <c r="F681" i="8" s="1"/>
  <c r="E680" i="8"/>
  <c r="G680" i="8" s="1"/>
  <c r="E679" i="8"/>
  <c r="E678" i="8"/>
  <c r="E677" i="8"/>
  <c r="F677" i="8" s="1"/>
  <c r="E676" i="8"/>
  <c r="E675" i="8"/>
  <c r="G675" i="8" s="1"/>
  <c r="E674" i="8"/>
  <c r="F674" i="8" s="1"/>
  <c r="E673" i="8"/>
  <c r="F673" i="8" s="1"/>
  <c r="E672" i="8"/>
  <c r="G672" i="8" s="1"/>
  <c r="E671" i="8"/>
  <c r="F671" i="8" s="1"/>
  <c r="E670" i="8"/>
  <c r="E669" i="8"/>
  <c r="F669" i="8" s="1"/>
  <c r="E668" i="8"/>
  <c r="F668" i="8" s="1"/>
  <c r="E667" i="8"/>
  <c r="F667" i="8" s="1"/>
  <c r="E666" i="8"/>
  <c r="E665" i="8"/>
  <c r="F665" i="8" s="1"/>
  <c r="E664" i="8"/>
  <c r="F664" i="8" s="1"/>
  <c r="E663" i="8"/>
  <c r="G663" i="8" s="1"/>
  <c r="E662" i="8"/>
  <c r="E661" i="8"/>
  <c r="E660" i="8"/>
  <c r="E659" i="8"/>
  <c r="F659" i="8" s="1"/>
  <c r="E658" i="8"/>
  <c r="G658" i="8" s="1"/>
  <c r="E657" i="8"/>
  <c r="E656" i="8"/>
  <c r="G656" i="8" s="1"/>
  <c r="E655" i="8"/>
  <c r="E654" i="8"/>
  <c r="G654" i="8" s="1"/>
  <c r="E653" i="8"/>
  <c r="E652" i="8"/>
  <c r="G652" i="8" s="1"/>
  <c r="E651" i="8"/>
  <c r="G651" i="8" s="1"/>
  <c r="E650" i="8"/>
  <c r="G650" i="8" s="1"/>
  <c r="E649" i="8"/>
  <c r="E648" i="8"/>
  <c r="F648" i="8" s="1"/>
  <c r="E647" i="8"/>
  <c r="F647" i="8" s="1"/>
  <c r="E646" i="8"/>
  <c r="E645" i="8"/>
  <c r="E644" i="8"/>
  <c r="E643" i="8"/>
  <c r="E642" i="8"/>
  <c r="G642" i="8" s="1"/>
  <c r="E641" i="8"/>
  <c r="E640" i="8"/>
  <c r="F640" i="8" s="1"/>
  <c r="E639" i="8"/>
  <c r="G639" i="8" s="1"/>
  <c r="E638" i="8"/>
  <c r="F638" i="8" s="1"/>
  <c r="E637" i="8"/>
  <c r="F637" i="8" s="1"/>
  <c r="E636" i="8"/>
  <c r="F636" i="8" s="1"/>
  <c r="E635" i="8"/>
  <c r="E634" i="8"/>
  <c r="F634" i="8" s="1"/>
  <c r="E633" i="8"/>
  <c r="F633" i="8" s="1"/>
  <c r="E632" i="8"/>
  <c r="E631" i="8"/>
  <c r="F631" i="8" s="1"/>
  <c r="E630" i="8"/>
  <c r="G630" i="8" s="1"/>
  <c r="E629" i="8"/>
  <c r="F629" i="8" s="1"/>
  <c r="E628" i="8"/>
  <c r="E627" i="8"/>
  <c r="E626" i="8"/>
  <c r="E625" i="8"/>
  <c r="F625" i="8" s="1"/>
  <c r="E624" i="8"/>
  <c r="G624" i="8" s="1"/>
  <c r="E623" i="8"/>
  <c r="G623" i="8" s="1"/>
  <c r="E622" i="8"/>
  <c r="F622" i="8" s="1"/>
  <c r="E621" i="8"/>
  <c r="F621" i="8" s="1"/>
  <c r="E620" i="8"/>
  <c r="E619" i="8"/>
  <c r="F619" i="8" s="1"/>
  <c r="E618" i="8"/>
  <c r="F618" i="8" s="1"/>
  <c r="E617" i="8"/>
  <c r="F617" i="8" s="1"/>
  <c r="E616" i="8"/>
  <c r="E615" i="8"/>
  <c r="G615" i="8" s="1"/>
  <c r="E614" i="8"/>
  <c r="G614" i="8" s="1"/>
  <c r="E613" i="8"/>
  <c r="E612" i="8"/>
  <c r="E611" i="8"/>
  <c r="G611" i="8" s="1"/>
  <c r="E610" i="8"/>
  <c r="G610" i="8" s="1"/>
  <c r="E609" i="8"/>
  <c r="F609" i="8" s="1"/>
  <c r="E608" i="8"/>
  <c r="G608" i="8" s="1"/>
  <c r="E607" i="8"/>
  <c r="G607" i="8" s="1"/>
  <c r="E606" i="8"/>
  <c r="F606" i="8" s="1"/>
  <c r="E605" i="8"/>
  <c r="F605" i="8" s="1"/>
  <c r="E604" i="8"/>
  <c r="E603" i="8"/>
  <c r="G603" i="8" s="1"/>
  <c r="E602" i="8"/>
  <c r="G602" i="8" s="1"/>
  <c r="E601" i="8"/>
  <c r="F601" i="8" s="1"/>
  <c r="E600" i="8"/>
  <c r="G600" i="8" s="1"/>
  <c r="E599" i="8"/>
  <c r="F599" i="8" s="1"/>
  <c r="E598" i="8"/>
  <c r="E597" i="8"/>
  <c r="F597" i="8" s="1"/>
  <c r="E596" i="8"/>
  <c r="F596" i="8" s="1"/>
  <c r="E595" i="8"/>
  <c r="F595" i="8" s="1"/>
  <c r="E594" i="8"/>
  <c r="G594" i="8" s="1"/>
  <c r="E593" i="8"/>
  <c r="E592" i="8"/>
  <c r="G592" i="8" s="1"/>
  <c r="E591" i="8"/>
  <c r="E590" i="8"/>
  <c r="F590" i="8" s="1"/>
  <c r="E589" i="8"/>
  <c r="F589" i="8" s="1"/>
  <c r="E588" i="8"/>
  <c r="E587" i="8"/>
  <c r="G587" i="8" s="1"/>
  <c r="E586" i="8"/>
  <c r="G586" i="8" s="1"/>
  <c r="E585" i="8"/>
  <c r="F585" i="8" s="1"/>
  <c r="E584" i="8"/>
  <c r="G584" i="8" s="1"/>
  <c r="E583" i="8"/>
  <c r="G583" i="8" s="1"/>
  <c r="E582" i="8"/>
  <c r="F582" i="8" s="1"/>
  <c r="E581" i="8"/>
  <c r="E580" i="8"/>
  <c r="E579" i="8"/>
  <c r="E578" i="8"/>
  <c r="G578" i="8" s="1"/>
  <c r="E577" i="8"/>
  <c r="F577" i="8" s="1"/>
  <c r="E576" i="8"/>
  <c r="G576" i="8" s="1"/>
  <c r="E575" i="8"/>
  <c r="G575" i="8" s="1"/>
  <c r="E574" i="8"/>
  <c r="F574" i="8" s="1"/>
  <c r="E573" i="8"/>
  <c r="F573" i="8" s="1"/>
  <c r="E572" i="8"/>
  <c r="F572" i="8" s="1"/>
  <c r="E571" i="8"/>
  <c r="G571" i="8" s="1"/>
  <c r="E570" i="8"/>
  <c r="E569" i="8"/>
  <c r="E568" i="8"/>
  <c r="F568" i="8" s="1"/>
  <c r="E567" i="8"/>
  <c r="F567" i="8" s="1"/>
  <c r="E566" i="8"/>
  <c r="F566" i="8" s="1"/>
  <c r="E565" i="8"/>
  <c r="F565" i="8" s="1"/>
  <c r="E564" i="8"/>
  <c r="E563" i="8"/>
  <c r="F563" i="8" s="1"/>
  <c r="E562" i="8"/>
  <c r="G562" i="8" s="1"/>
  <c r="E561" i="8"/>
  <c r="E560" i="8"/>
  <c r="G560" i="8" s="1"/>
  <c r="E559" i="8"/>
  <c r="G559" i="8" s="1"/>
  <c r="E558" i="8"/>
  <c r="E557" i="8"/>
  <c r="E556" i="8"/>
  <c r="E555" i="8"/>
  <c r="F555" i="8" s="1"/>
  <c r="E554" i="8"/>
  <c r="G554" i="8" s="1"/>
  <c r="E553" i="8"/>
  <c r="F553" i="8" s="1"/>
  <c r="E552" i="8"/>
  <c r="G552" i="8" s="1"/>
  <c r="E551" i="8"/>
  <c r="E550" i="8"/>
  <c r="G550" i="8" s="1"/>
  <c r="E549" i="8"/>
  <c r="F549" i="8" s="1"/>
  <c r="E548" i="8"/>
  <c r="G548" i="8" s="1"/>
  <c r="E547" i="8"/>
  <c r="E546" i="8"/>
  <c r="F546" i="8" s="1"/>
  <c r="E545" i="8"/>
  <c r="E544" i="8"/>
  <c r="G544" i="8" s="1"/>
  <c r="E543" i="8"/>
  <c r="F543" i="8" s="1"/>
  <c r="E542" i="8"/>
  <c r="G542" i="8" s="1"/>
  <c r="E541" i="8"/>
  <c r="F541" i="8" s="1"/>
  <c r="E540" i="8"/>
  <c r="G540" i="8" s="1"/>
  <c r="E539" i="8"/>
  <c r="G539" i="8" s="1"/>
  <c r="E538" i="8"/>
  <c r="F538" i="8" s="1"/>
  <c r="E537" i="8"/>
  <c r="F537" i="8" s="1"/>
  <c r="E536" i="8"/>
  <c r="G536" i="8" s="1"/>
  <c r="E535" i="8"/>
  <c r="E534" i="8"/>
  <c r="G534" i="8" s="1"/>
  <c r="E533" i="8"/>
  <c r="F533" i="8" s="1"/>
  <c r="E532" i="8"/>
  <c r="E531" i="8"/>
  <c r="F531" i="8" s="1"/>
  <c r="E530" i="8"/>
  <c r="E529" i="8"/>
  <c r="F529" i="8" s="1"/>
  <c r="E528" i="8"/>
  <c r="G528" i="8" s="1"/>
  <c r="E527" i="8"/>
  <c r="E526" i="8"/>
  <c r="G526" i="8" s="1"/>
  <c r="E525" i="8"/>
  <c r="F525" i="8" s="1"/>
  <c r="E524" i="8"/>
  <c r="F524" i="8" s="1"/>
  <c r="E523" i="8"/>
  <c r="E522" i="8"/>
  <c r="G522" i="8" s="1"/>
  <c r="E521" i="8"/>
  <c r="E520" i="8"/>
  <c r="F520" i="8" s="1"/>
  <c r="E519" i="8"/>
  <c r="G519" i="8" s="1"/>
  <c r="E518" i="8"/>
  <c r="E517" i="8"/>
  <c r="F517" i="8" s="1"/>
  <c r="E516" i="8"/>
  <c r="E515" i="8"/>
  <c r="F515" i="8" s="1"/>
  <c r="E514" i="8"/>
  <c r="G514" i="8" s="1"/>
  <c r="E513" i="8"/>
  <c r="E512" i="8"/>
  <c r="E511" i="8"/>
  <c r="G511" i="8" s="1"/>
  <c r="E510" i="8"/>
  <c r="G510" i="8" s="1"/>
  <c r="E509" i="8"/>
  <c r="F509" i="8" s="1"/>
  <c r="E508" i="8"/>
  <c r="E507" i="8"/>
  <c r="E506" i="8"/>
  <c r="E505" i="8"/>
  <c r="F505" i="8" s="1"/>
  <c r="E504" i="8"/>
  <c r="F504" i="8" s="1"/>
  <c r="E503" i="8"/>
  <c r="E502" i="8"/>
  <c r="E501" i="8"/>
  <c r="F501" i="8" s="1"/>
  <c r="E500" i="8"/>
  <c r="G500" i="8" s="1"/>
  <c r="E499" i="8"/>
  <c r="E498" i="8"/>
  <c r="E497" i="8"/>
  <c r="E496" i="8"/>
  <c r="G496" i="8" s="1"/>
  <c r="E495" i="8"/>
  <c r="G495" i="8" s="1"/>
  <c r="E494" i="8"/>
  <c r="E493" i="8"/>
  <c r="F493" i="8" s="1"/>
  <c r="E492" i="8"/>
  <c r="F492" i="8" s="1"/>
  <c r="E491" i="8"/>
  <c r="G491" i="8" s="1"/>
  <c r="E490" i="8"/>
  <c r="F490" i="8" s="1"/>
  <c r="E489" i="8"/>
  <c r="F489" i="8" s="1"/>
  <c r="E488" i="8"/>
  <c r="G488" i="8" s="1"/>
  <c r="E487" i="8"/>
  <c r="E486" i="8"/>
  <c r="G486" i="8" s="1"/>
  <c r="E485" i="8"/>
  <c r="E484" i="8"/>
  <c r="E483" i="8"/>
  <c r="E482" i="8"/>
  <c r="F482" i="8" s="1"/>
  <c r="E481" i="8"/>
  <c r="F481" i="8" s="1"/>
  <c r="E480" i="8"/>
  <c r="G480" i="8" s="1"/>
  <c r="E479" i="8"/>
  <c r="F479" i="8" s="1"/>
  <c r="E478" i="8"/>
  <c r="E477" i="8"/>
  <c r="E476" i="8"/>
  <c r="F476" i="8" s="1"/>
  <c r="E475" i="8"/>
  <c r="G475" i="8" s="1"/>
  <c r="E474" i="8"/>
  <c r="G474" i="8" s="1"/>
  <c r="E473" i="8"/>
  <c r="E472" i="8"/>
  <c r="E471" i="8"/>
  <c r="F471" i="8" s="1"/>
  <c r="E470" i="8"/>
  <c r="E469" i="8"/>
  <c r="F469" i="8" s="1"/>
  <c r="E468" i="8"/>
  <c r="E467" i="8"/>
  <c r="G467" i="8" s="1"/>
  <c r="E466" i="8"/>
  <c r="F466" i="8" s="1"/>
  <c r="E465" i="8"/>
  <c r="F465" i="8" s="1"/>
  <c r="E464" i="8"/>
  <c r="G464" i="8" s="1"/>
  <c r="E463" i="8"/>
  <c r="E462" i="8"/>
  <c r="E461" i="8"/>
  <c r="E460" i="8"/>
  <c r="E459" i="8"/>
  <c r="E458" i="8"/>
  <c r="E457" i="8"/>
  <c r="F457" i="8" s="1"/>
  <c r="E456" i="8"/>
  <c r="E455" i="8"/>
  <c r="E454" i="8"/>
  <c r="E453" i="8"/>
  <c r="F453" i="8" s="1"/>
  <c r="E452" i="8"/>
  <c r="G452" i="8" s="1"/>
  <c r="E451" i="8"/>
  <c r="F451" i="8" s="1"/>
  <c r="E450" i="8"/>
  <c r="G450" i="8" s="1"/>
  <c r="E449" i="8"/>
  <c r="E448" i="8"/>
  <c r="G448" i="8" s="1"/>
  <c r="E447" i="8"/>
  <c r="F447" i="8" s="1"/>
  <c r="E446" i="8"/>
  <c r="G446" i="8" s="1"/>
  <c r="E445" i="8"/>
  <c r="F445" i="8" s="1"/>
  <c r="E444" i="8"/>
  <c r="F444" i="8" s="1"/>
  <c r="E443" i="8"/>
  <c r="E442" i="8"/>
  <c r="F442" i="8" s="1"/>
  <c r="E441" i="8"/>
  <c r="F441" i="8" s="1"/>
  <c r="E440" i="8"/>
  <c r="E439" i="8"/>
  <c r="G439" i="8" s="1"/>
  <c r="E438" i="8"/>
  <c r="F438" i="8" s="1"/>
  <c r="E437" i="8"/>
  <c r="F437" i="8" s="1"/>
  <c r="E436" i="8"/>
  <c r="E435" i="8"/>
  <c r="F435" i="8" s="1"/>
  <c r="E434" i="8"/>
  <c r="F434" i="8" s="1"/>
  <c r="E433" i="8"/>
  <c r="E432" i="8"/>
  <c r="G432" i="8" s="1"/>
  <c r="E431" i="8"/>
  <c r="F431" i="8" s="1"/>
  <c r="E430" i="8"/>
  <c r="G430" i="8" s="1"/>
  <c r="E429" i="8"/>
  <c r="E428" i="8"/>
  <c r="E427" i="8"/>
  <c r="G427" i="8" s="1"/>
  <c r="E426" i="8"/>
  <c r="E425" i="8"/>
  <c r="E424" i="8"/>
  <c r="E423" i="8"/>
  <c r="G423" i="8" s="1"/>
  <c r="E422" i="8"/>
  <c r="E421" i="8"/>
  <c r="F421" i="8" s="1"/>
  <c r="E420" i="8"/>
  <c r="F420" i="8" s="1"/>
  <c r="E419" i="8"/>
  <c r="F419" i="8" s="1"/>
  <c r="E418" i="8"/>
  <c r="G418" i="8" s="1"/>
  <c r="E417" i="8"/>
  <c r="F417" i="8" s="1"/>
  <c r="E416" i="8"/>
  <c r="G416" i="8" s="1"/>
  <c r="E415" i="8"/>
  <c r="G415" i="8" s="1"/>
  <c r="E414" i="8"/>
  <c r="G414" i="8" s="1"/>
  <c r="E413" i="8"/>
  <c r="F413" i="8" s="1"/>
  <c r="E412" i="8"/>
  <c r="G412" i="8" s="1"/>
  <c r="E411" i="8"/>
  <c r="F411" i="8" s="1"/>
  <c r="E410" i="8"/>
  <c r="G410" i="8" s="1"/>
  <c r="E409" i="8"/>
  <c r="F409" i="8" s="1"/>
  <c r="E408" i="8"/>
  <c r="G408" i="8" s="1"/>
  <c r="E407" i="8"/>
  <c r="G407" i="8" s="1"/>
  <c r="E406" i="8"/>
  <c r="E405" i="8"/>
  <c r="F405" i="8" s="1"/>
  <c r="E404" i="8"/>
  <c r="F404" i="8" s="1"/>
  <c r="E403" i="8"/>
  <c r="E402" i="8"/>
  <c r="F402" i="8" s="1"/>
  <c r="E401" i="8"/>
  <c r="E400" i="8"/>
  <c r="G400" i="8" s="1"/>
  <c r="E399" i="8"/>
  <c r="E398" i="8"/>
  <c r="E397" i="8"/>
  <c r="F397" i="8" s="1"/>
  <c r="E396" i="8"/>
  <c r="G396" i="8" s="1"/>
  <c r="E395" i="8"/>
  <c r="F395" i="8" s="1"/>
  <c r="E394" i="8"/>
  <c r="F394" i="8" s="1"/>
  <c r="E393" i="8"/>
  <c r="E392" i="8"/>
  <c r="E391" i="8"/>
  <c r="E390" i="8"/>
  <c r="G390" i="8" s="1"/>
  <c r="E389" i="8"/>
  <c r="F389" i="8" s="1"/>
  <c r="E388" i="8"/>
  <c r="F388" i="8" s="1"/>
  <c r="E387" i="8"/>
  <c r="F387" i="8" s="1"/>
  <c r="E386" i="8"/>
  <c r="E385" i="8"/>
  <c r="E384" i="8"/>
  <c r="G384" i="8" s="1"/>
  <c r="E383" i="8"/>
  <c r="F383" i="8" s="1"/>
  <c r="E382" i="8"/>
  <c r="F382" i="8" s="1"/>
  <c r="E381" i="8"/>
  <c r="E380" i="8"/>
  <c r="F380" i="8" s="1"/>
  <c r="E379" i="8"/>
  <c r="E378" i="8"/>
  <c r="G378" i="8" s="1"/>
  <c r="E377" i="8"/>
  <c r="E376" i="8"/>
  <c r="F376" i="8" s="1"/>
  <c r="E375" i="8"/>
  <c r="E374" i="8"/>
  <c r="E373" i="8"/>
  <c r="F373" i="8" s="1"/>
  <c r="E372" i="8"/>
  <c r="F372" i="8" s="1"/>
  <c r="E371" i="8"/>
  <c r="G371" i="8" s="1"/>
  <c r="E370" i="8"/>
  <c r="F370" i="8" s="1"/>
  <c r="E369" i="8"/>
  <c r="F369" i="8" s="1"/>
  <c r="E368" i="8"/>
  <c r="G368" i="8" s="1"/>
  <c r="E367" i="8"/>
  <c r="E366" i="8"/>
  <c r="G366" i="8" s="1"/>
  <c r="E365" i="8"/>
  <c r="F365" i="8" s="1"/>
  <c r="E364" i="8"/>
  <c r="G364" i="8" s="1"/>
  <c r="E363" i="8"/>
  <c r="F363" i="8" s="1"/>
  <c r="E362" i="8"/>
  <c r="G362" i="8" s="1"/>
  <c r="E361" i="8"/>
  <c r="E360" i="8"/>
  <c r="G360" i="8" s="1"/>
  <c r="E359" i="8"/>
  <c r="F359" i="8" s="1"/>
  <c r="E358" i="8"/>
  <c r="G358" i="8" s="1"/>
  <c r="E357" i="8"/>
  <c r="E356" i="8"/>
  <c r="G356" i="8" s="1"/>
  <c r="E355" i="8"/>
  <c r="G355" i="8" s="1"/>
  <c r="E354" i="8"/>
  <c r="E353" i="8"/>
  <c r="F353" i="8" s="1"/>
  <c r="E352" i="8"/>
  <c r="E351" i="8"/>
  <c r="E350" i="8"/>
  <c r="G350" i="8" s="1"/>
  <c r="E349" i="8"/>
  <c r="E348" i="8"/>
  <c r="E347" i="8"/>
  <c r="G347" i="8" s="1"/>
  <c r="E346" i="8"/>
  <c r="E345" i="8"/>
  <c r="E344" i="8"/>
  <c r="F344" i="8" s="1"/>
  <c r="E343" i="8"/>
  <c r="G343" i="8" s="1"/>
  <c r="E342" i="8"/>
  <c r="E341" i="8"/>
  <c r="E340" i="8"/>
  <c r="F340" i="8" s="1"/>
  <c r="E339" i="8"/>
  <c r="G339" i="8" s="1"/>
  <c r="E338" i="8"/>
  <c r="F338" i="8" s="1"/>
  <c r="E337" i="8"/>
  <c r="E336" i="8"/>
  <c r="G336" i="8" s="1"/>
  <c r="E335" i="8"/>
  <c r="E334" i="8"/>
  <c r="G334" i="8" s="1"/>
  <c r="E333" i="8"/>
  <c r="F333" i="8" s="1"/>
  <c r="E332" i="8"/>
  <c r="E331" i="8"/>
  <c r="F331" i="8" s="1"/>
  <c r="E330" i="8"/>
  <c r="E329" i="8"/>
  <c r="E328" i="8"/>
  <c r="F328" i="8" s="1"/>
  <c r="E327" i="8"/>
  <c r="G327" i="8" s="1"/>
  <c r="E326" i="8"/>
  <c r="G326" i="8" s="1"/>
  <c r="E325" i="8"/>
  <c r="E324" i="8"/>
  <c r="E323" i="8"/>
  <c r="G323" i="8" s="1"/>
  <c r="E322" i="8"/>
  <c r="G322" i="8" s="1"/>
  <c r="E321" i="8"/>
  <c r="E320" i="8"/>
  <c r="F320" i="8" s="1"/>
  <c r="E319" i="8"/>
  <c r="G319" i="8" s="1"/>
  <c r="E318" i="8"/>
  <c r="E317" i="8"/>
  <c r="E316" i="8"/>
  <c r="F316" i="8" s="1"/>
  <c r="E315" i="8"/>
  <c r="F315" i="8" s="1"/>
  <c r="E314" i="8"/>
  <c r="G314" i="8" s="1"/>
  <c r="E313" i="8"/>
  <c r="E312" i="8"/>
  <c r="E311" i="8"/>
  <c r="G311" i="8" s="1"/>
  <c r="E310" i="8"/>
  <c r="F310" i="8" s="1"/>
  <c r="E309" i="8"/>
  <c r="E308" i="8"/>
  <c r="F308" i="8" s="1"/>
  <c r="E307" i="8"/>
  <c r="E306" i="8"/>
  <c r="E305" i="8"/>
  <c r="E304" i="8"/>
  <c r="F304" i="8" s="1"/>
  <c r="E303" i="8"/>
  <c r="G303" i="8" s="1"/>
  <c r="E302" i="8"/>
  <c r="G302" i="8" s="1"/>
  <c r="E301" i="8"/>
  <c r="E300" i="8"/>
  <c r="E299" i="8"/>
  <c r="F299" i="8" s="1"/>
  <c r="E298" i="8"/>
  <c r="G298" i="8" s="1"/>
  <c r="E297" i="8"/>
  <c r="E296" i="8"/>
  <c r="G296" i="8" s="1"/>
  <c r="E295" i="8"/>
  <c r="F295" i="8" s="1"/>
  <c r="E294" i="8"/>
  <c r="E293" i="8"/>
  <c r="E292" i="8"/>
  <c r="E291" i="8"/>
  <c r="E290" i="8"/>
  <c r="F290" i="8" s="1"/>
  <c r="E289" i="8"/>
  <c r="E288" i="8"/>
  <c r="F288" i="8" s="1"/>
  <c r="E287" i="8"/>
  <c r="G287" i="8" s="1"/>
  <c r="E286" i="8"/>
  <c r="F286" i="8" s="1"/>
  <c r="E285" i="8"/>
  <c r="E284" i="8"/>
  <c r="F284" i="8" s="1"/>
  <c r="E283" i="8"/>
  <c r="F283" i="8" s="1"/>
  <c r="E282" i="8"/>
  <c r="G282" i="8" s="1"/>
  <c r="E281" i="8"/>
  <c r="E280" i="8"/>
  <c r="G280" i="8" s="1"/>
  <c r="E279" i="8"/>
  <c r="E278" i="8"/>
  <c r="G278" i="8" s="1"/>
  <c r="E277" i="8"/>
  <c r="E276" i="8"/>
  <c r="E275" i="8"/>
  <c r="G275" i="8" s="1"/>
  <c r="E274" i="8"/>
  <c r="F274" i="8" s="1"/>
  <c r="E273" i="8"/>
  <c r="E272" i="8"/>
  <c r="E271" i="8"/>
  <c r="G271" i="8" s="1"/>
  <c r="E270" i="8"/>
  <c r="F270" i="8" s="1"/>
  <c r="E269" i="8"/>
  <c r="E268" i="8"/>
  <c r="E267" i="8"/>
  <c r="E266" i="8"/>
  <c r="G266" i="8" s="1"/>
  <c r="E265" i="8"/>
  <c r="E264" i="8"/>
  <c r="G264" i="8" s="1"/>
  <c r="E263" i="8"/>
  <c r="G263" i="8" s="1"/>
  <c r="E262" i="8"/>
  <c r="G262" i="8" s="1"/>
  <c r="E261" i="8"/>
  <c r="E260" i="8"/>
  <c r="G260" i="8" s="1"/>
  <c r="E259" i="8"/>
  <c r="F259" i="8" s="1"/>
  <c r="E258" i="8"/>
  <c r="G258" i="8" s="1"/>
  <c r="E257" i="8"/>
  <c r="E256" i="8"/>
  <c r="G256" i="8" s="1"/>
  <c r="E255" i="8"/>
  <c r="F255" i="8" s="1"/>
  <c r="E254" i="8"/>
  <c r="G254" i="8" s="1"/>
  <c r="E253" i="8"/>
  <c r="E252" i="8"/>
  <c r="G252" i="8" s="1"/>
  <c r="E251" i="8"/>
  <c r="G251" i="8" s="1"/>
  <c r="E250" i="8"/>
  <c r="E249" i="8"/>
  <c r="E248" i="8"/>
  <c r="E247" i="8"/>
  <c r="E246" i="8"/>
  <c r="G246" i="8" s="1"/>
  <c r="E245" i="8"/>
  <c r="E244" i="8"/>
  <c r="G244" i="8" s="1"/>
  <c r="E243" i="8"/>
  <c r="E242" i="8"/>
  <c r="E241" i="8"/>
  <c r="E240" i="8"/>
  <c r="G240" i="8" s="1"/>
  <c r="E239" i="8"/>
  <c r="G239" i="8" s="1"/>
  <c r="E238" i="8"/>
  <c r="G238" i="8" s="1"/>
  <c r="E237" i="8"/>
  <c r="E236" i="8"/>
  <c r="F236" i="8" s="1"/>
  <c r="E235" i="8"/>
  <c r="F235" i="8" s="1"/>
  <c r="E234" i="8"/>
  <c r="E233" i="8"/>
  <c r="E232" i="8"/>
  <c r="G232" i="8" s="1"/>
  <c r="E231" i="8"/>
  <c r="G231" i="8" s="1"/>
  <c r="E230" i="8"/>
  <c r="G230" i="8" s="1"/>
  <c r="E229" i="8"/>
  <c r="E228" i="8"/>
  <c r="G228" i="8" s="1"/>
  <c r="E227" i="8"/>
  <c r="G227" i="8" s="1"/>
  <c r="E226" i="8"/>
  <c r="E225" i="8"/>
  <c r="E224" i="8"/>
  <c r="E223" i="8"/>
  <c r="E222" i="8"/>
  <c r="E221" i="8"/>
  <c r="E220" i="8"/>
  <c r="G220" i="8" s="1"/>
  <c r="E219" i="8"/>
  <c r="F219" i="8" s="1"/>
  <c r="E218" i="8"/>
  <c r="E217" i="8"/>
  <c r="E216" i="8"/>
  <c r="E215" i="8"/>
  <c r="F215" i="8" s="1"/>
  <c r="E214" i="8"/>
  <c r="E213" i="8"/>
  <c r="E212" i="8"/>
  <c r="G212" i="8" s="1"/>
  <c r="E211" i="8"/>
  <c r="F211" i="8" s="1"/>
  <c r="E210" i="8"/>
  <c r="E209" i="8"/>
  <c r="E208" i="8"/>
  <c r="F208" i="8" s="1"/>
  <c r="E207" i="8"/>
  <c r="G207" i="8" s="1"/>
  <c r="E206" i="8"/>
  <c r="G206" i="8" s="1"/>
  <c r="E205" i="8"/>
  <c r="E204" i="8"/>
  <c r="E203" i="8"/>
  <c r="G203" i="8" s="1"/>
  <c r="E202" i="8"/>
  <c r="G202" i="8" s="1"/>
  <c r="E201" i="8"/>
  <c r="E200" i="8"/>
  <c r="F200" i="8" s="1"/>
  <c r="E199" i="8"/>
  <c r="E198" i="8"/>
  <c r="E197" i="8"/>
  <c r="E196" i="8"/>
  <c r="E195" i="8"/>
  <c r="G195" i="8" s="1"/>
  <c r="E194" i="8"/>
  <c r="F194" i="8" s="1"/>
  <c r="E193" i="8"/>
  <c r="E192" i="8"/>
  <c r="E191" i="8"/>
  <c r="G191" i="8" s="1"/>
  <c r="E190" i="8"/>
  <c r="F190" i="8" s="1"/>
  <c r="E189" i="8"/>
  <c r="E188" i="8"/>
  <c r="G188" i="8" s="1"/>
  <c r="E187" i="8"/>
  <c r="F187" i="8" s="1"/>
  <c r="E186" i="8"/>
  <c r="G186" i="8" s="1"/>
  <c r="E185" i="8"/>
  <c r="E184" i="8"/>
  <c r="G184" i="8" s="1"/>
  <c r="E183" i="8"/>
  <c r="G183" i="8" s="1"/>
  <c r="E182" i="8"/>
  <c r="G182" i="8" s="1"/>
  <c r="E181" i="8"/>
  <c r="E180" i="8"/>
  <c r="G180" i="8" s="1"/>
  <c r="E179" i="8"/>
  <c r="E178" i="8"/>
  <c r="G178" i="8" s="1"/>
  <c r="E177" i="8"/>
  <c r="E176" i="8"/>
  <c r="E175" i="8"/>
  <c r="G175" i="8" s="1"/>
  <c r="E174" i="8"/>
  <c r="F174" i="8" s="1"/>
  <c r="E173" i="8"/>
  <c r="E172" i="8"/>
  <c r="E171" i="8"/>
  <c r="E170" i="8"/>
  <c r="F170" i="8" s="1"/>
  <c r="E169" i="8"/>
  <c r="E168" i="8"/>
  <c r="G168" i="8" s="1"/>
  <c r="E167" i="8"/>
  <c r="G167" i="8" s="1"/>
  <c r="E166" i="8"/>
  <c r="G166" i="8" s="1"/>
  <c r="E165" i="8"/>
  <c r="E164" i="8"/>
  <c r="G164" i="8" s="1"/>
  <c r="E163" i="8"/>
  <c r="F163" i="8" s="1"/>
  <c r="E162" i="8"/>
  <c r="G162" i="8" s="1"/>
  <c r="E161" i="8"/>
  <c r="E160" i="8"/>
  <c r="G160" i="8" s="1"/>
  <c r="E159" i="8"/>
  <c r="E158" i="8"/>
  <c r="G158" i="8" s="1"/>
  <c r="E157" i="8"/>
  <c r="E156" i="8"/>
  <c r="G156" i="8" s="1"/>
  <c r="E155" i="8"/>
  <c r="G155" i="8" s="1"/>
  <c r="E154" i="8"/>
  <c r="G154" i="8" s="1"/>
  <c r="E153" i="8"/>
  <c r="E152" i="8"/>
  <c r="E151" i="8"/>
  <c r="E150" i="8"/>
  <c r="F150" i="8" s="1"/>
  <c r="E149" i="8"/>
  <c r="E148" i="8"/>
  <c r="G148" i="8" s="1"/>
  <c r="E147" i="8"/>
  <c r="E146" i="8"/>
  <c r="E145" i="8"/>
  <c r="E144" i="8"/>
  <c r="E143" i="8"/>
  <c r="G143" i="8" s="1"/>
  <c r="E142" i="8"/>
  <c r="E141" i="8"/>
  <c r="E140" i="8"/>
  <c r="F140" i="8" s="1"/>
  <c r="E139" i="8"/>
  <c r="F139" i="8" s="1"/>
  <c r="E138" i="8"/>
  <c r="E137" i="8"/>
  <c r="E136" i="8"/>
  <c r="E135" i="8"/>
  <c r="E134" i="8"/>
  <c r="E133" i="8"/>
  <c r="E132" i="8"/>
  <c r="F132" i="8" s="1"/>
  <c r="E131" i="8"/>
  <c r="E130" i="8"/>
  <c r="E129" i="8"/>
  <c r="E128" i="8"/>
  <c r="F128" i="8" s="1"/>
  <c r="E127" i="8"/>
  <c r="E126" i="8"/>
  <c r="E125" i="8"/>
  <c r="E124" i="8"/>
  <c r="E123" i="8"/>
  <c r="F123" i="8" s="1"/>
  <c r="E122" i="8"/>
  <c r="E121" i="8"/>
  <c r="E120" i="8"/>
  <c r="G120" i="8" s="1"/>
  <c r="E119" i="8"/>
  <c r="F119" i="8" s="1"/>
  <c r="E118" i="8"/>
  <c r="E117" i="8"/>
  <c r="E116" i="8"/>
  <c r="F116" i="8" s="1"/>
  <c r="E115" i="8"/>
  <c r="F115" i="8" s="1"/>
  <c r="E114" i="8"/>
  <c r="F114" i="8" s="1"/>
  <c r="E113" i="8"/>
  <c r="E112" i="8"/>
  <c r="E111" i="8"/>
  <c r="G111" i="8" s="1"/>
  <c r="E110" i="8"/>
  <c r="G110" i="8" s="1"/>
  <c r="E109" i="8"/>
  <c r="E108" i="8"/>
  <c r="G108" i="8" s="1"/>
  <c r="E107" i="8"/>
  <c r="F107" i="8" s="1"/>
  <c r="E106" i="8"/>
  <c r="F106" i="8" s="1"/>
  <c r="E105" i="8"/>
  <c r="E104" i="8"/>
  <c r="F104" i="8" s="1"/>
  <c r="E103" i="8"/>
  <c r="F103" i="8" s="1"/>
  <c r="E102" i="8"/>
  <c r="F102" i="8" s="1"/>
  <c r="E101" i="8"/>
  <c r="E100" i="8"/>
  <c r="F100" i="8" s="1"/>
  <c r="E99" i="8"/>
  <c r="E98" i="8"/>
  <c r="F98" i="8" s="1"/>
  <c r="E97" i="8"/>
  <c r="E96" i="8"/>
  <c r="E95" i="8"/>
  <c r="F95" i="8" s="1"/>
  <c r="E94" i="8"/>
  <c r="F94" i="8" s="1"/>
  <c r="E93" i="8"/>
  <c r="E92" i="8"/>
  <c r="F92" i="8" s="1"/>
  <c r="E91" i="8"/>
  <c r="G91" i="8" s="1"/>
  <c r="E90" i="8"/>
  <c r="G90" i="8" s="1"/>
  <c r="E89" i="8"/>
  <c r="E88" i="8"/>
  <c r="G88" i="8" s="1"/>
  <c r="E87" i="8"/>
  <c r="F87" i="8" s="1"/>
  <c r="E86" i="8"/>
  <c r="G86" i="8" s="1"/>
  <c r="E85" i="8"/>
  <c r="E84" i="8"/>
  <c r="G84" i="8" s="1"/>
  <c r="E83" i="8"/>
  <c r="E82" i="8"/>
  <c r="G82" i="8" s="1"/>
  <c r="E81" i="8"/>
  <c r="E80" i="8"/>
  <c r="G80" i="8" s="1"/>
  <c r="E79" i="8"/>
  <c r="E78" i="8"/>
  <c r="F78" i="8" s="1"/>
  <c r="E77" i="8"/>
  <c r="E76" i="8"/>
  <c r="G76" i="8" s="1"/>
  <c r="E75" i="8"/>
  <c r="E74" i="8"/>
  <c r="E73" i="8"/>
  <c r="E72" i="8"/>
  <c r="F72" i="8" s="1"/>
  <c r="E71" i="8"/>
  <c r="F71" i="8" s="1"/>
  <c r="E70" i="8"/>
  <c r="F70" i="8" s="1"/>
  <c r="E69" i="8"/>
  <c r="E68" i="8"/>
  <c r="F68" i="8" s="1"/>
  <c r="E67" i="8"/>
  <c r="F67" i="8" s="1"/>
  <c r="E66" i="8"/>
  <c r="F66" i="8" s="1"/>
  <c r="E65" i="8"/>
  <c r="E64" i="8"/>
  <c r="F64" i="8" s="1"/>
  <c r="E63" i="8"/>
  <c r="F63" i="8" s="1"/>
  <c r="E62" i="8"/>
  <c r="F62" i="8" s="1"/>
  <c r="E61" i="8"/>
  <c r="E60" i="8"/>
  <c r="F60" i="8" s="1"/>
  <c r="E59" i="8"/>
  <c r="G59" i="8" s="1"/>
  <c r="E58" i="8"/>
  <c r="G58" i="8" s="1"/>
  <c r="E57" i="8"/>
  <c r="E56" i="8"/>
  <c r="G56" i="8" s="1"/>
  <c r="E55" i="8"/>
  <c r="G55" i="8" s="1"/>
  <c r="E54" i="8"/>
  <c r="F54" i="8" s="1"/>
  <c r="E53" i="8"/>
  <c r="E52" i="8"/>
  <c r="E51" i="8"/>
  <c r="G51" i="8" s="1"/>
  <c r="E50" i="8"/>
  <c r="G50" i="8" s="1"/>
  <c r="E49" i="8"/>
  <c r="E48" i="8"/>
  <c r="E47" i="8"/>
  <c r="E46" i="8"/>
  <c r="E45" i="8"/>
  <c r="E44" i="8"/>
  <c r="F44" i="8" s="1"/>
  <c r="E43" i="8"/>
  <c r="E42" i="8"/>
  <c r="E41" i="8"/>
  <c r="E40" i="8"/>
  <c r="F40" i="8" s="1"/>
  <c r="E39" i="8"/>
  <c r="G39" i="8" s="1"/>
  <c r="E38" i="8"/>
  <c r="E37" i="8"/>
  <c r="E36" i="8"/>
  <c r="G36" i="8" s="1"/>
  <c r="E35" i="8"/>
  <c r="G35" i="8" s="1"/>
  <c r="E34" i="8"/>
  <c r="E33" i="8"/>
  <c r="E32" i="8"/>
  <c r="G32" i="8" s="1"/>
  <c r="E31" i="8"/>
  <c r="G31" i="8" s="1"/>
  <c r="E30" i="8"/>
  <c r="F30" i="8" s="1"/>
  <c r="E29" i="8"/>
  <c r="E28" i="8"/>
  <c r="G28" i="8" s="1"/>
  <c r="E27" i="8"/>
  <c r="G27" i="8" s="1"/>
  <c r="E26" i="8"/>
  <c r="G26" i="8" s="1"/>
  <c r="E25" i="8"/>
  <c r="E24" i="8"/>
  <c r="F24" i="8" s="1"/>
  <c r="E23" i="8"/>
  <c r="E22" i="8"/>
  <c r="E21" i="8"/>
  <c r="E20" i="8"/>
  <c r="E19" i="8"/>
  <c r="F19" i="8" s="1"/>
  <c r="E18" i="8"/>
  <c r="E17" i="8"/>
  <c r="E16" i="8"/>
  <c r="G16" i="8" s="1"/>
  <c r="E15" i="8"/>
  <c r="E14" i="8"/>
  <c r="F14" i="8" s="1"/>
  <c r="E13" i="8"/>
  <c r="E12" i="8"/>
  <c r="G12" i="8" s="1"/>
  <c r="E11" i="8"/>
  <c r="G11" i="8" s="1"/>
  <c r="E10" i="8"/>
  <c r="F10" i="8" s="1"/>
  <c r="E9" i="8"/>
  <c r="E8" i="8"/>
  <c r="G8" i="8" s="1"/>
  <c r="E7" i="8"/>
  <c r="G7" i="8" s="1"/>
  <c r="E6" i="8"/>
  <c r="F6" i="8" s="1"/>
  <c r="E5" i="8"/>
  <c r="F5" i="8" s="1"/>
  <c r="E4" i="8"/>
  <c r="F4" i="8" s="1"/>
  <c r="E3" i="8"/>
  <c r="E2" i="8"/>
  <c r="G2" i="8" s="1"/>
  <c r="E1442" i="7"/>
  <c r="E1441" i="7"/>
  <c r="E1440" i="7"/>
  <c r="E1439" i="7"/>
  <c r="E1438" i="7"/>
  <c r="E1437" i="7"/>
  <c r="E1436" i="7"/>
  <c r="E1435" i="7"/>
  <c r="E1434" i="7"/>
  <c r="E1433" i="7"/>
  <c r="E1432" i="7"/>
  <c r="E1431" i="7"/>
  <c r="E1430" i="7"/>
  <c r="E1429" i="7"/>
  <c r="E1428" i="7"/>
  <c r="E1427" i="7"/>
  <c r="E1426" i="7"/>
  <c r="E1425" i="7"/>
  <c r="E1424" i="7"/>
  <c r="E1423" i="7"/>
  <c r="E1422" i="7"/>
  <c r="E1421" i="7"/>
  <c r="E1420" i="7"/>
  <c r="E1419" i="7"/>
  <c r="E1418" i="7"/>
  <c r="E1417" i="7"/>
  <c r="E1416" i="7"/>
  <c r="E1415" i="7"/>
  <c r="E1414" i="7"/>
  <c r="E1413" i="7"/>
  <c r="E1412" i="7"/>
  <c r="E1411" i="7"/>
  <c r="E1410" i="7"/>
  <c r="E1409" i="7"/>
  <c r="E1408" i="7"/>
  <c r="E1407" i="7"/>
  <c r="E1406" i="7"/>
  <c r="E1405" i="7"/>
  <c r="E1404" i="7"/>
  <c r="E1403" i="7"/>
  <c r="E1402" i="7"/>
  <c r="E1401" i="7"/>
  <c r="E1400" i="7"/>
  <c r="E1399" i="7"/>
  <c r="E1398" i="7"/>
  <c r="E1397" i="7"/>
  <c r="E1396" i="7"/>
  <c r="E1395" i="7"/>
  <c r="E1394" i="7"/>
  <c r="E1393" i="7"/>
  <c r="E1392" i="7"/>
  <c r="E1391" i="7"/>
  <c r="E1390" i="7"/>
  <c r="E1389" i="7"/>
  <c r="E1388" i="7"/>
  <c r="E1387" i="7"/>
  <c r="E1386" i="7"/>
  <c r="E1385" i="7"/>
  <c r="E1384" i="7"/>
  <c r="E1383" i="7"/>
  <c r="E1382" i="7"/>
  <c r="E1381" i="7"/>
  <c r="E1380" i="7"/>
  <c r="E1379" i="7"/>
  <c r="E1378" i="7"/>
  <c r="E1377" i="7"/>
  <c r="E1376" i="7"/>
  <c r="E1375" i="7"/>
  <c r="E1374" i="7"/>
  <c r="E1373" i="7"/>
  <c r="E1372" i="7"/>
  <c r="E1371" i="7"/>
  <c r="E1370" i="7"/>
  <c r="E1369" i="7"/>
  <c r="E1368" i="7"/>
  <c r="E1367" i="7"/>
  <c r="E1366" i="7"/>
  <c r="E1365" i="7"/>
  <c r="E1364" i="7"/>
  <c r="E1363" i="7"/>
  <c r="E1362" i="7"/>
  <c r="E1361" i="7"/>
  <c r="E1360" i="7"/>
  <c r="E1359" i="7"/>
  <c r="E1358" i="7"/>
  <c r="E1357" i="7"/>
  <c r="E1356" i="7"/>
  <c r="E1355" i="7"/>
  <c r="E1354" i="7"/>
  <c r="E1353" i="7"/>
  <c r="E1352" i="7"/>
  <c r="E1351" i="7"/>
  <c r="E1350" i="7"/>
  <c r="E1349" i="7"/>
  <c r="E1348" i="7"/>
  <c r="E1347" i="7"/>
  <c r="E1346" i="7"/>
  <c r="E1345" i="7"/>
  <c r="E1344" i="7"/>
  <c r="E1343" i="7"/>
  <c r="E1342" i="7"/>
  <c r="E1341" i="7"/>
  <c r="E1340" i="7"/>
  <c r="E1339" i="7"/>
  <c r="E1338" i="7"/>
  <c r="E1337" i="7"/>
  <c r="E1336" i="7"/>
  <c r="E1335" i="7"/>
  <c r="E1334" i="7"/>
  <c r="E1333" i="7"/>
  <c r="E1332" i="7"/>
  <c r="E1331" i="7"/>
  <c r="E1330" i="7"/>
  <c r="E1329" i="7"/>
  <c r="E1328" i="7"/>
  <c r="E1327" i="7"/>
  <c r="E1326" i="7"/>
  <c r="E1325" i="7"/>
  <c r="E1324" i="7"/>
  <c r="E1323" i="7"/>
  <c r="E1322" i="7"/>
  <c r="E1321" i="7"/>
  <c r="E1320" i="7"/>
  <c r="E1319" i="7"/>
  <c r="E1318" i="7"/>
  <c r="E1317" i="7"/>
  <c r="E1316" i="7"/>
  <c r="E1315" i="7"/>
  <c r="E1314" i="7"/>
  <c r="E1313" i="7"/>
  <c r="E1312" i="7"/>
  <c r="E1311" i="7"/>
  <c r="E1310" i="7"/>
  <c r="E1309" i="7"/>
  <c r="E1308" i="7"/>
  <c r="E1307" i="7"/>
  <c r="E1306" i="7"/>
  <c r="E1305" i="7"/>
  <c r="E1304" i="7"/>
  <c r="E1303" i="7"/>
  <c r="E1302" i="7"/>
  <c r="E1301" i="7"/>
  <c r="E1300" i="7"/>
  <c r="E1299" i="7"/>
  <c r="E1298" i="7"/>
  <c r="E1297" i="7"/>
  <c r="E1296" i="7"/>
  <c r="E1295" i="7"/>
  <c r="E1294" i="7"/>
  <c r="E1293" i="7"/>
  <c r="E1292" i="7"/>
  <c r="E1291" i="7"/>
  <c r="E1290" i="7"/>
  <c r="E1289" i="7"/>
  <c r="E1288" i="7"/>
  <c r="E1287" i="7"/>
  <c r="E1286" i="7"/>
  <c r="E1285" i="7"/>
  <c r="E1284" i="7"/>
  <c r="E1283" i="7"/>
  <c r="E1282" i="7"/>
  <c r="E1281" i="7"/>
  <c r="E1280" i="7"/>
  <c r="E1279" i="7"/>
  <c r="E1278" i="7"/>
  <c r="E1277" i="7"/>
  <c r="E1276" i="7"/>
  <c r="E1275" i="7"/>
  <c r="E1274" i="7"/>
  <c r="E1273" i="7"/>
  <c r="E1272" i="7"/>
  <c r="E1271" i="7"/>
  <c r="E1270" i="7"/>
  <c r="E1269" i="7"/>
  <c r="E1268" i="7"/>
  <c r="E1267" i="7"/>
  <c r="E1266" i="7"/>
  <c r="E1265" i="7"/>
  <c r="E1264" i="7"/>
  <c r="E1263" i="7"/>
  <c r="E1262" i="7"/>
  <c r="E1261" i="7"/>
  <c r="E1260" i="7"/>
  <c r="E1259" i="7"/>
  <c r="E1258" i="7"/>
  <c r="E1257" i="7"/>
  <c r="E1256" i="7"/>
  <c r="E1255" i="7"/>
  <c r="E1254" i="7"/>
  <c r="E1253" i="7"/>
  <c r="E1252" i="7"/>
  <c r="E1251" i="7"/>
  <c r="E1250" i="7"/>
  <c r="E1249" i="7"/>
  <c r="E1248" i="7"/>
  <c r="E1247" i="7"/>
  <c r="E1246" i="7"/>
  <c r="E1245" i="7"/>
  <c r="E1244" i="7"/>
  <c r="E1243" i="7"/>
  <c r="E1242" i="7"/>
  <c r="E1241" i="7"/>
  <c r="E1240" i="7"/>
  <c r="E1239" i="7"/>
  <c r="E1238" i="7"/>
  <c r="E1237" i="7"/>
  <c r="E1236" i="7"/>
  <c r="E1235" i="7"/>
  <c r="E1234" i="7"/>
  <c r="E1233" i="7"/>
  <c r="E1232" i="7"/>
  <c r="E1231" i="7"/>
  <c r="E1230" i="7"/>
  <c r="E1229" i="7"/>
  <c r="E1228" i="7"/>
  <c r="E1227" i="7"/>
  <c r="E1226" i="7"/>
  <c r="E1225" i="7"/>
  <c r="E1224" i="7"/>
  <c r="E1223" i="7"/>
  <c r="E1222" i="7"/>
  <c r="E1221" i="7"/>
  <c r="E1220" i="7"/>
  <c r="E1219" i="7"/>
  <c r="E1218" i="7"/>
  <c r="E1217" i="7"/>
  <c r="E1216" i="7"/>
  <c r="E1215" i="7"/>
  <c r="E1214" i="7"/>
  <c r="E1213" i="7"/>
  <c r="E1212" i="7"/>
  <c r="E1211" i="7"/>
  <c r="E1210" i="7"/>
  <c r="E1209" i="7"/>
  <c r="E1208" i="7"/>
  <c r="E1207" i="7"/>
  <c r="E1206" i="7"/>
  <c r="E1205" i="7"/>
  <c r="E1204" i="7"/>
  <c r="E1203" i="7"/>
  <c r="E1202" i="7"/>
  <c r="E1201" i="7"/>
  <c r="E1200" i="7"/>
  <c r="E1199" i="7"/>
  <c r="E1198" i="7"/>
  <c r="E1197" i="7"/>
  <c r="E1196" i="7"/>
  <c r="E1195" i="7"/>
  <c r="E1194" i="7"/>
  <c r="E1193" i="7"/>
  <c r="E1192" i="7"/>
  <c r="E1191" i="7"/>
  <c r="E1190" i="7"/>
  <c r="E1189" i="7"/>
  <c r="E1188" i="7"/>
  <c r="E1187" i="7"/>
  <c r="E1186" i="7"/>
  <c r="E1185" i="7"/>
  <c r="E1184" i="7"/>
  <c r="E1183" i="7"/>
  <c r="E1182" i="7"/>
  <c r="E1181" i="7"/>
  <c r="E1180" i="7"/>
  <c r="E1179" i="7"/>
  <c r="E1178" i="7"/>
  <c r="E1177" i="7"/>
  <c r="E1176" i="7"/>
  <c r="E1175" i="7"/>
  <c r="E1174" i="7"/>
  <c r="E1173" i="7"/>
  <c r="E1172" i="7"/>
  <c r="E1171" i="7"/>
  <c r="E1170" i="7"/>
  <c r="E1169" i="7"/>
  <c r="E1168" i="7"/>
  <c r="E1167" i="7"/>
  <c r="E1166" i="7"/>
  <c r="E1165" i="7"/>
  <c r="E1164" i="7"/>
  <c r="E1163" i="7"/>
  <c r="E1162" i="7"/>
  <c r="E1161" i="7"/>
  <c r="E1160" i="7"/>
  <c r="E1159" i="7"/>
  <c r="E1158" i="7"/>
  <c r="E1157" i="7"/>
  <c r="E1156" i="7"/>
  <c r="E1155" i="7"/>
  <c r="E1154" i="7"/>
  <c r="E1153" i="7"/>
  <c r="E1152" i="7"/>
  <c r="E1151" i="7"/>
  <c r="E1150" i="7"/>
  <c r="E1149" i="7"/>
  <c r="E1148" i="7"/>
  <c r="E1147" i="7"/>
  <c r="E1146" i="7"/>
  <c r="E1145" i="7"/>
  <c r="E1144" i="7"/>
  <c r="E1143" i="7"/>
  <c r="E1142" i="7"/>
  <c r="E1141" i="7"/>
  <c r="E1140" i="7"/>
  <c r="E1139" i="7"/>
  <c r="E1138" i="7"/>
  <c r="E1137" i="7"/>
  <c r="E1136" i="7"/>
  <c r="E1135" i="7"/>
  <c r="E1134" i="7"/>
  <c r="E1133" i="7"/>
  <c r="E1132" i="7"/>
  <c r="E1131" i="7"/>
  <c r="E1130" i="7"/>
  <c r="E1129" i="7"/>
  <c r="E1128" i="7"/>
  <c r="E1127" i="7"/>
  <c r="E1126" i="7"/>
  <c r="E1125" i="7"/>
  <c r="E1124" i="7"/>
  <c r="E1123" i="7"/>
  <c r="E1122" i="7"/>
  <c r="E1121" i="7"/>
  <c r="E1120" i="7"/>
  <c r="E1119" i="7"/>
  <c r="E1118" i="7"/>
  <c r="E1117" i="7"/>
  <c r="E1116" i="7"/>
  <c r="E1115" i="7"/>
  <c r="E1114" i="7"/>
  <c r="E1113" i="7"/>
  <c r="E1112" i="7"/>
  <c r="E1111" i="7"/>
  <c r="E1110" i="7"/>
  <c r="E1109" i="7"/>
  <c r="E1108" i="7"/>
  <c r="E1107" i="7"/>
  <c r="E1106" i="7"/>
  <c r="E1105" i="7"/>
  <c r="E1104" i="7"/>
  <c r="E1103" i="7"/>
  <c r="E1102" i="7"/>
  <c r="E1101" i="7"/>
  <c r="E1100" i="7"/>
  <c r="E1099" i="7"/>
  <c r="E1098" i="7"/>
  <c r="E1097" i="7"/>
  <c r="E1096" i="7"/>
  <c r="E1095" i="7"/>
  <c r="E1094" i="7"/>
  <c r="E1093" i="7"/>
  <c r="E1092" i="7"/>
  <c r="E1091" i="7"/>
  <c r="E1090" i="7"/>
  <c r="E1089" i="7"/>
  <c r="E1088" i="7"/>
  <c r="E1087" i="7"/>
  <c r="E1086" i="7"/>
  <c r="E1085" i="7"/>
  <c r="E1084" i="7"/>
  <c r="E1083" i="7"/>
  <c r="E1082" i="7"/>
  <c r="E1081" i="7"/>
  <c r="E1080" i="7"/>
  <c r="E1079" i="7"/>
  <c r="E1078" i="7"/>
  <c r="E1077" i="7"/>
  <c r="E1076" i="7"/>
  <c r="E1075" i="7"/>
  <c r="E1074" i="7"/>
  <c r="E1073" i="7"/>
  <c r="E1072" i="7"/>
  <c r="E1071" i="7"/>
  <c r="E1070" i="7"/>
  <c r="E1069" i="7"/>
  <c r="E1068" i="7"/>
  <c r="E1067" i="7"/>
  <c r="E1066" i="7"/>
  <c r="E1065" i="7"/>
  <c r="E1064" i="7"/>
  <c r="E1063" i="7"/>
  <c r="E1062" i="7"/>
  <c r="E1061" i="7"/>
  <c r="E1060" i="7"/>
  <c r="E1059" i="7"/>
  <c r="E1058" i="7"/>
  <c r="E1057" i="7"/>
  <c r="E1056" i="7"/>
  <c r="E1055" i="7"/>
  <c r="E1054" i="7"/>
  <c r="E1053" i="7"/>
  <c r="E1052" i="7"/>
  <c r="E1051" i="7"/>
  <c r="E1050" i="7"/>
  <c r="E1049" i="7"/>
  <c r="E1048" i="7"/>
  <c r="E1047" i="7"/>
  <c r="E1046" i="7"/>
  <c r="E1045" i="7"/>
  <c r="E1044" i="7"/>
  <c r="E1043" i="7"/>
  <c r="E1042" i="7"/>
  <c r="E1041" i="7"/>
  <c r="E1040" i="7"/>
  <c r="E1039" i="7"/>
  <c r="E1038" i="7"/>
  <c r="E1037" i="7"/>
  <c r="E1036" i="7"/>
  <c r="E1035" i="7"/>
  <c r="E1034" i="7"/>
  <c r="E1033" i="7"/>
  <c r="E1032" i="7"/>
  <c r="E1031" i="7"/>
  <c r="E1030" i="7"/>
  <c r="E1029" i="7"/>
  <c r="E1028" i="7"/>
  <c r="E1027" i="7"/>
  <c r="E1026" i="7"/>
  <c r="E1025" i="7"/>
  <c r="E1024" i="7"/>
  <c r="E1023" i="7"/>
  <c r="E1022" i="7"/>
  <c r="E1021" i="7"/>
  <c r="E1020" i="7"/>
  <c r="E1019" i="7"/>
  <c r="E1018" i="7"/>
  <c r="E1017" i="7"/>
  <c r="E1016" i="7"/>
  <c r="E1015" i="7"/>
  <c r="E1014" i="7"/>
  <c r="E1013" i="7"/>
  <c r="E1012" i="7"/>
  <c r="E1011" i="7"/>
  <c r="E1010" i="7"/>
  <c r="E1009" i="7"/>
  <c r="E1008" i="7"/>
  <c r="E1007" i="7"/>
  <c r="E1006" i="7"/>
  <c r="E1005" i="7"/>
  <c r="E1004" i="7"/>
  <c r="E1003" i="7"/>
  <c r="E1002" i="7"/>
  <c r="E1001" i="7"/>
  <c r="E1000" i="7"/>
  <c r="E999" i="7"/>
  <c r="E998" i="7"/>
  <c r="E997" i="7"/>
  <c r="E996" i="7"/>
  <c r="E995" i="7"/>
  <c r="E994" i="7"/>
  <c r="E993" i="7"/>
  <c r="E992" i="7"/>
  <c r="E991" i="7"/>
  <c r="E990" i="7"/>
  <c r="E989" i="7"/>
  <c r="E988" i="7"/>
  <c r="E987" i="7"/>
  <c r="E986" i="7"/>
  <c r="E985" i="7"/>
  <c r="E984" i="7"/>
  <c r="E983" i="7"/>
  <c r="E982" i="7"/>
  <c r="E981" i="7"/>
  <c r="E980" i="7"/>
  <c r="E979" i="7"/>
  <c r="E978" i="7"/>
  <c r="E977" i="7"/>
  <c r="E976" i="7"/>
  <c r="E975" i="7"/>
  <c r="E974" i="7"/>
  <c r="E973" i="7"/>
  <c r="E972" i="7"/>
  <c r="E971" i="7"/>
  <c r="E970" i="7"/>
  <c r="E969" i="7"/>
  <c r="E968" i="7"/>
  <c r="E967" i="7"/>
  <c r="E966" i="7"/>
  <c r="E965" i="7"/>
  <c r="E964" i="7"/>
  <c r="E963" i="7"/>
  <c r="E962" i="7"/>
  <c r="E961" i="7"/>
  <c r="E960" i="7"/>
  <c r="E959" i="7"/>
  <c r="E958" i="7"/>
  <c r="E957" i="7"/>
  <c r="E956" i="7"/>
  <c r="E955" i="7"/>
  <c r="E954" i="7"/>
  <c r="E953" i="7"/>
  <c r="E952" i="7"/>
  <c r="E951" i="7"/>
  <c r="E950" i="7"/>
  <c r="E949" i="7"/>
  <c r="E948" i="7"/>
  <c r="E947" i="7"/>
  <c r="E946" i="7"/>
  <c r="E945" i="7"/>
  <c r="E944" i="7"/>
  <c r="E943" i="7"/>
  <c r="E942" i="7"/>
  <c r="E941" i="7"/>
  <c r="E940" i="7"/>
  <c r="E939" i="7"/>
  <c r="E938" i="7"/>
  <c r="E937" i="7"/>
  <c r="E936" i="7"/>
  <c r="E935" i="7"/>
  <c r="E934" i="7"/>
  <c r="E933" i="7"/>
  <c r="E932" i="7"/>
  <c r="E931" i="7"/>
  <c r="E930" i="7"/>
  <c r="E929" i="7"/>
  <c r="E928" i="7"/>
  <c r="E927" i="7"/>
  <c r="E926" i="7"/>
  <c r="E925" i="7"/>
  <c r="E924" i="7"/>
  <c r="E923" i="7"/>
  <c r="E922" i="7"/>
  <c r="E921" i="7"/>
  <c r="E920" i="7"/>
  <c r="E919" i="7"/>
  <c r="E918" i="7"/>
  <c r="E917" i="7"/>
  <c r="E916" i="7"/>
  <c r="E915" i="7"/>
  <c r="E914" i="7"/>
  <c r="E913" i="7"/>
  <c r="E912" i="7"/>
  <c r="E911" i="7"/>
  <c r="E910" i="7"/>
  <c r="E909" i="7"/>
  <c r="E908" i="7"/>
  <c r="E907" i="7"/>
  <c r="E906" i="7"/>
  <c r="E905" i="7"/>
  <c r="E904" i="7"/>
  <c r="E903" i="7"/>
  <c r="E902" i="7"/>
  <c r="E901" i="7"/>
  <c r="E900" i="7"/>
  <c r="E899" i="7"/>
  <c r="E898" i="7"/>
  <c r="E897" i="7"/>
  <c r="E896" i="7"/>
  <c r="E895" i="7"/>
  <c r="E894" i="7"/>
  <c r="E893" i="7"/>
  <c r="E892" i="7"/>
  <c r="E891" i="7"/>
  <c r="E890" i="7"/>
  <c r="E889" i="7"/>
  <c r="E888" i="7"/>
  <c r="E887" i="7"/>
  <c r="E886" i="7"/>
  <c r="E885" i="7"/>
  <c r="E884" i="7"/>
  <c r="E883" i="7"/>
  <c r="E882" i="7"/>
  <c r="E881" i="7"/>
  <c r="E880" i="7"/>
  <c r="E879" i="7"/>
  <c r="E878" i="7"/>
  <c r="E877" i="7"/>
  <c r="E876" i="7"/>
  <c r="E875" i="7"/>
  <c r="E874" i="7"/>
  <c r="E873" i="7"/>
  <c r="E872" i="7"/>
  <c r="E871" i="7"/>
  <c r="E870" i="7"/>
  <c r="E869" i="7"/>
  <c r="E868" i="7"/>
  <c r="E867" i="7"/>
  <c r="E866" i="7"/>
  <c r="E865" i="7"/>
  <c r="E864" i="7"/>
  <c r="E863" i="7"/>
  <c r="E862" i="7"/>
  <c r="E861" i="7"/>
  <c r="E860" i="7"/>
  <c r="E859" i="7"/>
  <c r="E858" i="7"/>
  <c r="E857" i="7"/>
  <c r="E856" i="7"/>
  <c r="E855" i="7"/>
  <c r="E854" i="7"/>
  <c r="E853" i="7"/>
  <c r="E852" i="7"/>
  <c r="E851" i="7"/>
  <c r="E850" i="7"/>
  <c r="E849" i="7"/>
  <c r="E848" i="7"/>
  <c r="E847" i="7"/>
  <c r="E846" i="7"/>
  <c r="E845" i="7"/>
  <c r="E844" i="7"/>
  <c r="E843" i="7"/>
  <c r="E842" i="7"/>
  <c r="E841" i="7"/>
  <c r="E840" i="7"/>
  <c r="E839" i="7"/>
  <c r="E838" i="7"/>
  <c r="E837" i="7"/>
  <c r="E836" i="7"/>
  <c r="E835" i="7"/>
  <c r="E834" i="7"/>
  <c r="E833" i="7"/>
  <c r="E832" i="7"/>
  <c r="E831" i="7"/>
  <c r="E830" i="7"/>
  <c r="E829" i="7"/>
  <c r="E828" i="7"/>
  <c r="E827" i="7"/>
  <c r="E826" i="7"/>
  <c r="E825" i="7"/>
  <c r="E824" i="7"/>
  <c r="E823" i="7"/>
  <c r="E822" i="7"/>
  <c r="E821" i="7"/>
  <c r="E820" i="7"/>
  <c r="E819" i="7"/>
  <c r="E818" i="7"/>
  <c r="E817" i="7"/>
  <c r="E816" i="7"/>
  <c r="E815" i="7"/>
  <c r="E814" i="7"/>
  <c r="E813" i="7"/>
  <c r="E812" i="7"/>
  <c r="E811" i="7"/>
  <c r="E810" i="7"/>
  <c r="E809" i="7"/>
  <c r="E808" i="7"/>
  <c r="E807" i="7"/>
  <c r="E806" i="7"/>
  <c r="E805" i="7"/>
  <c r="E804" i="7"/>
  <c r="E803" i="7"/>
  <c r="E802" i="7"/>
  <c r="E801" i="7"/>
  <c r="E800" i="7"/>
  <c r="E799" i="7"/>
  <c r="E798" i="7"/>
  <c r="E797" i="7"/>
  <c r="E796" i="7"/>
  <c r="E795" i="7"/>
  <c r="E794" i="7"/>
  <c r="E793" i="7"/>
  <c r="E792" i="7"/>
  <c r="E791" i="7"/>
  <c r="E790" i="7"/>
  <c r="E789" i="7"/>
  <c r="E788" i="7"/>
  <c r="E787" i="7"/>
  <c r="E786" i="7"/>
  <c r="E785" i="7"/>
  <c r="E784" i="7"/>
  <c r="E783" i="7"/>
  <c r="E782" i="7"/>
  <c r="E781" i="7"/>
  <c r="E780" i="7"/>
  <c r="E779" i="7"/>
  <c r="E778" i="7"/>
  <c r="E777" i="7"/>
  <c r="E776" i="7"/>
  <c r="E775" i="7"/>
  <c r="E774" i="7"/>
  <c r="E773" i="7"/>
  <c r="E772" i="7"/>
  <c r="E771" i="7"/>
  <c r="E770" i="7"/>
  <c r="E769" i="7"/>
  <c r="E768" i="7"/>
  <c r="E767" i="7"/>
  <c r="E766" i="7"/>
  <c r="E765" i="7"/>
  <c r="E764" i="7"/>
  <c r="E763" i="7"/>
  <c r="E762" i="7"/>
  <c r="E761" i="7"/>
  <c r="E760" i="7"/>
  <c r="E759" i="7"/>
  <c r="E758" i="7"/>
  <c r="E757" i="7"/>
  <c r="E756" i="7"/>
  <c r="E755" i="7"/>
  <c r="E754" i="7"/>
  <c r="E753" i="7"/>
  <c r="E752" i="7"/>
  <c r="E751" i="7"/>
  <c r="E750" i="7"/>
  <c r="E749" i="7"/>
  <c r="E748" i="7"/>
  <c r="E747" i="7"/>
  <c r="E746" i="7"/>
  <c r="E745" i="7"/>
  <c r="E744" i="7"/>
  <c r="E743" i="7"/>
  <c r="E742" i="7"/>
  <c r="E741" i="7"/>
  <c r="E740" i="7"/>
  <c r="E739" i="7"/>
  <c r="E738" i="7"/>
  <c r="E737" i="7"/>
  <c r="E736" i="7"/>
  <c r="E735" i="7"/>
  <c r="E734" i="7"/>
  <c r="E733" i="7"/>
  <c r="E732" i="7"/>
  <c r="E731" i="7"/>
  <c r="E730" i="7"/>
  <c r="E729" i="7"/>
  <c r="E728" i="7"/>
  <c r="E727" i="7"/>
  <c r="E726" i="7"/>
  <c r="E725" i="7"/>
  <c r="E724" i="7"/>
  <c r="E723" i="7"/>
  <c r="E722" i="7"/>
  <c r="E721" i="7"/>
  <c r="E720" i="7"/>
  <c r="E719" i="7"/>
  <c r="E718" i="7"/>
  <c r="E717" i="7"/>
  <c r="E716" i="7"/>
  <c r="E715" i="7"/>
  <c r="E714" i="7"/>
  <c r="E713" i="7"/>
  <c r="E712" i="7"/>
  <c r="E711" i="7"/>
  <c r="E710" i="7"/>
  <c r="E709" i="7"/>
  <c r="E708" i="7"/>
  <c r="E707" i="7"/>
  <c r="E706" i="7"/>
  <c r="E705" i="7"/>
  <c r="E704" i="7"/>
  <c r="E703" i="7"/>
  <c r="E702" i="7"/>
  <c r="E701" i="7"/>
  <c r="E700" i="7"/>
  <c r="E699" i="7"/>
  <c r="E698" i="7"/>
  <c r="E697" i="7"/>
  <c r="E696" i="7"/>
  <c r="E695" i="7"/>
  <c r="E694" i="7"/>
  <c r="E693" i="7"/>
  <c r="E692" i="7"/>
  <c r="E691" i="7"/>
  <c r="E690" i="7"/>
  <c r="E689" i="7"/>
  <c r="E688" i="7"/>
  <c r="E687" i="7"/>
  <c r="E686" i="7"/>
  <c r="E685" i="7"/>
  <c r="E684" i="7"/>
  <c r="E683" i="7"/>
  <c r="E682" i="7"/>
  <c r="E681" i="7"/>
  <c r="E680" i="7"/>
  <c r="E679" i="7"/>
  <c r="E678" i="7"/>
  <c r="E677" i="7"/>
  <c r="E676" i="7"/>
  <c r="E675" i="7"/>
  <c r="E674" i="7"/>
  <c r="E673" i="7"/>
  <c r="E672" i="7"/>
  <c r="E671" i="7"/>
  <c r="E670" i="7"/>
  <c r="E669" i="7"/>
  <c r="E668" i="7"/>
  <c r="E667" i="7"/>
  <c r="E666" i="7"/>
  <c r="E665" i="7"/>
  <c r="E664" i="7"/>
  <c r="E663" i="7"/>
  <c r="E662" i="7"/>
  <c r="E661" i="7"/>
  <c r="E660" i="7"/>
  <c r="E659" i="7"/>
  <c r="E658" i="7"/>
  <c r="E657" i="7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K43" i="5" s="1"/>
  <c r="E177" i="7"/>
  <c r="E176" i="7"/>
  <c r="E175" i="7"/>
  <c r="K42" i="5" s="1"/>
  <c r="E174" i="7"/>
  <c r="E173" i="7"/>
  <c r="E172" i="7"/>
  <c r="E171" i="7"/>
  <c r="L42" i="5" s="1"/>
  <c r="E170" i="7"/>
  <c r="E169" i="7"/>
  <c r="J46" i="5" s="1"/>
  <c r="E168" i="7"/>
  <c r="E167" i="7"/>
  <c r="E166" i="7"/>
  <c r="L46" i="5" s="1"/>
  <c r="E165" i="7"/>
  <c r="L44" i="5" s="1"/>
  <c r="E164" i="7"/>
  <c r="L43" i="5" s="1"/>
  <c r="E163" i="7"/>
  <c r="K46" i="5" s="1"/>
  <c r="E162" i="7"/>
  <c r="E161" i="7"/>
  <c r="E160" i="7"/>
  <c r="E159" i="7"/>
  <c r="L36" i="5" s="1"/>
  <c r="E158" i="7"/>
  <c r="E157" i="7"/>
  <c r="E156" i="7"/>
  <c r="E155" i="7"/>
  <c r="E154" i="7"/>
  <c r="J34" i="5" s="1"/>
  <c r="E153" i="7"/>
  <c r="K34" i="5" s="1"/>
  <c r="E152" i="7"/>
  <c r="J33" i="5" s="1"/>
  <c r="E151" i="7"/>
  <c r="E150" i="7"/>
  <c r="L33" i="5" s="1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K32" i="5" s="1"/>
  <c r="E126" i="7"/>
  <c r="E125" i="7"/>
  <c r="E124" i="7"/>
  <c r="E123" i="7"/>
  <c r="K33" i="5" s="1"/>
  <c r="E122" i="7"/>
  <c r="E121" i="7"/>
  <c r="E120" i="7"/>
  <c r="E119" i="7"/>
  <c r="K25" i="5" s="1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L23" i="5" s="1"/>
  <c r="E91" i="7"/>
  <c r="E90" i="7"/>
  <c r="K23" i="5" s="1"/>
  <c r="E89" i="7"/>
  <c r="L22" i="5" s="1"/>
  <c r="E88" i="7"/>
  <c r="E87" i="7"/>
  <c r="E86" i="7"/>
  <c r="E85" i="7"/>
  <c r="K22" i="5" s="1"/>
  <c r="E84" i="7"/>
  <c r="J22" i="5" s="1"/>
  <c r="E83" i="7"/>
  <c r="J23" i="5" s="1"/>
  <c r="E82" i="7"/>
  <c r="E81" i="7"/>
  <c r="E80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E2" i="7"/>
  <c r="L361" i="5"/>
  <c r="K361" i="5"/>
  <c r="J361" i="5"/>
  <c r="I361" i="5"/>
  <c r="H361" i="5"/>
  <c r="G361" i="5"/>
  <c r="L360" i="5"/>
  <c r="K360" i="5"/>
  <c r="J360" i="5"/>
  <c r="I360" i="5"/>
  <c r="H360" i="5"/>
  <c r="G360" i="5"/>
  <c r="L359" i="5"/>
  <c r="K359" i="5"/>
  <c r="J359" i="5"/>
  <c r="I359" i="5"/>
  <c r="H359" i="5"/>
  <c r="G359" i="5"/>
  <c r="L358" i="5"/>
  <c r="K358" i="5"/>
  <c r="J358" i="5"/>
  <c r="I358" i="5"/>
  <c r="H358" i="5"/>
  <c r="G358" i="5"/>
  <c r="L357" i="5"/>
  <c r="K357" i="5"/>
  <c r="J357" i="5"/>
  <c r="I357" i="5"/>
  <c r="H357" i="5"/>
  <c r="G357" i="5"/>
  <c r="L356" i="5"/>
  <c r="K356" i="5"/>
  <c r="J356" i="5"/>
  <c r="I356" i="5"/>
  <c r="H356" i="5"/>
  <c r="G356" i="5"/>
  <c r="L355" i="5"/>
  <c r="K355" i="5"/>
  <c r="J355" i="5"/>
  <c r="I355" i="5"/>
  <c r="H355" i="5"/>
  <c r="G355" i="5"/>
  <c r="L354" i="5"/>
  <c r="K354" i="5"/>
  <c r="J354" i="5"/>
  <c r="I354" i="5"/>
  <c r="H354" i="5"/>
  <c r="G354" i="5"/>
  <c r="L353" i="5"/>
  <c r="K353" i="5"/>
  <c r="J353" i="5"/>
  <c r="I353" i="5"/>
  <c r="H353" i="5"/>
  <c r="G353" i="5"/>
  <c r="L352" i="5"/>
  <c r="K352" i="5"/>
  <c r="J352" i="5"/>
  <c r="I352" i="5"/>
  <c r="H352" i="5"/>
  <c r="G352" i="5"/>
  <c r="L351" i="5"/>
  <c r="K351" i="5"/>
  <c r="J351" i="5"/>
  <c r="I351" i="5"/>
  <c r="H351" i="5"/>
  <c r="G351" i="5"/>
  <c r="L350" i="5"/>
  <c r="K350" i="5"/>
  <c r="J350" i="5"/>
  <c r="I350" i="5"/>
  <c r="H350" i="5"/>
  <c r="G350" i="5"/>
  <c r="L349" i="5"/>
  <c r="K349" i="5"/>
  <c r="J349" i="5"/>
  <c r="I349" i="5"/>
  <c r="H349" i="5"/>
  <c r="G349" i="5"/>
  <c r="L348" i="5"/>
  <c r="K348" i="5"/>
  <c r="J348" i="5"/>
  <c r="I348" i="5"/>
  <c r="H348" i="5"/>
  <c r="G348" i="5"/>
  <c r="L347" i="5"/>
  <c r="K347" i="5"/>
  <c r="J347" i="5"/>
  <c r="I347" i="5"/>
  <c r="H347" i="5"/>
  <c r="G347" i="5"/>
  <c r="L346" i="5"/>
  <c r="K346" i="5"/>
  <c r="J346" i="5"/>
  <c r="I346" i="5"/>
  <c r="H346" i="5"/>
  <c r="G346" i="5"/>
  <c r="L345" i="5"/>
  <c r="K345" i="5"/>
  <c r="J345" i="5"/>
  <c r="I345" i="5"/>
  <c r="H345" i="5"/>
  <c r="G345" i="5"/>
  <c r="L344" i="5"/>
  <c r="K344" i="5"/>
  <c r="J344" i="5"/>
  <c r="I344" i="5"/>
  <c r="H344" i="5"/>
  <c r="G344" i="5"/>
  <c r="L343" i="5"/>
  <c r="K343" i="5"/>
  <c r="J343" i="5"/>
  <c r="I343" i="5"/>
  <c r="H343" i="5"/>
  <c r="G343" i="5"/>
  <c r="L342" i="5"/>
  <c r="K342" i="5"/>
  <c r="J342" i="5"/>
  <c r="I342" i="5"/>
  <c r="H342" i="5"/>
  <c r="G342" i="5"/>
  <c r="L341" i="5"/>
  <c r="K341" i="5"/>
  <c r="J341" i="5"/>
  <c r="I341" i="5"/>
  <c r="H341" i="5"/>
  <c r="G341" i="5"/>
  <c r="L340" i="5"/>
  <c r="K340" i="5"/>
  <c r="J340" i="5"/>
  <c r="I340" i="5"/>
  <c r="H340" i="5"/>
  <c r="G340" i="5"/>
  <c r="L339" i="5"/>
  <c r="K339" i="5"/>
  <c r="J339" i="5"/>
  <c r="I339" i="5"/>
  <c r="H339" i="5"/>
  <c r="G339" i="5"/>
  <c r="L338" i="5"/>
  <c r="K338" i="5"/>
  <c r="J338" i="5"/>
  <c r="I338" i="5"/>
  <c r="H338" i="5"/>
  <c r="G338" i="5"/>
  <c r="L337" i="5"/>
  <c r="K337" i="5"/>
  <c r="J337" i="5"/>
  <c r="I337" i="5"/>
  <c r="H337" i="5"/>
  <c r="G337" i="5"/>
  <c r="L336" i="5"/>
  <c r="K336" i="5"/>
  <c r="J336" i="5"/>
  <c r="I336" i="5"/>
  <c r="H336" i="5"/>
  <c r="G336" i="5"/>
  <c r="L335" i="5"/>
  <c r="K335" i="5"/>
  <c r="J335" i="5"/>
  <c r="I335" i="5"/>
  <c r="H335" i="5"/>
  <c r="G335" i="5"/>
  <c r="L334" i="5"/>
  <c r="K334" i="5"/>
  <c r="J334" i="5"/>
  <c r="I334" i="5"/>
  <c r="H334" i="5"/>
  <c r="G334" i="5"/>
  <c r="L333" i="5"/>
  <c r="K333" i="5"/>
  <c r="J333" i="5"/>
  <c r="I333" i="5"/>
  <c r="H333" i="5"/>
  <c r="G333" i="5"/>
  <c r="L332" i="5"/>
  <c r="K332" i="5"/>
  <c r="J332" i="5"/>
  <c r="I332" i="5"/>
  <c r="H332" i="5"/>
  <c r="G332" i="5"/>
  <c r="L331" i="5"/>
  <c r="K331" i="5"/>
  <c r="J331" i="5"/>
  <c r="I331" i="5"/>
  <c r="H331" i="5"/>
  <c r="G331" i="5"/>
  <c r="L330" i="5"/>
  <c r="K330" i="5"/>
  <c r="J330" i="5"/>
  <c r="I330" i="5"/>
  <c r="H330" i="5"/>
  <c r="G330" i="5"/>
  <c r="L329" i="5"/>
  <c r="K329" i="5"/>
  <c r="J329" i="5"/>
  <c r="I329" i="5"/>
  <c r="H329" i="5"/>
  <c r="G329" i="5"/>
  <c r="L328" i="5"/>
  <c r="K328" i="5"/>
  <c r="J328" i="5"/>
  <c r="I328" i="5"/>
  <c r="H328" i="5"/>
  <c r="G328" i="5"/>
  <c r="L327" i="5"/>
  <c r="K327" i="5"/>
  <c r="J327" i="5"/>
  <c r="I327" i="5"/>
  <c r="H327" i="5"/>
  <c r="G327" i="5"/>
  <c r="L326" i="5"/>
  <c r="K326" i="5"/>
  <c r="J326" i="5"/>
  <c r="I326" i="5"/>
  <c r="H326" i="5"/>
  <c r="G326" i="5"/>
  <c r="L325" i="5"/>
  <c r="K325" i="5"/>
  <c r="J325" i="5"/>
  <c r="I325" i="5"/>
  <c r="H325" i="5"/>
  <c r="G325" i="5"/>
  <c r="L324" i="5"/>
  <c r="K324" i="5"/>
  <c r="J324" i="5"/>
  <c r="I324" i="5"/>
  <c r="H324" i="5"/>
  <c r="G324" i="5"/>
  <c r="L323" i="5"/>
  <c r="K323" i="5"/>
  <c r="J323" i="5"/>
  <c r="I323" i="5"/>
  <c r="H323" i="5"/>
  <c r="G323" i="5"/>
  <c r="L322" i="5"/>
  <c r="K322" i="5"/>
  <c r="J322" i="5"/>
  <c r="I322" i="5"/>
  <c r="H322" i="5"/>
  <c r="G322" i="5"/>
  <c r="L321" i="5"/>
  <c r="K321" i="5"/>
  <c r="J321" i="5"/>
  <c r="I321" i="5"/>
  <c r="H321" i="5"/>
  <c r="G321" i="5"/>
  <c r="L320" i="5"/>
  <c r="K320" i="5"/>
  <c r="J320" i="5"/>
  <c r="I320" i="5"/>
  <c r="H320" i="5"/>
  <c r="G320" i="5"/>
  <c r="L319" i="5"/>
  <c r="K319" i="5"/>
  <c r="J319" i="5"/>
  <c r="I319" i="5"/>
  <c r="H319" i="5"/>
  <c r="G319" i="5"/>
  <c r="L318" i="5"/>
  <c r="K318" i="5"/>
  <c r="J318" i="5"/>
  <c r="I318" i="5"/>
  <c r="H318" i="5"/>
  <c r="G318" i="5"/>
  <c r="L317" i="5"/>
  <c r="K317" i="5"/>
  <c r="J317" i="5"/>
  <c r="I317" i="5"/>
  <c r="H317" i="5"/>
  <c r="G317" i="5"/>
  <c r="L316" i="5"/>
  <c r="K316" i="5"/>
  <c r="J316" i="5"/>
  <c r="I316" i="5"/>
  <c r="H316" i="5"/>
  <c r="G316" i="5"/>
  <c r="L315" i="5"/>
  <c r="K315" i="5"/>
  <c r="J315" i="5"/>
  <c r="I315" i="5"/>
  <c r="H315" i="5"/>
  <c r="G315" i="5"/>
  <c r="L314" i="5"/>
  <c r="K314" i="5"/>
  <c r="J314" i="5"/>
  <c r="I314" i="5"/>
  <c r="H314" i="5"/>
  <c r="G314" i="5"/>
  <c r="L313" i="5"/>
  <c r="K313" i="5"/>
  <c r="J313" i="5"/>
  <c r="I313" i="5"/>
  <c r="H313" i="5"/>
  <c r="G313" i="5"/>
  <c r="L312" i="5"/>
  <c r="K312" i="5"/>
  <c r="J312" i="5"/>
  <c r="I312" i="5"/>
  <c r="H312" i="5"/>
  <c r="G312" i="5"/>
  <c r="L311" i="5"/>
  <c r="K311" i="5"/>
  <c r="J311" i="5"/>
  <c r="I311" i="5"/>
  <c r="H311" i="5"/>
  <c r="G311" i="5"/>
  <c r="L310" i="5"/>
  <c r="K310" i="5"/>
  <c r="J310" i="5"/>
  <c r="I310" i="5"/>
  <c r="H310" i="5"/>
  <c r="G310" i="5"/>
  <c r="L309" i="5"/>
  <c r="K309" i="5"/>
  <c r="J309" i="5"/>
  <c r="I309" i="5"/>
  <c r="H309" i="5"/>
  <c r="G309" i="5"/>
  <c r="L308" i="5"/>
  <c r="K308" i="5"/>
  <c r="J308" i="5"/>
  <c r="I308" i="5"/>
  <c r="H308" i="5"/>
  <c r="G308" i="5"/>
  <c r="L307" i="5"/>
  <c r="K307" i="5"/>
  <c r="J307" i="5"/>
  <c r="I307" i="5"/>
  <c r="H307" i="5"/>
  <c r="G307" i="5"/>
  <c r="L306" i="5"/>
  <c r="K306" i="5"/>
  <c r="J306" i="5"/>
  <c r="I306" i="5"/>
  <c r="H306" i="5"/>
  <c r="G306" i="5"/>
  <c r="L305" i="5"/>
  <c r="K305" i="5"/>
  <c r="J305" i="5"/>
  <c r="I305" i="5"/>
  <c r="H305" i="5"/>
  <c r="G305" i="5"/>
  <c r="L304" i="5"/>
  <c r="K304" i="5"/>
  <c r="J304" i="5"/>
  <c r="I304" i="5"/>
  <c r="H304" i="5"/>
  <c r="G304" i="5"/>
  <c r="L303" i="5"/>
  <c r="K303" i="5"/>
  <c r="J303" i="5"/>
  <c r="I303" i="5"/>
  <c r="H303" i="5"/>
  <c r="G303" i="5"/>
  <c r="L302" i="5"/>
  <c r="K302" i="5"/>
  <c r="J302" i="5"/>
  <c r="I302" i="5"/>
  <c r="H302" i="5"/>
  <c r="G302" i="5"/>
  <c r="L301" i="5"/>
  <c r="K301" i="5"/>
  <c r="J301" i="5"/>
  <c r="I301" i="5"/>
  <c r="H301" i="5"/>
  <c r="G301" i="5"/>
  <c r="L300" i="5"/>
  <c r="K300" i="5"/>
  <c r="J300" i="5"/>
  <c r="I300" i="5"/>
  <c r="H300" i="5"/>
  <c r="G300" i="5"/>
  <c r="L299" i="5"/>
  <c r="K299" i="5"/>
  <c r="J299" i="5"/>
  <c r="I299" i="5"/>
  <c r="H299" i="5"/>
  <c r="G299" i="5"/>
  <c r="L298" i="5"/>
  <c r="K298" i="5"/>
  <c r="J298" i="5"/>
  <c r="I298" i="5"/>
  <c r="H298" i="5"/>
  <c r="G298" i="5"/>
  <c r="L297" i="5"/>
  <c r="K297" i="5"/>
  <c r="J297" i="5"/>
  <c r="I297" i="5"/>
  <c r="H297" i="5"/>
  <c r="G297" i="5"/>
  <c r="L296" i="5"/>
  <c r="K296" i="5"/>
  <c r="J296" i="5"/>
  <c r="I296" i="5"/>
  <c r="H296" i="5"/>
  <c r="G296" i="5"/>
  <c r="L295" i="5"/>
  <c r="K295" i="5"/>
  <c r="J295" i="5"/>
  <c r="I295" i="5"/>
  <c r="H295" i="5"/>
  <c r="G295" i="5"/>
  <c r="L294" i="5"/>
  <c r="K294" i="5"/>
  <c r="J294" i="5"/>
  <c r="I294" i="5"/>
  <c r="H294" i="5"/>
  <c r="G294" i="5"/>
  <c r="L293" i="5"/>
  <c r="K293" i="5"/>
  <c r="J293" i="5"/>
  <c r="I293" i="5"/>
  <c r="H293" i="5"/>
  <c r="G293" i="5"/>
  <c r="L292" i="5"/>
  <c r="K292" i="5"/>
  <c r="J292" i="5"/>
  <c r="I292" i="5"/>
  <c r="H292" i="5"/>
  <c r="G292" i="5"/>
  <c r="L291" i="5"/>
  <c r="K291" i="5"/>
  <c r="J291" i="5"/>
  <c r="I291" i="5"/>
  <c r="H291" i="5"/>
  <c r="G291" i="5"/>
  <c r="L290" i="5"/>
  <c r="K290" i="5"/>
  <c r="J290" i="5"/>
  <c r="I290" i="5"/>
  <c r="H290" i="5"/>
  <c r="G290" i="5"/>
  <c r="L289" i="5"/>
  <c r="K289" i="5"/>
  <c r="J289" i="5"/>
  <c r="I289" i="5"/>
  <c r="H289" i="5"/>
  <c r="G289" i="5"/>
  <c r="L288" i="5"/>
  <c r="K288" i="5"/>
  <c r="J288" i="5"/>
  <c r="I288" i="5"/>
  <c r="H288" i="5"/>
  <c r="G288" i="5"/>
  <c r="L287" i="5"/>
  <c r="K287" i="5"/>
  <c r="J287" i="5"/>
  <c r="I287" i="5"/>
  <c r="H287" i="5"/>
  <c r="G287" i="5"/>
  <c r="L286" i="5"/>
  <c r="K286" i="5"/>
  <c r="J286" i="5"/>
  <c r="I286" i="5"/>
  <c r="H286" i="5"/>
  <c r="G286" i="5"/>
  <c r="L285" i="5"/>
  <c r="K285" i="5"/>
  <c r="J285" i="5"/>
  <c r="I285" i="5"/>
  <c r="H285" i="5"/>
  <c r="G285" i="5"/>
  <c r="L284" i="5"/>
  <c r="K284" i="5"/>
  <c r="J284" i="5"/>
  <c r="I284" i="5"/>
  <c r="H284" i="5"/>
  <c r="G284" i="5"/>
  <c r="L283" i="5"/>
  <c r="K283" i="5"/>
  <c r="J283" i="5"/>
  <c r="I283" i="5"/>
  <c r="H283" i="5"/>
  <c r="G283" i="5"/>
  <c r="L282" i="5"/>
  <c r="K282" i="5"/>
  <c r="J282" i="5"/>
  <c r="I282" i="5"/>
  <c r="H282" i="5"/>
  <c r="G282" i="5"/>
  <c r="L281" i="5"/>
  <c r="K281" i="5"/>
  <c r="J281" i="5"/>
  <c r="I281" i="5"/>
  <c r="H281" i="5"/>
  <c r="G281" i="5"/>
  <c r="L280" i="5"/>
  <c r="K280" i="5"/>
  <c r="J280" i="5"/>
  <c r="I280" i="5"/>
  <c r="H280" i="5"/>
  <c r="G280" i="5"/>
  <c r="L279" i="5"/>
  <c r="K279" i="5"/>
  <c r="J279" i="5"/>
  <c r="I279" i="5"/>
  <c r="H279" i="5"/>
  <c r="G279" i="5"/>
  <c r="L278" i="5"/>
  <c r="K278" i="5"/>
  <c r="J278" i="5"/>
  <c r="I278" i="5"/>
  <c r="H278" i="5"/>
  <c r="G278" i="5"/>
  <c r="L277" i="5"/>
  <c r="K277" i="5"/>
  <c r="J277" i="5"/>
  <c r="I277" i="5"/>
  <c r="H277" i="5"/>
  <c r="G277" i="5"/>
  <c r="L276" i="5"/>
  <c r="K276" i="5"/>
  <c r="J276" i="5"/>
  <c r="I276" i="5"/>
  <c r="H276" i="5"/>
  <c r="G276" i="5"/>
  <c r="L275" i="5"/>
  <c r="K275" i="5"/>
  <c r="J275" i="5"/>
  <c r="I275" i="5"/>
  <c r="H275" i="5"/>
  <c r="G275" i="5"/>
  <c r="L274" i="5"/>
  <c r="K274" i="5"/>
  <c r="J274" i="5"/>
  <c r="I274" i="5"/>
  <c r="H274" i="5"/>
  <c r="G274" i="5"/>
  <c r="L273" i="5"/>
  <c r="K273" i="5"/>
  <c r="J273" i="5"/>
  <c r="I273" i="5"/>
  <c r="H273" i="5"/>
  <c r="G273" i="5"/>
  <c r="L272" i="5"/>
  <c r="K272" i="5"/>
  <c r="J272" i="5"/>
  <c r="I272" i="5"/>
  <c r="H272" i="5"/>
  <c r="G272" i="5"/>
  <c r="L271" i="5"/>
  <c r="K271" i="5"/>
  <c r="J271" i="5"/>
  <c r="I271" i="5"/>
  <c r="H271" i="5"/>
  <c r="G271" i="5"/>
  <c r="L270" i="5"/>
  <c r="K270" i="5"/>
  <c r="J270" i="5"/>
  <c r="I270" i="5"/>
  <c r="H270" i="5"/>
  <c r="G270" i="5"/>
  <c r="L269" i="5"/>
  <c r="K269" i="5"/>
  <c r="J269" i="5"/>
  <c r="I269" i="5"/>
  <c r="H269" i="5"/>
  <c r="G269" i="5"/>
  <c r="L268" i="5"/>
  <c r="K268" i="5"/>
  <c r="J268" i="5"/>
  <c r="I268" i="5"/>
  <c r="H268" i="5"/>
  <c r="G268" i="5"/>
  <c r="L267" i="5"/>
  <c r="K267" i="5"/>
  <c r="J267" i="5"/>
  <c r="I267" i="5"/>
  <c r="H267" i="5"/>
  <c r="G267" i="5"/>
  <c r="L266" i="5"/>
  <c r="K266" i="5"/>
  <c r="J266" i="5"/>
  <c r="I266" i="5"/>
  <c r="H266" i="5"/>
  <c r="G266" i="5"/>
  <c r="L265" i="5"/>
  <c r="K265" i="5"/>
  <c r="J265" i="5"/>
  <c r="I265" i="5"/>
  <c r="H265" i="5"/>
  <c r="G265" i="5"/>
  <c r="L264" i="5"/>
  <c r="K264" i="5"/>
  <c r="J264" i="5"/>
  <c r="I264" i="5"/>
  <c r="H264" i="5"/>
  <c r="G264" i="5"/>
  <c r="L263" i="5"/>
  <c r="K263" i="5"/>
  <c r="J263" i="5"/>
  <c r="I263" i="5"/>
  <c r="H263" i="5"/>
  <c r="G263" i="5"/>
  <c r="L262" i="5"/>
  <c r="K262" i="5"/>
  <c r="J262" i="5"/>
  <c r="I262" i="5"/>
  <c r="H262" i="5"/>
  <c r="G262" i="5"/>
  <c r="L261" i="5"/>
  <c r="K261" i="5"/>
  <c r="J261" i="5"/>
  <c r="I261" i="5"/>
  <c r="H261" i="5"/>
  <c r="G261" i="5"/>
  <c r="L260" i="5"/>
  <c r="K260" i="5"/>
  <c r="J260" i="5"/>
  <c r="I260" i="5"/>
  <c r="H260" i="5"/>
  <c r="G260" i="5"/>
  <c r="L259" i="5"/>
  <c r="K259" i="5"/>
  <c r="J259" i="5"/>
  <c r="I259" i="5"/>
  <c r="H259" i="5"/>
  <c r="G259" i="5"/>
  <c r="L258" i="5"/>
  <c r="K258" i="5"/>
  <c r="J258" i="5"/>
  <c r="I258" i="5"/>
  <c r="H258" i="5"/>
  <c r="G258" i="5"/>
  <c r="L257" i="5"/>
  <c r="K257" i="5"/>
  <c r="J257" i="5"/>
  <c r="I257" i="5"/>
  <c r="H257" i="5"/>
  <c r="G257" i="5"/>
  <c r="L256" i="5"/>
  <c r="K256" i="5"/>
  <c r="J256" i="5"/>
  <c r="I256" i="5"/>
  <c r="H256" i="5"/>
  <c r="G256" i="5"/>
  <c r="L255" i="5"/>
  <c r="K255" i="5"/>
  <c r="J255" i="5"/>
  <c r="I255" i="5"/>
  <c r="H255" i="5"/>
  <c r="G255" i="5"/>
  <c r="L254" i="5"/>
  <c r="K254" i="5"/>
  <c r="J254" i="5"/>
  <c r="I254" i="5"/>
  <c r="H254" i="5"/>
  <c r="G254" i="5"/>
  <c r="L253" i="5"/>
  <c r="K253" i="5"/>
  <c r="J253" i="5"/>
  <c r="I253" i="5"/>
  <c r="H253" i="5"/>
  <c r="G253" i="5"/>
  <c r="L252" i="5"/>
  <c r="K252" i="5"/>
  <c r="J252" i="5"/>
  <c r="I252" i="5"/>
  <c r="H252" i="5"/>
  <c r="G252" i="5"/>
  <c r="L251" i="5"/>
  <c r="K251" i="5"/>
  <c r="J251" i="5"/>
  <c r="I251" i="5"/>
  <c r="H251" i="5"/>
  <c r="G251" i="5"/>
  <c r="L250" i="5"/>
  <c r="K250" i="5"/>
  <c r="J250" i="5"/>
  <c r="I250" i="5"/>
  <c r="H250" i="5"/>
  <c r="G250" i="5"/>
  <c r="L249" i="5"/>
  <c r="K249" i="5"/>
  <c r="J249" i="5"/>
  <c r="I249" i="5"/>
  <c r="H249" i="5"/>
  <c r="G249" i="5"/>
  <c r="L248" i="5"/>
  <c r="K248" i="5"/>
  <c r="J248" i="5"/>
  <c r="I248" i="5"/>
  <c r="H248" i="5"/>
  <c r="G248" i="5"/>
  <c r="L247" i="5"/>
  <c r="K247" i="5"/>
  <c r="J247" i="5"/>
  <c r="I247" i="5"/>
  <c r="H247" i="5"/>
  <c r="G247" i="5"/>
  <c r="L246" i="5"/>
  <c r="K246" i="5"/>
  <c r="J246" i="5"/>
  <c r="I246" i="5"/>
  <c r="H246" i="5"/>
  <c r="G246" i="5"/>
  <c r="L245" i="5"/>
  <c r="K245" i="5"/>
  <c r="J245" i="5"/>
  <c r="I245" i="5"/>
  <c r="H245" i="5"/>
  <c r="G245" i="5"/>
  <c r="L244" i="5"/>
  <c r="K244" i="5"/>
  <c r="J244" i="5"/>
  <c r="I244" i="5"/>
  <c r="H244" i="5"/>
  <c r="G244" i="5"/>
  <c r="L243" i="5"/>
  <c r="K243" i="5"/>
  <c r="J243" i="5"/>
  <c r="I243" i="5"/>
  <c r="H243" i="5"/>
  <c r="G243" i="5"/>
  <c r="L242" i="5"/>
  <c r="K242" i="5"/>
  <c r="J242" i="5"/>
  <c r="I242" i="5"/>
  <c r="H242" i="5"/>
  <c r="G242" i="5"/>
  <c r="L241" i="5"/>
  <c r="K241" i="5"/>
  <c r="J241" i="5"/>
  <c r="I241" i="5"/>
  <c r="H241" i="5"/>
  <c r="G241" i="5"/>
  <c r="L240" i="5"/>
  <c r="K240" i="5"/>
  <c r="J240" i="5"/>
  <c r="I240" i="5"/>
  <c r="H240" i="5"/>
  <c r="G240" i="5"/>
  <c r="L239" i="5"/>
  <c r="K239" i="5"/>
  <c r="J239" i="5"/>
  <c r="I239" i="5"/>
  <c r="H239" i="5"/>
  <c r="G239" i="5"/>
  <c r="L238" i="5"/>
  <c r="K238" i="5"/>
  <c r="J238" i="5"/>
  <c r="I238" i="5"/>
  <c r="H238" i="5"/>
  <c r="G238" i="5"/>
  <c r="L237" i="5"/>
  <c r="K237" i="5"/>
  <c r="J237" i="5"/>
  <c r="I237" i="5"/>
  <c r="H237" i="5"/>
  <c r="G237" i="5"/>
  <c r="L236" i="5"/>
  <c r="K236" i="5"/>
  <c r="J236" i="5"/>
  <c r="I236" i="5"/>
  <c r="H236" i="5"/>
  <c r="G236" i="5"/>
  <c r="L235" i="5"/>
  <c r="K235" i="5"/>
  <c r="J235" i="5"/>
  <c r="I235" i="5"/>
  <c r="H235" i="5"/>
  <c r="G235" i="5"/>
  <c r="L234" i="5"/>
  <c r="K234" i="5"/>
  <c r="J234" i="5"/>
  <c r="I234" i="5"/>
  <c r="H234" i="5"/>
  <c r="G234" i="5"/>
  <c r="L233" i="5"/>
  <c r="K233" i="5"/>
  <c r="J233" i="5"/>
  <c r="I233" i="5"/>
  <c r="H233" i="5"/>
  <c r="G233" i="5"/>
  <c r="L232" i="5"/>
  <c r="K232" i="5"/>
  <c r="J232" i="5"/>
  <c r="I232" i="5"/>
  <c r="H232" i="5"/>
  <c r="G232" i="5"/>
  <c r="L231" i="5"/>
  <c r="K231" i="5"/>
  <c r="J231" i="5"/>
  <c r="I231" i="5"/>
  <c r="H231" i="5"/>
  <c r="G231" i="5"/>
  <c r="L230" i="5"/>
  <c r="K230" i="5"/>
  <c r="J230" i="5"/>
  <c r="I230" i="5"/>
  <c r="H230" i="5"/>
  <c r="G230" i="5"/>
  <c r="L229" i="5"/>
  <c r="K229" i="5"/>
  <c r="J229" i="5"/>
  <c r="I229" i="5"/>
  <c r="H229" i="5"/>
  <c r="G229" i="5"/>
  <c r="L228" i="5"/>
  <c r="K228" i="5"/>
  <c r="J228" i="5"/>
  <c r="I228" i="5"/>
  <c r="H228" i="5"/>
  <c r="G228" i="5"/>
  <c r="L227" i="5"/>
  <c r="K227" i="5"/>
  <c r="J227" i="5"/>
  <c r="I227" i="5"/>
  <c r="H227" i="5"/>
  <c r="G227" i="5"/>
  <c r="L226" i="5"/>
  <c r="K226" i="5"/>
  <c r="J226" i="5"/>
  <c r="I226" i="5"/>
  <c r="H226" i="5"/>
  <c r="G226" i="5"/>
  <c r="L225" i="5"/>
  <c r="K225" i="5"/>
  <c r="J225" i="5"/>
  <c r="I225" i="5"/>
  <c r="H225" i="5"/>
  <c r="G225" i="5"/>
  <c r="L224" i="5"/>
  <c r="K224" i="5"/>
  <c r="J224" i="5"/>
  <c r="I224" i="5"/>
  <c r="H224" i="5"/>
  <c r="G224" i="5"/>
  <c r="L223" i="5"/>
  <c r="K223" i="5"/>
  <c r="J223" i="5"/>
  <c r="I223" i="5"/>
  <c r="H223" i="5"/>
  <c r="G223" i="5"/>
  <c r="L222" i="5"/>
  <c r="K222" i="5"/>
  <c r="J222" i="5"/>
  <c r="I222" i="5"/>
  <c r="H222" i="5"/>
  <c r="G222" i="5"/>
  <c r="L221" i="5"/>
  <c r="K221" i="5"/>
  <c r="J221" i="5"/>
  <c r="I221" i="5"/>
  <c r="H221" i="5"/>
  <c r="G221" i="5"/>
  <c r="L220" i="5"/>
  <c r="K220" i="5"/>
  <c r="J220" i="5"/>
  <c r="I220" i="5"/>
  <c r="H220" i="5"/>
  <c r="G220" i="5"/>
  <c r="L219" i="5"/>
  <c r="K219" i="5"/>
  <c r="J219" i="5"/>
  <c r="I219" i="5"/>
  <c r="H219" i="5"/>
  <c r="G219" i="5"/>
  <c r="L218" i="5"/>
  <c r="K218" i="5"/>
  <c r="J218" i="5"/>
  <c r="I218" i="5"/>
  <c r="H218" i="5"/>
  <c r="G218" i="5"/>
  <c r="L217" i="5"/>
  <c r="K217" i="5"/>
  <c r="J217" i="5"/>
  <c r="I217" i="5"/>
  <c r="H217" i="5"/>
  <c r="G217" i="5"/>
  <c r="L216" i="5"/>
  <c r="K216" i="5"/>
  <c r="J216" i="5"/>
  <c r="I216" i="5"/>
  <c r="H216" i="5"/>
  <c r="G216" i="5"/>
  <c r="L215" i="5"/>
  <c r="K215" i="5"/>
  <c r="J215" i="5"/>
  <c r="I215" i="5"/>
  <c r="H215" i="5"/>
  <c r="G215" i="5"/>
  <c r="L214" i="5"/>
  <c r="K214" i="5"/>
  <c r="J214" i="5"/>
  <c r="I214" i="5"/>
  <c r="H214" i="5"/>
  <c r="G214" i="5"/>
  <c r="L213" i="5"/>
  <c r="K213" i="5"/>
  <c r="J213" i="5"/>
  <c r="I213" i="5"/>
  <c r="H213" i="5"/>
  <c r="G213" i="5"/>
  <c r="L212" i="5"/>
  <c r="K212" i="5"/>
  <c r="J212" i="5"/>
  <c r="I212" i="5"/>
  <c r="H212" i="5"/>
  <c r="G212" i="5"/>
  <c r="L211" i="5"/>
  <c r="K211" i="5"/>
  <c r="J211" i="5"/>
  <c r="I211" i="5"/>
  <c r="H211" i="5"/>
  <c r="G211" i="5"/>
  <c r="L210" i="5"/>
  <c r="K210" i="5"/>
  <c r="J210" i="5"/>
  <c r="I210" i="5"/>
  <c r="H210" i="5"/>
  <c r="G210" i="5"/>
  <c r="L209" i="5"/>
  <c r="K209" i="5"/>
  <c r="J209" i="5"/>
  <c r="I209" i="5"/>
  <c r="H209" i="5"/>
  <c r="G209" i="5"/>
  <c r="L208" i="5"/>
  <c r="K208" i="5"/>
  <c r="J208" i="5"/>
  <c r="I208" i="5"/>
  <c r="H208" i="5"/>
  <c r="G208" i="5"/>
  <c r="L207" i="5"/>
  <c r="K207" i="5"/>
  <c r="J207" i="5"/>
  <c r="I207" i="5"/>
  <c r="H207" i="5"/>
  <c r="G207" i="5"/>
  <c r="L206" i="5"/>
  <c r="K206" i="5"/>
  <c r="J206" i="5"/>
  <c r="I206" i="5"/>
  <c r="H206" i="5"/>
  <c r="G206" i="5"/>
  <c r="L205" i="5"/>
  <c r="K205" i="5"/>
  <c r="J205" i="5"/>
  <c r="I205" i="5"/>
  <c r="H205" i="5"/>
  <c r="G205" i="5"/>
  <c r="L204" i="5"/>
  <c r="K204" i="5"/>
  <c r="J204" i="5"/>
  <c r="I204" i="5"/>
  <c r="H204" i="5"/>
  <c r="G204" i="5"/>
  <c r="L203" i="5"/>
  <c r="K203" i="5"/>
  <c r="J203" i="5"/>
  <c r="I203" i="5"/>
  <c r="H203" i="5"/>
  <c r="G203" i="5"/>
  <c r="L202" i="5"/>
  <c r="K202" i="5"/>
  <c r="J202" i="5"/>
  <c r="I202" i="5"/>
  <c r="H202" i="5"/>
  <c r="G202" i="5"/>
  <c r="L201" i="5"/>
  <c r="K201" i="5"/>
  <c r="J201" i="5"/>
  <c r="I201" i="5"/>
  <c r="H201" i="5"/>
  <c r="G201" i="5"/>
  <c r="L200" i="5"/>
  <c r="K200" i="5"/>
  <c r="J200" i="5"/>
  <c r="I200" i="5"/>
  <c r="H200" i="5"/>
  <c r="G200" i="5"/>
  <c r="L199" i="5"/>
  <c r="K199" i="5"/>
  <c r="J199" i="5"/>
  <c r="I199" i="5"/>
  <c r="H199" i="5"/>
  <c r="G199" i="5"/>
  <c r="L198" i="5"/>
  <c r="K198" i="5"/>
  <c r="J198" i="5"/>
  <c r="I198" i="5"/>
  <c r="H198" i="5"/>
  <c r="G198" i="5"/>
  <c r="L197" i="5"/>
  <c r="K197" i="5"/>
  <c r="J197" i="5"/>
  <c r="I197" i="5"/>
  <c r="H197" i="5"/>
  <c r="G197" i="5"/>
  <c r="L196" i="5"/>
  <c r="K196" i="5"/>
  <c r="J196" i="5"/>
  <c r="I196" i="5"/>
  <c r="H196" i="5"/>
  <c r="G196" i="5"/>
  <c r="L195" i="5"/>
  <c r="K195" i="5"/>
  <c r="J195" i="5"/>
  <c r="I195" i="5"/>
  <c r="H195" i="5"/>
  <c r="G195" i="5"/>
  <c r="L194" i="5"/>
  <c r="K194" i="5"/>
  <c r="J194" i="5"/>
  <c r="I194" i="5"/>
  <c r="H194" i="5"/>
  <c r="G194" i="5"/>
  <c r="L193" i="5"/>
  <c r="K193" i="5"/>
  <c r="J193" i="5"/>
  <c r="I193" i="5"/>
  <c r="H193" i="5"/>
  <c r="G193" i="5"/>
  <c r="L192" i="5"/>
  <c r="K192" i="5"/>
  <c r="J192" i="5"/>
  <c r="I192" i="5"/>
  <c r="H192" i="5"/>
  <c r="G192" i="5"/>
  <c r="L191" i="5"/>
  <c r="K191" i="5"/>
  <c r="J191" i="5"/>
  <c r="I191" i="5"/>
  <c r="H191" i="5"/>
  <c r="G191" i="5"/>
  <c r="L190" i="5"/>
  <c r="K190" i="5"/>
  <c r="J190" i="5"/>
  <c r="I190" i="5"/>
  <c r="H190" i="5"/>
  <c r="G190" i="5"/>
  <c r="L189" i="5"/>
  <c r="K189" i="5"/>
  <c r="J189" i="5"/>
  <c r="I189" i="5"/>
  <c r="H189" i="5"/>
  <c r="G189" i="5"/>
  <c r="L188" i="5"/>
  <c r="K188" i="5"/>
  <c r="J188" i="5"/>
  <c r="I188" i="5"/>
  <c r="H188" i="5"/>
  <c r="G188" i="5"/>
  <c r="L187" i="5"/>
  <c r="K187" i="5"/>
  <c r="J187" i="5"/>
  <c r="I187" i="5"/>
  <c r="H187" i="5"/>
  <c r="G187" i="5"/>
  <c r="L186" i="5"/>
  <c r="K186" i="5"/>
  <c r="J186" i="5"/>
  <c r="I186" i="5"/>
  <c r="H186" i="5"/>
  <c r="G186" i="5"/>
  <c r="L185" i="5"/>
  <c r="K185" i="5"/>
  <c r="J185" i="5"/>
  <c r="I185" i="5"/>
  <c r="H185" i="5"/>
  <c r="G185" i="5"/>
  <c r="L184" i="5"/>
  <c r="K184" i="5"/>
  <c r="J184" i="5"/>
  <c r="I184" i="5"/>
  <c r="H184" i="5"/>
  <c r="G184" i="5"/>
  <c r="L183" i="5"/>
  <c r="K183" i="5"/>
  <c r="J183" i="5"/>
  <c r="I183" i="5"/>
  <c r="H183" i="5"/>
  <c r="G183" i="5"/>
  <c r="L182" i="5"/>
  <c r="K182" i="5"/>
  <c r="J182" i="5"/>
  <c r="I182" i="5"/>
  <c r="H182" i="5"/>
  <c r="G182" i="5"/>
  <c r="L181" i="5"/>
  <c r="K181" i="5"/>
  <c r="J181" i="5"/>
  <c r="I181" i="5"/>
  <c r="H181" i="5"/>
  <c r="G181" i="5"/>
  <c r="L180" i="5"/>
  <c r="K180" i="5"/>
  <c r="J180" i="5"/>
  <c r="I180" i="5"/>
  <c r="H180" i="5"/>
  <c r="G180" i="5"/>
  <c r="L179" i="5"/>
  <c r="K179" i="5"/>
  <c r="J179" i="5"/>
  <c r="I179" i="5"/>
  <c r="H179" i="5"/>
  <c r="G179" i="5"/>
  <c r="L178" i="5"/>
  <c r="K178" i="5"/>
  <c r="J178" i="5"/>
  <c r="I178" i="5"/>
  <c r="H178" i="5"/>
  <c r="G178" i="5"/>
  <c r="L177" i="5"/>
  <c r="K177" i="5"/>
  <c r="J177" i="5"/>
  <c r="I177" i="5"/>
  <c r="H177" i="5"/>
  <c r="G177" i="5"/>
  <c r="L176" i="5"/>
  <c r="K176" i="5"/>
  <c r="J176" i="5"/>
  <c r="I176" i="5"/>
  <c r="H176" i="5"/>
  <c r="G176" i="5"/>
  <c r="L175" i="5"/>
  <c r="K175" i="5"/>
  <c r="J175" i="5"/>
  <c r="I175" i="5"/>
  <c r="H175" i="5"/>
  <c r="G175" i="5"/>
  <c r="L174" i="5"/>
  <c r="K174" i="5"/>
  <c r="J174" i="5"/>
  <c r="I174" i="5"/>
  <c r="H174" i="5"/>
  <c r="G174" i="5"/>
  <c r="L173" i="5"/>
  <c r="K173" i="5"/>
  <c r="J173" i="5"/>
  <c r="I173" i="5"/>
  <c r="H173" i="5"/>
  <c r="G173" i="5"/>
  <c r="L172" i="5"/>
  <c r="K172" i="5"/>
  <c r="J172" i="5"/>
  <c r="I172" i="5"/>
  <c r="H172" i="5"/>
  <c r="G172" i="5"/>
  <c r="L171" i="5"/>
  <c r="K171" i="5"/>
  <c r="J171" i="5"/>
  <c r="I171" i="5"/>
  <c r="H171" i="5"/>
  <c r="G171" i="5"/>
  <c r="L170" i="5"/>
  <c r="K170" i="5"/>
  <c r="J170" i="5"/>
  <c r="I170" i="5"/>
  <c r="H170" i="5"/>
  <c r="G170" i="5"/>
  <c r="L169" i="5"/>
  <c r="K169" i="5"/>
  <c r="J169" i="5"/>
  <c r="I169" i="5"/>
  <c r="H169" i="5"/>
  <c r="G169" i="5"/>
  <c r="L168" i="5"/>
  <c r="K168" i="5"/>
  <c r="J168" i="5"/>
  <c r="I168" i="5"/>
  <c r="H168" i="5"/>
  <c r="G168" i="5"/>
  <c r="L167" i="5"/>
  <c r="K167" i="5"/>
  <c r="J167" i="5"/>
  <c r="I167" i="5"/>
  <c r="H167" i="5"/>
  <c r="G167" i="5"/>
  <c r="L166" i="5"/>
  <c r="K166" i="5"/>
  <c r="J166" i="5"/>
  <c r="I166" i="5"/>
  <c r="H166" i="5"/>
  <c r="G166" i="5"/>
  <c r="L165" i="5"/>
  <c r="K165" i="5"/>
  <c r="J165" i="5"/>
  <c r="I165" i="5"/>
  <c r="H165" i="5"/>
  <c r="G165" i="5"/>
  <c r="L164" i="5"/>
  <c r="K164" i="5"/>
  <c r="J164" i="5"/>
  <c r="I164" i="5"/>
  <c r="H164" i="5"/>
  <c r="G164" i="5"/>
  <c r="L163" i="5"/>
  <c r="K163" i="5"/>
  <c r="J163" i="5"/>
  <c r="I163" i="5"/>
  <c r="H163" i="5"/>
  <c r="G163" i="5"/>
  <c r="L162" i="5"/>
  <c r="K162" i="5"/>
  <c r="J162" i="5"/>
  <c r="I162" i="5"/>
  <c r="H162" i="5"/>
  <c r="G162" i="5"/>
  <c r="L161" i="5"/>
  <c r="K161" i="5"/>
  <c r="J161" i="5"/>
  <c r="I161" i="5"/>
  <c r="H161" i="5"/>
  <c r="G161" i="5"/>
  <c r="L160" i="5"/>
  <c r="K160" i="5"/>
  <c r="J160" i="5"/>
  <c r="I160" i="5"/>
  <c r="H160" i="5"/>
  <c r="G160" i="5"/>
  <c r="L159" i="5"/>
  <c r="K159" i="5"/>
  <c r="J159" i="5"/>
  <c r="I159" i="5"/>
  <c r="H159" i="5"/>
  <c r="G159" i="5"/>
  <c r="L158" i="5"/>
  <c r="K158" i="5"/>
  <c r="J158" i="5"/>
  <c r="I158" i="5"/>
  <c r="H158" i="5"/>
  <c r="G158" i="5"/>
  <c r="L157" i="5"/>
  <c r="K157" i="5"/>
  <c r="J157" i="5"/>
  <c r="I157" i="5"/>
  <c r="H157" i="5"/>
  <c r="G157" i="5"/>
  <c r="L156" i="5"/>
  <c r="K156" i="5"/>
  <c r="J156" i="5"/>
  <c r="I156" i="5"/>
  <c r="H156" i="5"/>
  <c r="G156" i="5"/>
  <c r="L155" i="5"/>
  <c r="K155" i="5"/>
  <c r="J155" i="5"/>
  <c r="I155" i="5"/>
  <c r="H155" i="5"/>
  <c r="G155" i="5"/>
  <c r="L154" i="5"/>
  <c r="K154" i="5"/>
  <c r="J154" i="5"/>
  <c r="I154" i="5"/>
  <c r="H154" i="5"/>
  <c r="G154" i="5"/>
  <c r="L153" i="5"/>
  <c r="K153" i="5"/>
  <c r="J153" i="5"/>
  <c r="I153" i="5"/>
  <c r="H153" i="5"/>
  <c r="G153" i="5"/>
  <c r="L152" i="5"/>
  <c r="K152" i="5"/>
  <c r="J152" i="5"/>
  <c r="I152" i="5"/>
  <c r="H152" i="5"/>
  <c r="G152" i="5"/>
  <c r="L151" i="5"/>
  <c r="K151" i="5"/>
  <c r="J151" i="5"/>
  <c r="I151" i="5"/>
  <c r="H151" i="5"/>
  <c r="G151" i="5"/>
  <c r="L150" i="5"/>
  <c r="K150" i="5"/>
  <c r="J150" i="5"/>
  <c r="I150" i="5"/>
  <c r="H150" i="5"/>
  <c r="G150" i="5"/>
  <c r="L149" i="5"/>
  <c r="K149" i="5"/>
  <c r="J149" i="5"/>
  <c r="I149" i="5"/>
  <c r="H149" i="5"/>
  <c r="G149" i="5"/>
  <c r="L148" i="5"/>
  <c r="K148" i="5"/>
  <c r="J148" i="5"/>
  <c r="I148" i="5"/>
  <c r="H148" i="5"/>
  <c r="G148" i="5"/>
  <c r="L147" i="5"/>
  <c r="K147" i="5"/>
  <c r="J147" i="5"/>
  <c r="I147" i="5"/>
  <c r="H147" i="5"/>
  <c r="G147" i="5"/>
  <c r="L146" i="5"/>
  <c r="K146" i="5"/>
  <c r="J146" i="5"/>
  <c r="I146" i="5"/>
  <c r="H146" i="5"/>
  <c r="G146" i="5"/>
  <c r="L145" i="5"/>
  <c r="K145" i="5"/>
  <c r="J145" i="5"/>
  <c r="I145" i="5"/>
  <c r="H145" i="5"/>
  <c r="G145" i="5"/>
  <c r="L144" i="5"/>
  <c r="K144" i="5"/>
  <c r="J144" i="5"/>
  <c r="I144" i="5"/>
  <c r="H144" i="5"/>
  <c r="G144" i="5"/>
  <c r="L143" i="5"/>
  <c r="K143" i="5"/>
  <c r="J143" i="5"/>
  <c r="I143" i="5"/>
  <c r="H143" i="5"/>
  <c r="G143" i="5"/>
  <c r="L142" i="5"/>
  <c r="K142" i="5"/>
  <c r="J142" i="5"/>
  <c r="I142" i="5"/>
  <c r="H142" i="5"/>
  <c r="G142" i="5"/>
  <c r="L141" i="5"/>
  <c r="K141" i="5"/>
  <c r="J141" i="5"/>
  <c r="I141" i="5"/>
  <c r="H141" i="5"/>
  <c r="G141" i="5"/>
  <c r="L140" i="5"/>
  <c r="K140" i="5"/>
  <c r="J140" i="5"/>
  <c r="I140" i="5"/>
  <c r="H140" i="5"/>
  <c r="G140" i="5"/>
  <c r="L139" i="5"/>
  <c r="K139" i="5"/>
  <c r="J139" i="5"/>
  <c r="I139" i="5"/>
  <c r="H139" i="5"/>
  <c r="G139" i="5"/>
  <c r="L138" i="5"/>
  <c r="K138" i="5"/>
  <c r="J138" i="5"/>
  <c r="I138" i="5"/>
  <c r="H138" i="5"/>
  <c r="G138" i="5"/>
  <c r="L137" i="5"/>
  <c r="K137" i="5"/>
  <c r="J137" i="5"/>
  <c r="I137" i="5"/>
  <c r="H137" i="5"/>
  <c r="G137" i="5"/>
  <c r="L136" i="5"/>
  <c r="K136" i="5"/>
  <c r="J136" i="5"/>
  <c r="I136" i="5"/>
  <c r="H136" i="5"/>
  <c r="G136" i="5"/>
  <c r="L135" i="5"/>
  <c r="K135" i="5"/>
  <c r="J135" i="5"/>
  <c r="I135" i="5"/>
  <c r="H135" i="5"/>
  <c r="G135" i="5"/>
  <c r="L134" i="5"/>
  <c r="K134" i="5"/>
  <c r="J134" i="5"/>
  <c r="I134" i="5"/>
  <c r="H134" i="5"/>
  <c r="G134" i="5"/>
  <c r="L133" i="5"/>
  <c r="K133" i="5"/>
  <c r="J133" i="5"/>
  <c r="I133" i="5"/>
  <c r="H133" i="5"/>
  <c r="G133" i="5"/>
  <c r="L132" i="5"/>
  <c r="K132" i="5"/>
  <c r="J132" i="5"/>
  <c r="I132" i="5"/>
  <c r="H132" i="5"/>
  <c r="G132" i="5"/>
  <c r="L131" i="5"/>
  <c r="K131" i="5"/>
  <c r="J131" i="5"/>
  <c r="I131" i="5"/>
  <c r="H131" i="5"/>
  <c r="G131" i="5"/>
  <c r="L130" i="5"/>
  <c r="K130" i="5"/>
  <c r="J130" i="5"/>
  <c r="I130" i="5"/>
  <c r="H130" i="5"/>
  <c r="G130" i="5"/>
  <c r="L129" i="5"/>
  <c r="K129" i="5"/>
  <c r="J129" i="5"/>
  <c r="I129" i="5"/>
  <c r="H129" i="5"/>
  <c r="G129" i="5"/>
  <c r="L128" i="5"/>
  <c r="K128" i="5"/>
  <c r="J128" i="5"/>
  <c r="I128" i="5"/>
  <c r="H128" i="5"/>
  <c r="G128" i="5"/>
  <c r="L127" i="5"/>
  <c r="K127" i="5"/>
  <c r="J127" i="5"/>
  <c r="I127" i="5"/>
  <c r="H127" i="5"/>
  <c r="G127" i="5"/>
  <c r="L126" i="5"/>
  <c r="K126" i="5"/>
  <c r="J126" i="5"/>
  <c r="I126" i="5"/>
  <c r="H126" i="5"/>
  <c r="G126" i="5"/>
  <c r="L125" i="5"/>
  <c r="K125" i="5"/>
  <c r="J125" i="5"/>
  <c r="I125" i="5"/>
  <c r="H125" i="5"/>
  <c r="G125" i="5"/>
  <c r="L124" i="5"/>
  <c r="K124" i="5"/>
  <c r="J124" i="5"/>
  <c r="I124" i="5"/>
  <c r="H124" i="5"/>
  <c r="G124" i="5"/>
  <c r="L123" i="5"/>
  <c r="K123" i="5"/>
  <c r="J123" i="5"/>
  <c r="I123" i="5"/>
  <c r="H123" i="5"/>
  <c r="G123" i="5"/>
  <c r="L122" i="5"/>
  <c r="K122" i="5"/>
  <c r="J122" i="5"/>
  <c r="I122" i="5"/>
  <c r="H122" i="5"/>
  <c r="G122" i="5"/>
  <c r="L121" i="5"/>
  <c r="K121" i="5"/>
  <c r="J121" i="5"/>
  <c r="I121" i="5"/>
  <c r="H121" i="5"/>
  <c r="G121" i="5"/>
  <c r="L120" i="5"/>
  <c r="K120" i="5"/>
  <c r="J120" i="5"/>
  <c r="I120" i="5"/>
  <c r="H120" i="5"/>
  <c r="G120" i="5"/>
  <c r="L119" i="5"/>
  <c r="K119" i="5"/>
  <c r="J119" i="5"/>
  <c r="I119" i="5"/>
  <c r="H119" i="5"/>
  <c r="G119" i="5"/>
  <c r="L118" i="5"/>
  <c r="K118" i="5"/>
  <c r="J118" i="5"/>
  <c r="I118" i="5"/>
  <c r="H118" i="5"/>
  <c r="G118" i="5"/>
  <c r="L117" i="5"/>
  <c r="K117" i="5"/>
  <c r="J117" i="5"/>
  <c r="I117" i="5"/>
  <c r="H117" i="5"/>
  <c r="G117" i="5"/>
  <c r="L116" i="5"/>
  <c r="K116" i="5"/>
  <c r="J116" i="5"/>
  <c r="I116" i="5"/>
  <c r="H116" i="5"/>
  <c r="G116" i="5"/>
  <c r="L115" i="5"/>
  <c r="K115" i="5"/>
  <c r="J115" i="5"/>
  <c r="I115" i="5"/>
  <c r="H115" i="5"/>
  <c r="G115" i="5"/>
  <c r="L114" i="5"/>
  <c r="K114" i="5"/>
  <c r="J114" i="5"/>
  <c r="I114" i="5"/>
  <c r="H114" i="5"/>
  <c r="G114" i="5"/>
  <c r="L113" i="5"/>
  <c r="K113" i="5"/>
  <c r="J113" i="5"/>
  <c r="I113" i="5"/>
  <c r="H113" i="5"/>
  <c r="G113" i="5"/>
  <c r="L112" i="5"/>
  <c r="K112" i="5"/>
  <c r="J112" i="5"/>
  <c r="I112" i="5"/>
  <c r="H112" i="5"/>
  <c r="G112" i="5"/>
  <c r="L111" i="5"/>
  <c r="K111" i="5"/>
  <c r="J111" i="5"/>
  <c r="I111" i="5"/>
  <c r="H111" i="5"/>
  <c r="G111" i="5"/>
  <c r="L110" i="5"/>
  <c r="K110" i="5"/>
  <c r="J110" i="5"/>
  <c r="I110" i="5"/>
  <c r="H110" i="5"/>
  <c r="G110" i="5"/>
  <c r="L109" i="5"/>
  <c r="K109" i="5"/>
  <c r="J109" i="5"/>
  <c r="I109" i="5"/>
  <c r="H109" i="5"/>
  <c r="G109" i="5"/>
  <c r="L108" i="5"/>
  <c r="K108" i="5"/>
  <c r="J108" i="5"/>
  <c r="I108" i="5"/>
  <c r="H108" i="5"/>
  <c r="G108" i="5"/>
  <c r="L107" i="5"/>
  <c r="K107" i="5"/>
  <c r="J107" i="5"/>
  <c r="I107" i="5"/>
  <c r="H107" i="5"/>
  <c r="G107" i="5"/>
  <c r="L106" i="5"/>
  <c r="K106" i="5"/>
  <c r="J106" i="5"/>
  <c r="I106" i="5"/>
  <c r="H106" i="5"/>
  <c r="G106" i="5"/>
  <c r="L105" i="5"/>
  <c r="K105" i="5"/>
  <c r="J105" i="5"/>
  <c r="I105" i="5"/>
  <c r="H105" i="5"/>
  <c r="G105" i="5"/>
  <c r="L104" i="5"/>
  <c r="K104" i="5"/>
  <c r="J104" i="5"/>
  <c r="I104" i="5"/>
  <c r="H104" i="5"/>
  <c r="G104" i="5"/>
  <c r="L103" i="5"/>
  <c r="K103" i="5"/>
  <c r="J103" i="5"/>
  <c r="I103" i="5"/>
  <c r="H103" i="5"/>
  <c r="G103" i="5"/>
  <c r="L102" i="5"/>
  <c r="K102" i="5"/>
  <c r="J102" i="5"/>
  <c r="I102" i="5"/>
  <c r="H102" i="5"/>
  <c r="G102" i="5"/>
  <c r="L101" i="5"/>
  <c r="K101" i="5"/>
  <c r="J101" i="5"/>
  <c r="I101" i="5"/>
  <c r="H101" i="5"/>
  <c r="G101" i="5"/>
  <c r="L100" i="5"/>
  <c r="K100" i="5"/>
  <c r="J100" i="5"/>
  <c r="I100" i="5"/>
  <c r="H100" i="5"/>
  <c r="G100" i="5"/>
  <c r="L99" i="5"/>
  <c r="K99" i="5"/>
  <c r="J99" i="5"/>
  <c r="I99" i="5"/>
  <c r="H99" i="5"/>
  <c r="G99" i="5"/>
  <c r="L98" i="5"/>
  <c r="K98" i="5"/>
  <c r="J98" i="5"/>
  <c r="I98" i="5"/>
  <c r="H98" i="5"/>
  <c r="G98" i="5"/>
  <c r="L97" i="5"/>
  <c r="K97" i="5"/>
  <c r="J97" i="5"/>
  <c r="I97" i="5"/>
  <c r="H97" i="5"/>
  <c r="G97" i="5"/>
  <c r="L96" i="5"/>
  <c r="K96" i="5"/>
  <c r="J96" i="5"/>
  <c r="I96" i="5"/>
  <c r="H96" i="5"/>
  <c r="G96" i="5"/>
  <c r="L95" i="5"/>
  <c r="K95" i="5"/>
  <c r="J95" i="5"/>
  <c r="I95" i="5"/>
  <c r="H95" i="5"/>
  <c r="G95" i="5"/>
  <c r="L94" i="5"/>
  <c r="K94" i="5"/>
  <c r="J94" i="5"/>
  <c r="I94" i="5"/>
  <c r="H94" i="5"/>
  <c r="G94" i="5"/>
  <c r="L93" i="5"/>
  <c r="K93" i="5"/>
  <c r="J93" i="5"/>
  <c r="I93" i="5"/>
  <c r="H93" i="5"/>
  <c r="G93" i="5"/>
  <c r="L92" i="5"/>
  <c r="K92" i="5"/>
  <c r="J92" i="5"/>
  <c r="I92" i="5"/>
  <c r="H92" i="5"/>
  <c r="G92" i="5"/>
  <c r="L91" i="5"/>
  <c r="K91" i="5"/>
  <c r="J91" i="5"/>
  <c r="I91" i="5"/>
  <c r="H91" i="5"/>
  <c r="G91" i="5"/>
  <c r="L90" i="5"/>
  <c r="K90" i="5"/>
  <c r="J90" i="5"/>
  <c r="I90" i="5"/>
  <c r="H90" i="5"/>
  <c r="G90" i="5"/>
  <c r="L89" i="5"/>
  <c r="K89" i="5"/>
  <c r="J89" i="5"/>
  <c r="I89" i="5"/>
  <c r="H89" i="5"/>
  <c r="G89" i="5"/>
  <c r="L88" i="5"/>
  <c r="K88" i="5"/>
  <c r="J88" i="5"/>
  <c r="I88" i="5"/>
  <c r="H88" i="5"/>
  <c r="G88" i="5"/>
  <c r="L87" i="5"/>
  <c r="K87" i="5"/>
  <c r="J87" i="5"/>
  <c r="I87" i="5"/>
  <c r="H87" i="5"/>
  <c r="G87" i="5"/>
  <c r="L86" i="5"/>
  <c r="K86" i="5"/>
  <c r="J86" i="5"/>
  <c r="I86" i="5"/>
  <c r="H86" i="5"/>
  <c r="G86" i="5"/>
  <c r="L85" i="5"/>
  <c r="K85" i="5"/>
  <c r="J85" i="5"/>
  <c r="I85" i="5"/>
  <c r="H85" i="5"/>
  <c r="G85" i="5"/>
  <c r="L84" i="5"/>
  <c r="K84" i="5"/>
  <c r="J84" i="5"/>
  <c r="I84" i="5"/>
  <c r="H84" i="5"/>
  <c r="G84" i="5"/>
  <c r="L83" i="5"/>
  <c r="K83" i="5"/>
  <c r="J83" i="5"/>
  <c r="I83" i="5"/>
  <c r="H83" i="5"/>
  <c r="G83" i="5"/>
  <c r="L82" i="5"/>
  <c r="K82" i="5"/>
  <c r="J82" i="5"/>
  <c r="I82" i="5"/>
  <c r="H82" i="5"/>
  <c r="G82" i="5"/>
  <c r="L81" i="5"/>
  <c r="K81" i="5"/>
  <c r="J81" i="5"/>
  <c r="I81" i="5"/>
  <c r="H81" i="5"/>
  <c r="G81" i="5"/>
  <c r="L80" i="5"/>
  <c r="K80" i="5"/>
  <c r="J80" i="5"/>
  <c r="I80" i="5"/>
  <c r="H80" i="5"/>
  <c r="G80" i="5"/>
  <c r="L79" i="5"/>
  <c r="K79" i="5"/>
  <c r="J79" i="5"/>
  <c r="I79" i="5"/>
  <c r="H79" i="5"/>
  <c r="G79" i="5"/>
  <c r="L78" i="5"/>
  <c r="K78" i="5"/>
  <c r="J78" i="5"/>
  <c r="I78" i="5"/>
  <c r="H78" i="5"/>
  <c r="G78" i="5"/>
  <c r="L77" i="5"/>
  <c r="K77" i="5"/>
  <c r="J77" i="5"/>
  <c r="I77" i="5"/>
  <c r="H77" i="5"/>
  <c r="G77" i="5"/>
  <c r="L76" i="5"/>
  <c r="K76" i="5"/>
  <c r="J76" i="5"/>
  <c r="I76" i="5"/>
  <c r="H76" i="5"/>
  <c r="G76" i="5"/>
  <c r="L75" i="5"/>
  <c r="K75" i="5"/>
  <c r="J75" i="5"/>
  <c r="I75" i="5"/>
  <c r="H75" i="5"/>
  <c r="G75" i="5"/>
  <c r="L74" i="5"/>
  <c r="K74" i="5"/>
  <c r="J74" i="5"/>
  <c r="I74" i="5"/>
  <c r="H74" i="5"/>
  <c r="G74" i="5"/>
  <c r="L73" i="5"/>
  <c r="K73" i="5"/>
  <c r="J73" i="5"/>
  <c r="I73" i="5"/>
  <c r="H73" i="5"/>
  <c r="G73" i="5"/>
  <c r="L72" i="5"/>
  <c r="K72" i="5"/>
  <c r="J72" i="5"/>
  <c r="I72" i="5"/>
  <c r="H72" i="5"/>
  <c r="G72" i="5"/>
  <c r="L71" i="5"/>
  <c r="K71" i="5"/>
  <c r="J71" i="5"/>
  <c r="I71" i="5"/>
  <c r="H71" i="5"/>
  <c r="G71" i="5"/>
  <c r="L70" i="5"/>
  <c r="K70" i="5"/>
  <c r="J70" i="5"/>
  <c r="I70" i="5"/>
  <c r="H70" i="5"/>
  <c r="G70" i="5"/>
  <c r="L69" i="5"/>
  <c r="K69" i="5"/>
  <c r="J69" i="5"/>
  <c r="I69" i="5"/>
  <c r="H69" i="5"/>
  <c r="G69" i="5"/>
  <c r="L68" i="5"/>
  <c r="K68" i="5"/>
  <c r="J68" i="5"/>
  <c r="I68" i="5"/>
  <c r="H68" i="5"/>
  <c r="G68" i="5"/>
  <c r="L67" i="5"/>
  <c r="K67" i="5"/>
  <c r="J67" i="5"/>
  <c r="I67" i="5"/>
  <c r="H67" i="5"/>
  <c r="G67" i="5"/>
  <c r="L66" i="5"/>
  <c r="K66" i="5"/>
  <c r="J66" i="5"/>
  <c r="I66" i="5"/>
  <c r="H66" i="5"/>
  <c r="G66" i="5"/>
  <c r="L65" i="5"/>
  <c r="K65" i="5"/>
  <c r="J65" i="5"/>
  <c r="I65" i="5"/>
  <c r="H65" i="5"/>
  <c r="G65" i="5"/>
  <c r="L64" i="5"/>
  <c r="K64" i="5"/>
  <c r="J64" i="5"/>
  <c r="I64" i="5"/>
  <c r="H64" i="5"/>
  <c r="G64" i="5"/>
  <c r="L63" i="5"/>
  <c r="K63" i="5"/>
  <c r="J63" i="5"/>
  <c r="I63" i="5"/>
  <c r="H63" i="5"/>
  <c r="G63" i="5"/>
  <c r="L62" i="5"/>
  <c r="K62" i="5"/>
  <c r="J62" i="5"/>
  <c r="I62" i="5"/>
  <c r="H62" i="5"/>
  <c r="G62" i="5"/>
  <c r="L61" i="5"/>
  <c r="K61" i="5"/>
  <c r="J61" i="5"/>
  <c r="I61" i="5"/>
  <c r="H61" i="5"/>
  <c r="G61" i="5"/>
  <c r="L60" i="5"/>
  <c r="K60" i="5"/>
  <c r="J60" i="5"/>
  <c r="I60" i="5"/>
  <c r="H60" i="5"/>
  <c r="G60" i="5"/>
  <c r="L59" i="5"/>
  <c r="K59" i="5"/>
  <c r="J59" i="5"/>
  <c r="I59" i="5"/>
  <c r="H59" i="5"/>
  <c r="G59" i="5"/>
  <c r="L58" i="5"/>
  <c r="K58" i="5"/>
  <c r="J58" i="5"/>
  <c r="I58" i="5"/>
  <c r="H58" i="5"/>
  <c r="G58" i="5"/>
  <c r="L57" i="5"/>
  <c r="K57" i="5"/>
  <c r="J57" i="5"/>
  <c r="I57" i="5"/>
  <c r="H57" i="5"/>
  <c r="G57" i="5"/>
  <c r="L56" i="5"/>
  <c r="K56" i="5"/>
  <c r="J56" i="5"/>
  <c r="I56" i="5"/>
  <c r="H56" i="5"/>
  <c r="G56" i="5"/>
  <c r="L55" i="5"/>
  <c r="K55" i="5"/>
  <c r="J55" i="5"/>
  <c r="I55" i="5"/>
  <c r="H55" i="5"/>
  <c r="G55" i="5"/>
  <c r="L54" i="5"/>
  <c r="K54" i="5"/>
  <c r="J54" i="5"/>
  <c r="I54" i="5"/>
  <c r="H54" i="5"/>
  <c r="G54" i="5"/>
  <c r="L53" i="5"/>
  <c r="K53" i="5"/>
  <c r="J53" i="5"/>
  <c r="I53" i="5"/>
  <c r="H53" i="5"/>
  <c r="G53" i="5"/>
  <c r="L52" i="5"/>
  <c r="K52" i="5"/>
  <c r="J52" i="5"/>
  <c r="I52" i="5"/>
  <c r="H52" i="5"/>
  <c r="G52" i="5"/>
  <c r="K51" i="5"/>
  <c r="I51" i="5"/>
  <c r="H51" i="5"/>
  <c r="G51" i="5"/>
  <c r="L50" i="5"/>
  <c r="K50" i="5"/>
  <c r="J50" i="5"/>
  <c r="I50" i="5"/>
  <c r="H50" i="5"/>
  <c r="G50" i="5"/>
  <c r="L49" i="5"/>
  <c r="K49" i="5"/>
  <c r="J49" i="5"/>
  <c r="I49" i="5"/>
  <c r="H49" i="5"/>
  <c r="G49" i="5"/>
  <c r="L48" i="5"/>
  <c r="K48" i="5"/>
  <c r="J48" i="5"/>
  <c r="I48" i="5"/>
  <c r="H48" i="5"/>
  <c r="G48" i="5"/>
  <c r="I47" i="5"/>
  <c r="H47" i="5"/>
  <c r="G47" i="5"/>
  <c r="I46" i="5"/>
  <c r="H46" i="5"/>
  <c r="G46" i="5"/>
  <c r="I45" i="5"/>
  <c r="H45" i="5"/>
  <c r="G45" i="5"/>
  <c r="I44" i="5"/>
  <c r="H44" i="5"/>
  <c r="G44" i="5"/>
  <c r="I43" i="5"/>
  <c r="H43" i="5"/>
  <c r="G43" i="5"/>
  <c r="I42" i="5"/>
  <c r="H42" i="5"/>
  <c r="G42" i="5"/>
  <c r="L41" i="5"/>
  <c r="K41" i="5"/>
  <c r="J41" i="5"/>
  <c r="I41" i="5"/>
  <c r="H41" i="5"/>
  <c r="G41" i="5"/>
  <c r="L40" i="5"/>
  <c r="K40" i="5"/>
  <c r="J40" i="5"/>
  <c r="I40" i="5"/>
  <c r="H40" i="5"/>
  <c r="G40" i="5"/>
  <c r="L39" i="5"/>
  <c r="K39" i="5"/>
  <c r="J39" i="5"/>
  <c r="I39" i="5"/>
  <c r="H39" i="5"/>
  <c r="G39" i="5"/>
  <c r="L38" i="5"/>
  <c r="K38" i="5"/>
  <c r="J38" i="5"/>
  <c r="I38" i="5"/>
  <c r="H38" i="5"/>
  <c r="G38" i="5"/>
  <c r="L37" i="5"/>
  <c r="K37" i="5"/>
  <c r="J37" i="5"/>
  <c r="I37" i="5"/>
  <c r="H37" i="5"/>
  <c r="G37" i="5"/>
  <c r="I36" i="5"/>
  <c r="H36" i="5"/>
  <c r="G36" i="5"/>
  <c r="I35" i="5"/>
  <c r="H35" i="5"/>
  <c r="G35" i="5"/>
  <c r="I34" i="5"/>
  <c r="H34" i="5"/>
  <c r="G34" i="5"/>
  <c r="I33" i="5"/>
  <c r="H33" i="5"/>
  <c r="G33" i="5"/>
  <c r="I32" i="5"/>
  <c r="H32" i="5"/>
  <c r="G32" i="5"/>
  <c r="L31" i="5"/>
  <c r="K31" i="5"/>
  <c r="J31" i="5"/>
  <c r="I31" i="5"/>
  <c r="H31" i="5"/>
  <c r="G31" i="5"/>
  <c r="L30" i="5"/>
  <c r="K30" i="5"/>
  <c r="J30" i="5"/>
  <c r="I30" i="5"/>
  <c r="H30" i="5"/>
  <c r="G30" i="5"/>
  <c r="L29" i="5"/>
  <c r="K29" i="5"/>
  <c r="J29" i="5"/>
  <c r="I29" i="5"/>
  <c r="H29" i="5"/>
  <c r="G29" i="5"/>
  <c r="L28" i="5"/>
  <c r="K28" i="5"/>
  <c r="J28" i="5"/>
  <c r="I28" i="5"/>
  <c r="H28" i="5"/>
  <c r="G28" i="5"/>
  <c r="L27" i="5"/>
  <c r="K27" i="5"/>
  <c r="J27" i="5"/>
  <c r="I27" i="5"/>
  <c r="H27" i="5"/>
  <c r="G27" i="5"/>
  <c r="L26" i="5"/>
  <c r="K26" i="5"/>
  <c r="J26" i="5"/>
  <c r="I26" i="5"/>
  <c r="H26" i="5"/>
  <c r="G26" i="5"/>
  <c r="I25" i="5"/>
  <c r="H25" i="5"/>
  <c r="G25" i="5"/>
  <c r="I24" i="5"/>
  <c r="H24" i="5"/>
  <c r="G24" i="5"/>
  <c r="I23" i="5"/>
  <c r="H23" i="5"/>
  <c r="G23" i="5"/>
  <c r="I22" i="5"/>
  <c r="H22" i="5"/>
  <c r="G22" i="5"/>
  <c r="L21" i="5"/>
  <c r="K21" i="5"/>
  <c r="J21" i="5"/>
  <c r="I21" i="5"/>
  <c r="H21" i="5"/>
  <c r="G21" i="5"/>
  <c r="L20" i="5"/>
  <c r="K20" i="5"/>
  <c r="J20" i="5"/>
  <c r="I20" i="5"/>
  <c r="H20" i="5"/>
  <c r="G20" i="5"/>
  <c r="L19" i="5"/>
  <c r="K19" i="5"/>
  <c r="J19" i="5"/>
  <c r="I19" i="5"/>
  <c r="H19" i="5"/>
  <c r="G19" i="5"/>
  <c r="L18" i="5"/>
  <c r="K18" i="5"/>
  <c r="J18" i="5"/>
  <c r="I18" i="5"/>
  <c r="H18" i="5"/>
  <c r="G18" i="5"/>
  <c r="L17" i="5"/>
  <c r="K17" i="5"/>
  <c r="J17" i="5"/>
  <c r="I17" i="5"/>
  <c r="H17" i="5"/>
  <c r="G17" i="5"/>
  <c r="L16" i="5"/>
  <c r="K16" i="5"/>
  <c r="J16" i="5"/>
  <c r="I16" i="5"/>
  <c r="H16" i="5"/>
  <c r="G16" i="5"/>
  <c r="L15" i="5"/>
  <c r="K15" i="5"/>
  <c r="J15" i="5"/>
  <c r="I15" i="5"/>
  <c r="H15" i="5"/>
  <c r="G15" i="5"/>
  <c r="L14" i="5"/>
  <c r="K14" i="5"/>
  <c r="J14" i="5"/>
  <c r="I14" i="5"/>
  <c r="H14" i="5"/>
  <c r="G14" i="5"/>
  <c r="L13" i="5"/>
  <c r="K13" i="5"/>
  <c r="J13" i="5"/>
  <c r="I13" i="5"/>
  <c r="H13" i="5"/>
  <c r="G13" i="5"/>
  <c r="L12" i="5"/>
  <c r="K12" i="5"/>
  <c r="J12" i="5"/>
  <c r="I12" i="5"/>
  <c r="H12" i="5"/>
  <c r="G12" i="5"/>
  <c r="L11" i="5"/>
  <c r="K11" i="5"/>
  <c r="J11" i="5"/>
  <c r="I11" i="5"/>
  <c r="H11" i="5"/>
  <c r="G11" i="5"/>
  <c r="L10" i="5"/>
  <c r="K10" i="5"/>
  <c r="J10" i="5"/>
  <c r="I10" i="5"/>
  <c r="H10" i="5"/>
  <c r="G10" i="5"/>
  <c r="L9" i="5"/>
  <c r="K9" i="5"/>
  <c r="J9" i="5"/>
  <c r="I9" i="5"/>
  <c r="H9" i="5"/>
  <c r="G9" i="5"/>
  <c r="L8" i="5"/>
  <c r="K8" i="5"/>
  <c r="J8" i="5"/>
  <c r="I8" i="5"/>
  <c r="H8" i="5"/>
  <c r="G8" i="5"/>
  <c r="L7" i="5"/>
  <c r="K7" i="5"/>
  <c r="J7" i="5"/>
  <c r="I7" i="5"/>
  <c r="H7" i="5"/>
  <c r="G7" i="5"/>
  <c r="L6" i="5"/>
  <c r="K6" i="5"/>
  <c r="J6" i="5"/>
  <c r="I6" i="5"/>
  <c r="H6" i="5"/>
  <c r="G6" i="5"/>
  <c r="L5" i="5"/>
  <c r="K5" i="5"/>
  <c r="J5" i="5"/>
  <c r="I5" i="5"/>
  <c r="H5" i="5"/>
  <c r="G5" i="5"/>
  <c r="L4" i="5"/>
  <c r="K4" i="5"/>
  <c r="J4" i="5"/>
  <c r="I4" i="5"/>
  <c r="H4" i="5"/>
  <c r="G4" i="5"/>
  <c r="L3" i="5"/>
  <c r="K3" i="5"/>
  <c r="J3" i="5"/>
  <c r="I3" i="5"/>
  <c r="H3" i="5"/>
  <c r="G3" i="5"/>
  <c r="L2" i="5"/>
  <c r="K2" i="5"/>
  <c r="J2" i="5"/>
  <c r="I2" i="5"/>
  <c r="H2" i="5"/>
  <c r="G2" i="5"/>
  <c r="B3" i="2"/>
  <c r="F13" i="11"/>
  <c r="F12" i="11"/>
  <c r="F11" i="11"/>
  <c r="F10" i="11"/>
  <c r="F9" i="11"/>
  <c r="F8" i="11"/>
  <c r="F7" i="11"/>
  <c r="F6" i="11"/>
  <c r="F5" i="11"/>
  <c r="F4" i="11"/>
  <c r="J3" i="11"/>
  <c r="K45" i="5" l="1"/>
  <c r="J47" i="5"/>
  <c r="J51" i="5"/>
  <c r="K47" i="5"/>
  <c r="G138" i="8"/>
  <c r="K44" i="5"/>
  <c r="J42" i="5"/>
  <c r="M42" i="5" s="1"/>
  <c r="G4" i="11" s="1"/>
  <c r="E5" i="12" s="1"/>
  <c r="G124" i="8"/>
  <c r="G134" i="8"/>
  <c r="L51" i="5"/>
  <c r="L45" i="5"/>
  <c r="J45" i="5"/>
  <c r="J43" i="5"/>
  <c r="M43" i="5" s="1"/>
  <c r="G5" i="11" s="1"/>
  <c r="E6" i="12" s="1"/>
  <c r="J44" i="5"/>
  <c r="L47" i="5"/>
  <c r="G136" i="8"/>
  <c r="G130" i="8"/>
  <c r="G135" i="8"/>
  <c r="G131" i="8"/>
  <c r="G236" i="8"/>
  <c r="G471" i="8"/>
  <c r="G100" i="8"/>
  <c r="F252" i="8"/>
  <c r="G915" i="8"/>
  <c r="F788" i="8"/>
  <c r="F343" i="8"/>
  <c r="F55" i="8"/>
  <c r="G286" i="8"/>
  <c r="F522" i="8"/>
  <c r="G119" i="8"/>
  <c r="F130" i="8"/>
  <c r="F256" i="8"/>
  <c r="G383" i="8"/>
  <c r="F911" i="8"/>
  <c r="G943" i="8"/>
  <c r="F687" i="8"/>
  <c r="G965" i="8"/>
  <c r="G190" i="8"/>
  <c r="M7" i="5"/>
  <c r="H17" i="11" s="1"/>
  <c r="G132" i="8"/>
  <c r="G574" i="8"/>
  <c r="F880" i="8"/>
  <c r="G344" i="8"/>
  <c r="F364" i="8"/>
  <c r="F743" i="8"/>
  <c r="G664" i="8"/>
  <c r="F968" i="8"/>
  <c r="M13" i="5"/>
  <c r="F82" i="8"/>
  <c r="F282" i="8"/>
  <c r="F303" i="8"/>
  <c r="G601" i="8"/>
  <c r="F611" i="8"/>
  <c r="M66" i="5"/>
  <c r="F27" i="8"/>
  <c r="F339" i="8"/>
  <c r="F758" i="8"/>
  <c r="F302" i="8"/>
  <c r="F16" i="6"/>
  <c r="F28" i="6"/>
  <c r="G40" i="8"/>
  <c r="G442" i="8"/>
  <c r="F726" i="8"/>
  <c r="F907" i="8"/>
  <c r="G363" i="8"/>
  <c r="F559" i="8"/>
  <c r="G693" i="8"/>
  <c r="G885" i="8"/>
  <c r="F610" i="8"/>
  <c r="E18" i="6"/>
  <c r="F26" i="8"/>
  <c r="F814" i="8"/>
  <c r="M30" i="5"/>
  <c r="G103" i="8"/>
  <c r="G640" i="8"/>
  <c r="F718" i="8"/>
  <c r="G973" i="8"/>
  <c r="F390" i="8"/>
  <c r="G921" i="8"/>
  <c r="F859" i="8"/>
  <c r="M26" i="5"/>
  <c r="M173" i="5"/>
  <c r="M245" i="5"/>
  <c r="M269" i="5"/>
  <c r="M273" i="5"/>
  <c r="M277" i="5"/>
  <c r="M281" i="5"/>
  <c r="M299" i="5"/>
  <c r="M305" i="5"/>
  <c r="M311" i="5"/>
  <c r="M327" i="5"/>
  <c r="F11" i="8"/>
  <c r="F178" i="8"/>
  <c r="G200" i="8"/>
  <c r="G211" i="8"/>
  <c r="F266" i="8"/>
  <c r="G821" i="8"/>
  <c r="F832" i="8"/>
  <c r="F1057" i="8"/>
  <c r="F1067" i="8"/>
  <c r="F3" i="6"/>
  <c r="F12" i="6"/>
  <c r="F656" i="8"/>
  <c r="K36" i="5"/>
  <c r="F51" i="8"/>
  <c r="M29" i="5"/>
  <c r="M31" i="5"/>
  <c r="M22" i="5"/>
  <c r="M209" i="5"/>
  <c r="M347" i="5"/>
  <c r="F32" i="8"/>
  <c r="F158" i="8"/>
  <c r="F227" i="8"/>
  <c r="F319" i="8"/>
  <c r="G382" i="8"/>
  <c r="F439" i="8"/>
  <c r="G538" i="8"/>
  <c r="F719" i="8"/>
  <c r="G759" i="8"/>
  <c r="G897" i="8"/>
  <c r="L25" i="5"/>
  <c r="G87" i="8"/>
  <c r="F519" i="8"/>
  <c r="F550" i="8"/>
  <c r="F560" i="8"/>
  <c r="G636" i="8"/>
  <c r="G751" i="8"/>
  <c r="F782" i="8"/>
  <c r="G791" i="8"/>
  <c r="F834" i="8"/>
  <c r="M2" i="5"/>
  <c r="C17" i="11" s="1"/>
  <c r="M4" i="5"/>
  <c r="E17" i="11" s="1"/>
  <c r="M6" i="5"/>
  <c r="F879" i="8"/>
  <c r="G939" i="8"/>
  <c r="G961" i="8"/>
  <c r="G1028" i="8"/>
  <c r="M16" i="5"/>
  <c r="M18" i="5"/>
  <c r="F88" i="8"/>
  <c r="G219" i="8"/>
  <c r="G259" i="8"/>
  <c r="F280" i="8"/>
  <c r="F584" i="8"/>
  <c r="G659" i="8"/>
  <c r="G701" i="8"/>
  <c r="G929" i="8"/>
  <c r="M212" i="5"/>
  <c r="M216" i="5"/>
  <c r="M220" i="5"/>
  <c r="M222" i="5"/>
  <c r="M224" i="5"/>
  <c r="M234" i="5"/>
  <c r="M266" i="5"/>
  <c r="M278" i="5"/>
  <c r="M302" i="5"/>
  <c r="M308" i="5"/>
  <c r="M314" i="5"/>
  <c r="M316" i="5"/>
  <c r="M350" i="5"/>
  <c r="M354" i="5"/>
  <c r="M356" i="5"/>
  <c r="M358" i="5"/>
  <c r="G174" i="8"/>
  <c r="F183" i="8"/>
  <c r="F271" i="8"/>
  <c r="F754" i="8"/>
  <c r="G763" i="8"/>
  <c r="G838" i="8"/>
  <c r="M100" i="5"/>
  <c r="M162" i="5"/>
  <c r="M168" i="5"/>
  <c r="F91" i="8"/>
  <c r="F175" i="8"/>
  <c r="F184" i="8"/>
  <c r="F366" i="8"/>
  <c r="F587" i="8"/>
  <c r="G725" i="8"/>
  <c r="F111" i="8"/>
  <c r="F195" i="8"/>
  <c r="F203" i="8"/>
  <c r="F254" i="8"/>
  <c r="G316" i="8"/>
  <c r="F347" i="8"/>
  <c r="F358" i="8"/>
  <c r="G515" i="8"/>
  <c r="G674" i="8"/>
  <c r="G717" i="8"/>
  <c r="F736" i="8"/>
  <c r="G797" i="8"/>
  <c r="G851" i="8"/>
  <c r="F999" i="8"/>
  <c r="K24" i="5"/>
  <c r="F307" i="8"/>
  <c r="G307" i="8"/>
  <c r="F32" i="6"/>
  <c r="E35" i="6"/>
  <c r="G498" i="8"/>
  <c r="F498" i="8"/>
  <c r="G163" i="8"/>
  <c r="F239" i="8"/>
  <c r="F18" i="6"/>
  <c r="F143" i="8"/>
  <c r="F154" i="8"/>
  <c r="G402" i="8"/>
  <c r="F468" i="8"/>
  <c r="G468" i="8"/>
  <c r="G670" i="8"/>
  <c r="F670" i="8"/>
  <c r="G959" i="8"/>
  <c r="F959" i="8"/>
  <c r="G411" i="8"/>
  <c r="M74" i="5"/>
  <c r="M76" i="5"/>
  <c r="M86" i="5"/>
  <c r="M88" i="5"/>
  <c r="M90" i="5"/>
  <c r="M94" i="5"/>
  <c r="M96" i="5"/>
  <c r="M128" i="5"/>
  <c r="M180" i="5"/>
  <c r="M198" i="5"/>
  <c r="M200" i="5"/>
  <c r="M202" i="5"/>
  <c r="M206" i="5"/>
  <c r="F231" i="8"/>
  <c r="G291" i="8"/>
  <c r="F291" i="8"/>
  <c r="G320" i="8"/>
  <c r="G403" i="8"/>
  <c r="F403" i="8"/>
  <c r="G457" i="8"/>
  <c r="G596" i="8"/>
  <c r="F722" i="8"/>
  <c r="G722" i="8"/>
  <c r="F889" i="8"/>
  <c r="G889" i="8"/>
  <c r="G83" i="8"/>
  <c r="F83" i="8"/>
  <c r="F422" i="8"/>
  <c r="G422" i="8"/>
  <c r="M114" i="5"/>
  <c r="F458" i="8"/>
  <c r="G458" i="8"/>
  <c r="G714" i="8"/>
  <c r="G476" i="8"/>
  <c r="G775" i="8"/>
  <c r="F775" i="8"/>
  <c r="F250" i="8"/>
  <c r="G250" i="8"/>
  <c r="G299" i="8"/>
  <c r="G340" i="8"/>
  <c r="F314" i="8"/>
  <c r="F516" i="8"/>
  <c r="G516" i="8"/>
  <c r="F16" i="8"/>
  <c r="G107" i="8"/>
  <c r="G116" i="8"/>
  <c r="F226" i="8"/>
  <c r="G226" i="8"/>
  <c r="F375" i="8"/>
  <c r="G375" i="8"/>
  <c r="G696" i="8"/>
  <c r="F696" i="8"/>
  <c r="G747" i="8"/>
  <c r="F747" i="8"/>
  <c r="E30" i="6"/>
  <c r="J36" i="5"/>
  <c r="L32" i="5"/>
  <c r="G276" i="8"/>
  <c r="F276" i="8"/>
  <c r="F430" i="8"/>
  <c r="G622" i="8"/>
  <c r="F810" i="8"/>
  <c r="G810" i="8"/>
  <c r="F924" i="8"/>
  <c r="G924" i="8"/>
  <c r="F623" i="8"/>
  <c r="F688" i="8"/>
  <c r="G803" i="8"/>
  <c r="J25" i="5"/>
  <c r="M296" i="5"/>
  <c r="G10" i="8"/>
  <c r="F28" i="8"/>
  <c r="F164" i="8"/>
  <c r="F258" i="8"/>
  <c r="G315" i="8"/>
  <c r="G431" i="8"/>
  <c r="F510" i="8"/>
  <c r="F654" i="8"/>
  <c r="G671" i="8"/>
  <c r="G716" i="8"/>
  <c r="G757" i="8"/>
  <c r="F811" i="8"/>
  <c r="G837" i="8"/>
  <c r="F846" i="8"/>
  <c r="G899" i="8"/>
  <c r="F917" i="8"/>
  <c r="F925" i="8"/>
  <c r="G951" i="8"/>
  <c r="G987" i="8"/>
  <c r="G1005" i="8"/>
  <c r="G1025" i="8"/>
  <c r="F1047" i="8"/>
  <c r="G1055" i="8"/>
  <c r="G1064" i="8"/>
  <c r="M65" i="5"/>
  <c r="F56" i="8"/>
  <c r="F76" i="8"/>
  <c r="F136" i="8"/>
  <c r="G284" i="8"/>
  <c r="F323" i="8"/>
  <c r="G395" i="8"/>
  <c r="G404" i="8"/>
  <c r="G451" i="8"/>
  <c r="G479" i="8"/>
  <c r="F536" i="8"/>
  <c r="G546" i="8"/>
  <c r="G555" i="8"/>
  <c r="F562" i="8"/>
  <c r="G572" i="8"/>
  <c r="G582" i="8"/>
  <c r="G697" i="8"/>
  <c r="G732" i="8"/>
  <c r="G741" i="8"/>
  <c r="G804" i="8"/>
  <c r="F831" i="8"/>
  <c r="F855" i="8"/>
  <c r="F883" i="8"/>
  <c r="F891" i="8"/>
  <c r="G935" i="8"/>
  <c r="F960" i="8"/>
  <c r="F997" i="8"/>
  <c r="M248" i="5"/>
  <c r="G731" i="8"/>
  <c r="M346" i="5"/>
  <c r="M75" i="5"/>
  <c r="M77" i="5"/>
  <c r="M79" i="5"/>
  <c r="M97" i="5"/>
  <c r="M113" i="5"/>
  <c r="M119" i="5"/>
  <c r="M121" i="5"/>
  <c r="M129" i="5"/>
  <c r="M139" i="5"/>
  <c r="M141" i="5"/>
  <c r="M145" i="5"/>
  <c r="M147" i="5"/>
  <c r="M153" i="5"/>
  <c r="M155" i="5"/>
  <c r="G102" i="8"/>
  <c r="G66" i="8"/>
  <c r="F1017" i="8"/>
  <c r="G1048" i="8"/>
  <c r="M262" i="5"/>
  <c r="G606" i="8"/>
  <c r="M69" i="5"/>
  <c r="M181" i="5"/>
  <c r="M203" i="5"/>
  <c r="F278" i="8"/>
  <c r="G310" i="8"/>
  <c r="F452" i="8"/>
  <c r="F592" i="8"/>
  <c r="G618" i="8"/>
  <c r="F684" i="8"/>
  <c r="G778" i="8"/>
  <c r="F866" i="8"/>
  <c r="G919" i="8"/>
  <c r="G92" i="8"/>
  <c r="K35" i="5"/>
  <c r="M289" i="5"/>
  <c r="M345" i="5"/>
  <c r="G4" i="8"/>
  <c r="G96" i="8"/>
  <c r="F131" i="8"/>
  <c r="F167" i="8"/>
  <c r="F228" i="8"/>
  <c r="F246" i="8"/>
  <c r="F296" i="8"/>
  <c r="F311" i="8"/>
  <c r="F355" i="8"/>
  <c r="F371" i="8"/>
  <c r="F427" i="8"/>
  <c r="G444" i="8"/>
  <c r="G482" i="8"/>
  <c r="G504" i="8"/>
  <c r="F514" i="8"/>
  <c r="G520" i="8"/>
  <c r="G619" i="8"/>
  <c r="G711" i="8"/>
  <c r="F807" i="8"/>
  <c r="F850" i="8"/>
  <c r="F938" i="8"/>
  <c r="G945" i="8"/>
  <c r="G955" i="8"/>
  <c r="F970" i="8"/>
  <c r="F941" i="8"/>
  <c r="F966" i="8"/>
  <c r="M241" i="5"/>
  <c r="F992" i="8"/>
  <c r="G1051" i="8"/>
  <c r="F1079" i="8"/>
  <c r="G597" i="8"/>
  <c r="M21" i="5"/>
  <c r="M46" i="5"/>
  <c r="G8" i="11" s="1"/>
  <c r="E9" i="12" s="1"/>
  <c r="M48" i="5"/>
  <c r="G10" i="11" s="1"/>
  <c r="E11" i="12" s="1"/>
  <c r="M52" i="5"/>
  <c r="M54" i="5"/>
  <c r="M58" i="5"/>
  <c r="M60" i="5"/>
  <c r="M64" i="5"/>
  <c r="M333" i="5"/>
  <c r="G114" i="8"/>
  <c r="G123" i="8"/>
  <c r="F168" i="8"/>
  <c r="F238" i="8"/>
  <c r="G288" i="8"/>
  <c r="G304" i="8"/>
  <c r="F327" i="8"/>
  <c r="G419" i="8"/>
  <c r="G437" i="8"/>
  <c r="G531" i="8"/>
  <c r="G567" i="8"/>
  <c r="G595" i="8"/>
  <c r="F603" i="8"/>
  <c r="F650" i="8"/>
  <c r="G668" i="8"/>
  <c r="G745" i="8"/>
  <c r="G815" i="8"/>
  <c r="F842" i="8"/>
  <c r="G887" i="8"/>
  <c r="G896" i="8"/>
  <c r="F1011" i="8"/>
  <c r="G1021" i="8"/>
  <c r="M14" i="5"/>
  <c r="L35" i="5"/>
  <c r="M57" i="5"/>
  <c r="M61" i="5"/>
  <c r="M67" i="5"/>
  <c r="M148" i="5"/>
  <c r="M154" i="5"/>
  <c r="M172" i="5"/>
  <c r="M174" i="5"/>
  <c r="M178" i="5"/>
  <c r="M300" i="5"/>
  <c r="M306" i="5"/>
  <c r="M326" i="5"/>
  <c r="M330" i="5"/>
  <c r="M332" i="5"/>
  <c r="M338" i="5"/>
  <c r="G5" i="8"/>
  <c r="G19" i="8"/>
  <c r="F35" i="8"/>
  <c r="F59" i="8"/>
  <c r="F96" i="8"/>
  <c r="F124" i="8"/>
  <c r="F156" i="8"/>
  <c r="G170" i="8"/>
  <c r="F207" i="8"/>
  <c r="G214" i="8"/>
  <c r="F214" i="8"/>
  <c r="G274" i="8"/>
  <c r="F287" i="8"/>
  <c r="G387" i="8"/>
  <c r="G525" i="8"/>
  <c r="F534" i="8"/>
  <c r="G549" i="8"/>
  <c r="G570" i="8"/>
  <c r="F570" i="8"/>
  <c r="F657" i="8"/>
  <c r="G657" i="8"/>
  <c r="F739" i="8"/>
  <c r="F770" i="8"/>
  <c r="G836" i="8"/>
  <c r="F836" i="8"/>
  <c r="F843" i="8"/>
  <c r="G843" i="8"/>
  <c r="G895" i="8"/>
  <c r="F895" i="8"/>
  <c r="F927" i="8"/>
  <c r="G936" i="8"/>
  <c r="F936" i="8"/>
  <c r="F952" i="8"/>
  <c r="G952" i="8"/>
  <c r="G975" i="8"/>
  <c r="F996" i="8"/>
  <c r="G996" i="8"/>
  <c r="G740" i="8"/>
  <c r="F740" i="8"/>
  <c r="F830" i="8"/>
  <c r="G870" i="8"/>
  <c r="F870" i="8"/>
  <c r="G976" i="8"/>
  <c r="F976" i="8"/>
  <c r="G1035" i="8"/>
  <c r="F1035" i="8"/>
  <c r="F6" i="6"/>
  <c r="G380" i="8"/>
  <c r="F423" i="8"/>
  <c r="G438" i="8"/>
  <c r="F446" i="8"/>
  <c r="G470" i="8"/>
  <c r="F470" i="8"/>
  <c r="F526" i="8"/>
  <c r="F571" i="8"/>
  <c r="F578" i="8"/>
  <c r="F586" i="8"/>
  <c r="F658" i="8"/>
  <c r="F680" i="8"/>
  <c r="G787" i="8"/>
  <c r="F787" i="8"/>
  <c r="F845" i="8"/>
  <c r="G845" i="8"/>
  <c r="M81" i="5"/>
  <c r="M93" i="5"/>
  <c r="M182" i="5"/>
  <c r="M184" i="5"/>
  <c r="M196" i="5"/>
  <c r="M253" i="5"/>
  <c r="M285" i="5"/>
  <c r="F7" i="8"/>
  <c r="G60" i="8"/>
  <c r="G78" i="8"/>
  <c r="F84" i="8"/>
  <c r="G140" i="8"/>
  <c r="G150" i="8"/>
  <c r="G187" i="8"/>
  <c r="F202" i="8"/>
  <c r="G208" i="8"/>
  <c r="G216" i="8"/>
  <c r="F216" i="8"/>
  <c r="F260" i="8"/>
  <c r="F318" i="8"/>
  <c r="G318" i="8"/>
  <c r="G333" i="8"/>
  <c r="F350" i="8"/>
  <c r="G359" i="8"/>
  <c r="G373" i="8"/>
  <c r="F381" i="8"/>
  <c r="G381" i="8"/>
  <c r="F407" i="8"/>
  <c r="G527" i="8"/>
  <c r="F527" i="8"/>
  <c r="G543" i="8"/>
  <c r="F612" i="8"/>
  <c r="G612" i="8"/>
  <c r="F642" i="8"/>
  <c r="F651" i="8"/>
  <c r="G702" i="8"/>
  <c r="G764" i="8"/>
  <c r="G771" i="8"/>
  <c r="G853" i="8"/>
  <c r="G862" i="8"/>
  <c r="F862" i="8"/>
  <c r="F888" i="8"/>
  <c r="G922" i="8"/>
  <c r="F922" i="8"/>
  <c r="F969" i="8"/>
  <c r="G54" i="8"/>
  <c r="G99" i="8"/>
  <c r="G112" i="8"/>
  <c r="F112" i="8"/>
  <c r="F374" i="8"/>
  <c r="G374" i="8"/>
  <c r="G463" i="8"/>
  <c r="F463" i="8"/>
  <c r="G551" i="8"/>
  <c r="F551" i="8"/>
  <c r="G643" i="8"/>
  <c r="F643" i="8"/>
  <c r="F854" i="8"/>
  <c r="G854" i="8"/>
  <c r="G979" i="8"/>
  <c r="F979" i="8"/>
  <c r="G1027" i="8"/>
  <c r="F1027" i="8"/>
  <c r="G192" i="8"/>
  <c r="F192" i="8"/>
  <c r="G118" i="8"/>
  <c r="F118" i="8"/>
  <c r="F224" i="8"/>
  <c r="G224" i="8"/>
  <c r="F12" i="8"/>
  <c r="G215" i="8"/>
  <c r="M105" i="5"/>
  <c r="F8" i="8"/>
  <c r="G14" i="8"/>
  <c r="G106" i="8"/>
  <c r="F120" i="8"/>
  <c r="G128" i="8"/>
  <c r="F135" i="8"/>
  <c r="G142" i="8"/>
  <c r="F142" i="8"/>
  <c r="G159" i="8"/>
  <c r="F159" i="8"/>
  <c r="F188" i="8"/>
  <c r="F210" i="8"/>
  <c r="G210" i="8"/>
  <c r="F232" i="8"/>
  <c r="G283" i="8"/>
  <c r="G290" i="8"/>
  <c r="F298" i="8"/>
  <c r="F312" i="8"/>
  <c r="G312" i="8"/>
  <c r="F326" i="8"/>
  <c r="F334" i="8"/>
  <c r="F408" i="8"/>
  <c r="G447" i="8"/>
  <c r="F491" i="8"/>
  <c r="G509" i="8"/>
  <c r="G566" i="8"/>
  <c r="F581" i="8"/>
  <c r="G581" i="8"/>
  <c r="F594" i="8"/>
  <c r="F600" i="8"/>
  <c r="G727" i="8"/>
  <c r="F727" i="8"/>
  <c r="F742" i="8"/>
  <c r="F773" i="8"/>
  <c r="G773" i="8"/>
  <c r="F839" i="8"/>
  <c r="G839" i="8"/>
  <c r="G898" i="8"/>
  <c r="F898" i="8"/>
  <c r="G963" i="8"/>
  <c r="F963" i="8"/>
  <c r="F1008" i="8"/>
  <c r="G1066" i="8"/>
  <c r="F1066" i="8"/>
  <c r="M55" i="5"/>
  <c r="M23" i="5"/>
  <c r="M255" i="5"/>
  <c r="F90" i="8"/>
  <c r="G194" i="8"/>
  <c r="F275" i="8"/>
  <c r="L34" i="5"/>
  <c r="M34" i="5" s="1"/>
  <c r="M38" i="5"/>
  <c r="M40" i="5"/>
  <c r="M117" i="5"/>
  <c r="M123" i="5"/>
  <c r="M131" i="5"/>
  <c r="M149" i="5"/>
  <c r="M157" i="5"/>
  <c r="M171" i="5"/>
  <c r="M179" i="5"/>
  <c r="M232" i="5"/>
  <c r="M242" i="5"/>
  <c r="M313" i="5"/>
  <c r="M343" i="5"/>
  <c r="F2" i="8"/>
  <c r="G15" i="8"/>
  <c r="F15" i="8"/>
  <c r="F50" i="8"/>
  <c r="G63" i="8"/>
  <c r="F80" i="8"/>
  <c r="F86" i="8"/>
  <c r="F182" i="8"/>
  <c r="F240" i="8"/>
  <c r="G255" i="8"/>
  <c r="F262" i="8"/>
  <c r="F306" i="8"/>
  <c r="G306" i="8"/>
  <c r="F418" i="8"/>
  <c r="G456" i="8"/>
  <c r="F456" i="8"/>
  <c r="G501" i="8"/>
  <c r="F552" i="8"/>
  <c r="G573" i="8"/>
  <c r="F614" i="8"/>
  <c r="G629" i="8"/>
  <c r="G669" i="8"/>
  <c r="F675" i="8"/>
  <c r="G683" i="8"/>
  <c r="F750" i="8"/>
  <c r="G750" i="8"/>
  <c r="F766" i="8"/>
  <c r="F848" i="8"/>
  <c r="G848" i="8"/>
  <c r="G890" i="8"/>
  <c r="F890" i="8"/>
  <c r="G908" i="8"/>
  <c r="G1019" i="8"/>
  <c r="F1019" i="8"/>
  <c r="F1044" i="8"/>
  <c r="G1044" i="8"/>
  <c r="M122" i="5"/>
  <c r="F20" i="8"/>
  <c r="G20" i="8"/>
  <c r="M176" i="5"/>
  <c r="G179" i="8"/>
  <c r="F179" i="8"/>
  <c r="G324" i="8"/>
  <c r="F324" i="8"/>
  <c r="M91" i="5"/>
  <c r="M204" i="5"/>
  <c r="M17" i="5"/>
  <c r="M28" i="5"/>
  <c r="M62" i="5"/>
  <c r="M68" i="5"/>
  <c r="M238" i="5"/>
  <c r="M252" i="5"/>
  <c r="M260" i="5"/>
  <c r="M325" i="5"/>
  <c r="G64" i="8"/>
  <c r="F354" i="8"/>
  <c r="G354" i="8"/>
  <c r="G588" i="8"/>
  <c r="F588" i="8"/>
  <c r="F608" i="8"/>
  <c r="G638" i="8"/>
  <c r="G646" i="8"/>
  <c r="F646" i="8"/>
  <c r="F715" i="8"/>
  <c r="F790" i="8"/>
  <c r="G790" i="8"/>
  <c r="G808" i="8"/>
  <c r="F808" i="8"/>
  <c r="F826" i="8"/>
  <c r="G826" i="8"/>
  <c r="F840" i="8"/>
  <c r="G856" i="8"/>
  <c r="F856" i="8"/>
  <c r="G875" i="8"/>
  <c r="G300" i="8"/>
  <c r="F300" i="8"/>
  <c r="F483" i="8"/>
  <c r="G483" i="8"/>
  <c r="F949" i="8"/>
  <c r="G52" i="8"/>
  <c r="F52" i="8"/>
  <c r="G330" i="8"/>
  <c r="C9" i="10" s="1"/>
  <c r="F330" i="8"/>
  <c r="F678" i="8"/>
  <c r="G678" i="8"/>
  <c r="G886" i="8"/>
  <c r="F886" i="8"/>
  <c r="G903" i="8"/>
  <c r="F903" i="8"/>
  <c r="G986" i="8"/>
  <c r="F986" i="8"/>
  <c r="G234" i="8"/>
  <c r="F234" i="8"/>
  <c r="M78" i="5"/>
  <c r="M98" i="5"/>
  <c r="M276" i="5"/>
  <c r="M292" i="5"/>
  <c r="M294" i="5"/>
  <c r="F108" i="8"/>
  <c r="G115" i="8"/>
  <c r="F162" i="8"/>
  <c r="F199" i="8"/>
  <c r="G199" i="8"/>
  <c r="F212" i="8"/>
  <c r="F220" i="8"/>
  <c r="F264" i="8"/>
  <c r="F279" i="8"/>
  <c r="G279" i="8"/>
  <c r="G328" i="8"/>
  <c r="G370" i="8"/>
  <c r="G376" i="8"/>
  <c r="G435" i="8"/>
  <c r="F443" i="8"/>
  <c r="G443" i="8"/>
  <c r="F467" i="8"/>
  <c r="F511" i="8"/>
  <c r="G517" i="8"/>
  <c r="G523" i="8"/>
  <c r="F523" i="8"/>
  <c r="F539" i="8"/>
  <c r="F602" i="8"/>
  <c r="G609" i="8"/>
  <c r="F615" i="8"/>
  <c r="G631" i="8"/>
  <c r="F639" i="8"/>
  <c r="G647" i="8"/>
  <c r="F691" i="8"/>
  <c r="F698" i="8"/>
  <c r="F730" i="8"/>
  <c r="F783" i="8"/>
  <c r="G802" i="8"/>
  <c r="F802" i="8"/>
  <c r="F827" i="8"/>
  <c r="F858" i="8"/>
  <c r="G858" i="8"/>
  <c r="G901" i="8"/>
  <c r="F901" i="8"/>
  <c r="M324" i="5"/>
  <c r="F819" i="8"/>
  <c r="G819" i="8"/>
  <c r="M49" i="5"/>
  <c r="G11" i="11" s="1"/>
  <c r="E12" i="12" s="1"/>
  <c r="M318" i="5"/>
  <c r="G46" i="8"/>
  <c r="F46" i="8"/>
  <c r="F460" i="8"/>
  <c r="G460" i="8"/>
  <c r="G144" i="8"/>
  <c r="F144" i="8"/>
  <c r="G204" i="8"/>
  <c r="F204" i="8"/>
  <c r="J35" i="5"/>
  <c r="M102" i="5"/>
  <c r="M106" i="5"/>
  <c r="M108" i="5"/>
  <c r="M112" i="5"/>
  <c r="M120" i="5"/>
  <c r="M189" i="5"/>
  <c r="M221" i="5"/>
  <c r="M274" i="5"/>
  <c r="G34" i="8"/>
  <c r="F34" i="8"/>
  <c r="F251" i="8"/>
  <c r="G308" i="8"/>
  <c r="F386" i="8"/>
  <c r="G386" i="8"/>
  <c r="F512" i="8"/>
  <c r="G512" i="8"/>
  <c r="F548" i="8"/>
  <c r="F554" i="8"/>
  <c r="G568" i="8"/>
  <c r="F575" i="8"/>
  <c r="G590" i="8"/>
  <c r="G616" i="8"/>
  <c r="F616" i="8"/>
  <c r="G677" i="8"/>
  <c r="G692" i="8"/>
  <c r="F692" i="8"/>
  <c r="F723" i="8"/>
  <c r="F738" i="8"/>
  <c r="F867" i="8"/>
  <c r="G867" i="8"/>
  <c r="F878" i="8"/>
  <c r="G878" i="8"/>
  <c r="G1043" i="8"/>
  <c r="G784" i="8"/>
  <c r="F799" i="8"/>
  <c r="G813" i="8"/>
  <c r="G852" i="8"/>
  <c r="F892" i="8"/>
  <c r="F914" i="8"/>
  <c r="F920" i="8"/>
  <c r="F926" i="8"/>
  <c r="F934" i="8"/>
  <c r="G940" i="8"/>
  <c r="G947" i="8"/>
  <c r="F974" i="8"/>
  <c r="G1049" i="8"/>
  <c r="F5" i="6"/>
  <c r="E10" i="6"/>
  <c r="F11" i="6"/>
  <c r="E12" i="6"/>
  <c r="F14" i="6"/>
  <c r="E16" i="6"/>
  <c r="E17" i="6"/>
  <c r="F20" i="6"/>
  <c r="E22" i="6"/>
  <c r="E23" i="6"/>
  <c r="F24" i="6"/>
  <c r="F26" i="6"/>
  <c r="E28" i="6"/>
  <c r="E29" i="6"/>
  <c r="F30" i="6"/>
  <c r="E32" i="6"/>
  <c r="F35" i="6"/>
  <c r="F36" i="6"/>
  <c r="F37" i="6"/>
  <c r="M132" i="5"/>
  <c r="M134" i="5"/>
  <c r="M138" i="5"/>
  <c r="M142" i="5"/>
  <c r="M152" i="5"/>
  <c r="M158" i="5"/>
  <c r="M160" i="5"/>
  <c r="M215" i="5"/>
  <c r="M217" i="5"/>
  <c r="M229" i="5"/>
  <c r="M231" i="5"/>
  <c r="M235" i="5"/>
  <c r="M237" i="5"/>
  <c r="M239" i="5"/>
  <c r="G24" i="8"/>
  <c r="F58" i="8"/>
  <c r="G94" i="8"/>
  <c r="F138" i="8"/>
  <c r="F263" i="8"/>
  <c r="G270" i="8"/>
  <c r="G295" i="8"/>
  <c r="G338" i="8"/>
  <c r="F368" i="8"/>
  <c r="G389" i="8"/>
  <c r="G397" i="8"/>
  <c r="G413" i="8"/>
  <c r="F450" i="8"/>
  <c r="G565" i="8"/>
  <c r="F583" i="8"/>
  <c r="F607" i="8"/>
  <c r="G634" i="8"/>
  <c r="G667" i="8"/>
  <c r="F699" i="8"/>
  <c r="G708" i="8"/>
  <c r="G735" i="8"/>
  <c r="G746" i="8"/>
  <c r="G753" i="8"/>
  <c r="G760" i="8"/>
  <c r="F767" i="8"/>
  <c r="F794" i="8"/>
  <c r="G860" i="8"/>
  <c r="F876" i="8"/>
  <c r="G916" i="8"/>
  <c r="F994" i="8"/>
  <c r="F1059" i="8"/>
  <c r="F1075" i="8"/>
  <c r="G1060" i="8"/>
  <c r="G1039" i="8"/>
  <c r="G1061" i="8"/>
  <c r="F967" i="8"/>
  <c r="G991" i="8"/>
  <c r="F1024" i="8"/>
  <c r="G1031" i="8"/>
  <c r="F1056" i="8"/>
  <c r="F1070" i="8"/>
  <c r="M9" i="5"/>
  <c r="J17" i="11" s="1"/>
  <c r="M19" i="5"/>
  <c r="M82" i="5"/>
  <c r="M84" i="5"/>
  <c r="M257" i="5"/>
  <c r="M263" i="5"/>
  <c r="M265" i="5"/>
  <c r="M290" i="5"/>
  <c r="G127" i="8"/>
  <c r="F127" i="8"/>
  <c r="G454" i="8"/>
  <c r="F454" i="8"/>
  <c r="F598" i="8"/>
  <c r="G598" i="8"/>
  <c r="G1071" i="8"/>
  <c r="F1071" i="8"/>
  <c r="E3" i="6"/>
  <c r="E4" i="6"/>
  <c r="E7" i="6"/>
  <c r="F8" i="6"/>
  <c r="E8" i="6"/>
  <c r="F9" i="6"/>
  <c r="E9" i="6"/>
  <c r="F13" i="6"/>
  <c r="E13" i="6"/>
  <c r="F15" i="6"/>
  <c r="E15" i="6"/>
  <c r="F19" i="6"/>
  <c r="E19" i="6"/>
  <c r="F21" i="6"/>
  <c r="E21" i="6"/>
  <c r="F25" i="6"/>
  <c r="E25" i="6"/>
  <c r="F27" i="6"/>
  <c r="E27" i="6"/>
  <c r="F31" i="6"/>
  <c r="E31" i="6"/>
  <c r="F33" i="6"/>
  <c r="E33" i="6"/>
  <c r="F34" i="6"/>
  <c r="E34" i="6"/>
  <c r="E14" i="6"/>
  <c r="F29" i="6"/>
  <c r="G79" i="8"/>
  <c r="F79" i="8"/>
  <c r="G146" i="8"/>
  <c r="F146" i="8"/>
  <c r="G171" i="8"/>
  <c r="F171" i="8"/>
  <c r="F448" i="8"/>
  <c r="G455" i="8"/>
  <c r="F455" i="8"/>
  <c r="G494" i="8"/>
  <c r="F494" i="8"/>
  <c r="G247" i="8"/>
  <c r="F247" i="8"/>
  <c r="F357" i="8"/>
  <c r="G357" i="8"/>
  <c r="F406" i="8"/>
  <c r="G406" i="8"/>
  <c r="F2" i="6"/>
  <c r="E2" i="6"/>
  <c r="F10" i="6"/>
  <c r="M156" i="5"/>
  <c r="M213" i="5"/>
  <c r="M240" i="5"/>
  <c r="F17" i="6"/>
  <c r="F31" i="8"/>
  <c r="F36" i="8"/>
  <c r="G72" i="8"/>
  <c r="F155" i="8"/>
  <c r="F160" i="8"/>
  <c r="F166" i="8"/>
  <c r="G196" i="8"/>
  <c r="F196" i="8"/>
  <c r="G248" i="8"/>
  <c r="F248" i="8"/>
  <c r="G272" i="8"/>
  <c r="F272" i="8"/>
  <c r="F349" i="8"/>
  <c r="G349" i="8"/>
  <c r="F398" i="8"/>
  <c r="G398" i="8"/>
  <c r="F477" i="8"/>
  <c r="G477" i="8"/>
  <c r="G530" i="8"/>
  <c r="F530" i="8"/>
  <c r="G734" i="8"/>
  <c r="F734" i="8"/>
  <c r="F780" i="8"/>
  <c r="G780" i="8"/>
  <c r="F793" i="8"/>
  <c r="G793" i="8"/>
  <c r="F1000" i="8"/>
  <c r="G1000" i="8"/>
  <c r="G18" i="8"/>
  <c r="F18" i="8"/>
  <c r="F341" i="8"/>
  <c r="G341" i="8"/>
  <c r="G487" i="8"/>
  <c r="F487" i="8"/>
  <c r="F518" i="8"/>
  <c r="G518" i="8"/>
  <c r="G928" i="8"/>
  <c r="F928" i="8"/>
  <c r="E5" i="6"/>
  <c r="G6" i="8"/>
  <c r="G38" i="8"/>
  <c r="F38" i="8"/>
  <c r="G47" i="8"/>
  <c r="F47" i="8"/>
  <c r="G74" i="8"/>
  <c r="F74" i="8"/>
  <c r="F110" i="8"/>
  <c r="G122" i="8"/>
  <c r="F122" i="8"/>
  <c r="F191" i="8"/>
  <c r="G198" i="8"/>
  <c r="F198" i="8"/>
  <c r="G506" i="8"/>
  <c r="F506" i="8"/>
  <c r="G626" i="8"/>
  <c r="F626" i="8"/>
  <c r="G923" i="8"/>
  <c r="F923" i="8"/>
  <c r="M50" i="5"/>
  <c r="G12" i="11" s="1"/>
  <c r="E13" i="12" s="1"/>
  <c r="M135" i="5"/>
  <c r="E20" i="6"/>
  <c r="E36" i="6"/>
  <c r="G48" i="8"/>
  <c r="F48" i="8"/>
  <c r="F75" i="8"/>
  <c r="G75" i="8"/>
  <c r="F99" i="8"/>
  <c r="F180" i="8"/>
  <c r="G223" i="8"/>
  <c r="F223" i="8"/>
  <c r="F384" i="8"/>
  <c r="G391" i="8"/>
  <c r="F391" i="8"/>
  <c r="F464" i="8"/>
  <c r="F507" i="8"/>
  <c r="G507" i="8"/>
  <c r="F709" i="8"/>
  <c r="G709" i="8"/>
  <c r="M110" i="5"/>
  <c r="M293" i="5"/>
  <c r="E6" i="6"/>
  <c r="F22" i="6"/>
  <c r="F186" i="8"/>
  <c r="G242" i="8"/>
  <c r="F242" i="8"/>
  <c r="G267" i="8"/>
  <c r="F267" i="8"/>
  <c r="G292" i="8"/>
  <c r="F292" i="8"/>
  <c r="G335" i="8"/>
  <c r="F335" i="8"/>
  <c r="F378" i="8"/>
  <c r="G424" i="8"/>
  <c r="F424" i="8"/>
  <c r="G499" i="8"/>
  <c r="F499" i="8"/>
  <c r="F620" i="8"/>
  <c r="G620" i="8"/>
  <c r="F660" i="8"/>
  <c r="G660" i="8"/>
  <c r="G172" i="8"/>
  <c r="F172" i="8"/>
  <c r="L24" i="5"/>
  <c r="G70" i="8"/>
  <c r="M73" i="5"/>
  <c r="M304" i="5"/>
  <c r="G222" i="8"/>
  <c r="F222" i="8"/>
  <c r="G342" i="8"/>
  <c r="F342" i="8"/>
  <c r="M161" i="5"/>
  <c r="M208" i="5"/>
  <c r="M301" i="5"/>
  <c r="F7" i="6"/>
  <c r="F23" i="6"/>
  <c r="E37" i="6"/>
  <c r="G151" i="8"/>
  <c r="F151" i="8"/>
  <c r="G243" i="8"/>
  <c r="F243" i="8"/>
  <c r="G268" i="8"/>
  <c r="F268" i="8"/>
  <c r="G379" i="8"/>
  <c r="F379" i="8"/>
  <c r="G655" i="8"/>
  <c r="F655" i="8"/>
  <c r="G695" i="8"/>
  <c r="F695" i="8"/>
  <c r="M27" i="5"/>
  <c r="M116" i="5"/>
  <c r="M352" i="5"/>
  <c r="M360" i="5"/>
  <c r="E24" i="6"/>
  <c r="G152" i="8"/>
  <c r="F152" i="8"/>
  <c r="G176" i="8"/>
  <c r="F176" i="8"/>
  <c r="G294" i="8"/>
  <c r="F294" i="8"/>
  <c r="F426" i="8"/>
  <c r="G426" i="8"/>
  <c r="G459" i="8"/>
  <c r="F459" i="8"/>
  <c r="G579" i="8"/>
  <c r="F579" i="8"/>
  <c r="F649" i="8"/>
  <c r="G649" i="8"/>
  <c r="G662" i="8"/>
  <c r="F662" i="8"/>
  <c r="F682" i="8"/>
  <c r="G682" i="8"/>
  <c r="G147" i="8"/>
  <c r="F147" i="8"/>
  <c r="M5" i="5"/>
  <c r="F17" i="11" s="1"/>
  <c r="M177" i="5"/>
  <c r="M243" i="5"/>
  <c r="M280" i="5"/>
  <c r="M317" i="5"/>
  <c r="G22" i="8"/>
  <c r="F22" i="8"/>
  <c r="G42" i="8"/>
  <c r="F42" i="8"/>
  <c r="G367" i="8"/>
  <c r="F367" i="8"/>
  <c r="G798" i="8"/>
  <c r="F798" i="8"/>
  <c r="G68" i="8"/>
  <c r="J24" i="5"/>
  <c r="M11" i="5"/>
  <c r="L17" i="11" s="1"/>
  <c r="M15" i="5"/>
  <c r="M101" i="5"/>
  <c r="M103" i="5"/>
  <c r="M107" i="5"/>
  <c r="M111" i="5"/>
  <c r="M249" i="5"/>
  <c r="M251" i="5"/>
  <c r="M335" i="5"/>
  <c r="M337" i="5"/>
  <c r="M339" i="5"/>
  <c r="E26" i="6"/>
  <c r="G3" i="8"/>
  <c r="F3" i="8"/>
  <c r="G23" i="8"/>
  <c r="F23" i="8"/>
  <c r="G43" i="8"/>
  <c r="F43" i="8"/>
  <c r="G126" i="8"/>
  <c r="F126" i="8"/>
  <c r="F206" i="8"/>
  <c r="G218" i="8"/>
  <c r="F218" i="8"/>
  <c r="F362" i="8"/>
  <c r="G703" i="8"/>
  <c r="F703" i="8"/>
  <c r="G806" i="8"/>
  <c r="F806" i="8"/>
  <c r="G591" i="8"/>
  <c r="F591" i="8"/>
  <c r="G694" i="8"/>
  <c r="F694" i="8"/>
  <c r="G752" i="8"/>
  <c r="F752" i="8"/>
  <c r="M71" i="5"/>
  <c r="M126" i="5"/>
  <c r="M143" i="5"/>
  <c r="M166" i="5"/>
  <c r="M170" i="5"/>
  <c r="M187" i="5"/>
  <c r="M191" i="5"/>
  <c r="M193" i="5"/>
  <c r="M195" i="5"/>
  <c r="M210" i="5"/>
  <c r="M214" i="5"/>
  <c r="M261" i="5"/>
  <c r="M282" i="5"/>
  <c r="M286" i="5"/>
  <c r="M288" i="5"/>
  <c r="M312" i="5"/>
  <c r="M322" i="5"/>
  <c r="M341" i="5"/>
  <c r="F399" i="8"/>
  <c r="G399" i="8"/>
  <c r="G478" i="8"/>
  <c r="F478" i="8"/>
  <c r="G535" i="8"/>
  <c r="F535" i="8"/>
  <c r="F561" i="8"/>
  <c r="G561" i="8"/>
  <c r="G644" i="8"/>
  <c r="F644" i="8"/>
  <c r="G828" i="8"/>
  <c r="F828" i="8"/>
  <c r="G995" i="8"/>
  <c r="F995" i="8"/>
  <c r="G1058" i="8"/>
  <c r="F1058" i="8"/>
  <c r="M124" i="5"/>
  <c r="M151" i="5"/>
  <c r="M164" i="5"/>
  <c r="M183" i="5"/>
  <c r="M199" i="5"/>
  <c r="M201" i="5"/>
  <c r="M227" i="5"/>
  <c r="M233" i="5"/>
  <c r="M250" i="5"/>
  <c r="M267" i="5"/>
  <c r="M297" i="5"/>
  <c r="M320" i="5"/>
  <c r="M349" i="5"/>
  <c r="M351" i="5"/>
  <c r="M355" i="5"/>
  <c r="M357" i="5"/>
  <c r="M361" i="5"/>
  <c r="G392" i="8"/>
  <c r="F392" i="8"/>
  <c r="G466" i="8"/>
  <c r="F486" i="8"/>
  <c r="G632" i="8"/>
  <c r="F632" i="8"/>
  <c r="G710" i="8"/>
  <c r="F779" i="8"/>
  <c r="G786" i="8"/>
  <c r="F786" i="8"/>
  <c r="G792" i="8"/>
  <c r="F792" i="8"/>
  <c r="G912" i="8"/>
  <c r="F912" i="8"/>
  <c r="G1053" i="8"/>
  <c r="F1053" i="8"/>
  <c r="M10" i="5"/>
  <c r="K17" i="11" s="1"/>
  <c r="M12" i="5"/>
  <c r="M41" i="5"/>
  <c r="M56" i="5"/>
  <c r="M92" i="5"/>
  <c r="M109" i="5"/>
  <c r="M130" i="5"/>
  <c r="M140" i="5"/>
  <c r="M197" i="5"/>
  <c r="M207" i="5"/>
  <c r="M246" i="5"/>
  <c r="M258" i="5"/>
  <c r="M275" i="5"/>
  <c r="M279" i="5"/>
  <c r="M307" i="5"/>
  <c r="M309" i="5"/>
  <c r="M328" i="5"/>
  <c r="M353" i="5"/>
  <c r="M359" i="5"/>
  <c r="G472" i="8"/>
  <c r="F472" i="8"/>
  <c r="F513" i="8"/>
  <c r="G513" i="8"/>
  <c r="G690" i="8"/>
  <c r="F690" i="8"/>
  <c r="F774" i="8"/>
  <c r="G774" i="8"/>
  <c r="G822" i="8"/>
  <c r="F822" i="8"/>
  <c r="G906" i="8"/>
  <c r="F906" i="8"/>
  <c r="G1037" i="8"/>
  <c r="F1037" i="8"/>
  <c r="M37" i="5"/>
  <c r="M83" i="5"/>
  <c r="M136" i="5"/>
  <c r="M159" i="5"/>
  <c r="M254" i="5"/>
  <c r="M256" i="5"/>
  <c r="M264" i="5"/>
  <c r="M315" i="5"/>
  <c r="M334" i="5"/>
  <c r="M33" i="5"/>
  <c r="C42" i="10"/>
  <c r="G331" i="8"/>
  <c r="G351" i="8"/>
  <c r="F351" i="8"/>
  <c r="G394" i="8"/>
  <c r="F414" i="8"/>
  <c r="G712" i="8"/>
  <c r="F712" i="8"/>
  <c r="F755" i="8"/>
  <c r="F762" i="8"/>
  <c r="G823" i="8"/>
  <c r="F823" i="8"/>
  <c r="G874" i="8"/>
  <c r="M87" i="5"/>
  <c r="M146" i="5"/>
  <c r="M228" i="5"/>
  <c r="M230" i="5"/>
  <c r="M298" i="5"/>
  <c r="M342" i="5"/>
  <c r="M344" i="5"/>
  <c r="F332" i="8"/>
  <c r="G332" i="8"/>
  <c r="G352" i="8"/>
  <c r="F352" i="8"/>
  <c r="G440" i="8"/>
  <c r="F440" i="8"/>
  <c r="G462" i="8"/>
  <c r="F462" i="8"/>
  <c r="G502" i="8"/>
  <c r="F502" i="8"/>
  <c r="G558" i="8"/>
  <c r="F558" i="8"/>
  <c r="G599" i="8"/>
  <c r="G605" i="8"/>
  <c r="G621" i="8"/>
  <c r="F627" i="8"/>
  <c r="G627" i="8"/>
  <c r="G635" i="8"/>
  <c r="F635" i="8"/>
  <c r="F666" i="8"/>
  <c r="G666" i="8"/>
  <c r="G704" i="8"/>
  <c r="F704" i="8"/>
  <c r="F749" i="8"/>
  <c r="G749" i="8"/>
  <c r="F756" i="8"/>
  <c r="G756" i="8"/>
  <c r="F1022" i="8"/>
  <c r="G1029" i="8"/>
  <c r="F1029" i="8"/>
  <c r="M3" i="5"/>
  <c r="D17" i="11" s="1"/>
  <c r="M53" i="5"/>
  <c r="M70" i="5"/>
  <c r="M72" i="5"/>
  <c r="M85" i="5"/>
  <c r="M89" i="5"/>
  <c r="M125" i="5"/>
  <c r="M127" i="5"/>
  <c r="M163" i="5"/>
  <c r="M165" i="5"/>
  <c r="M167" i="5"/>
  <c r="M186" i="5"/>
  <c r="M188" i="5"/>
  <c r="M192" i="5"/>
  <c r="M194" i="5"/>
  <c r="M226" i="5"/>
  <c r="M268" i="5"/>
  <c r="M270" i="5"/>
  <c r="M272" i="5"/>
  <c r="M287" i="5"/>
  <c r="M321" i="5"/>
  <c r="M323" i="5"/>
  <c r="M340" i="5"/>
  <c r="G104" i="8"/>
  <c r="G98" i="8"/>
  <c r="C22" i="10" s="1"/>
  <c r="F39" i="8"/>
  <c r="G44" i="8"/>
  <c r="F148" i="8"/>
  <c r="F244" i="8"/>
  <c r="F415" i="8"/>
  <c r="G434" i="8"/>
  <c r="F474" i="8"/>
  <c r="F495" i="8"/>
  <c r="G503" i="8"/>
  <c r="F503" i="8"/>
  <c r="G1015" i="8"/>
  <c r="F1015" i="8"/>
  <c r="G1023" i="8"/>
  <c r="F1023" i="8"/>
  <c r="G346" i="8"/>
  <c r="F346" i="8"/>
  <c r="F428" i="8"/>
  <c r="G428" i="8"/>
  <c r="G547" i="8"/>
  <c r="F547" i="8"/>
  <c r="G679" i="8"/>
  <c r="F679" i="8"/>
  <c r="G706" i="8"/>
  <c r="F706" i="8"/>
  <c r="G1016" i="8"/>
  <c r="F1016" i="8"/>
  <c r="M20" i="5"/>
  <c r="M59" i="5"/>
  <c r="M95" i="5"/>
  <c r="M133" i="5"/>
  <c r="M150" i="5"/>
  <c r="M169" i="5"/>
  <c r="M190" i="5"/>
  <c r="M219" i="5"/>
  <c r="M236" i="5"/>
  <c r="M291" i="5"/>
  <c r="M348" i="5"/>
  <c r="G62" i="8"/>
  <c r="G30" i="8"/>
  <c r="F134" i="8"/>
  <c r="G139" i="8"/>
  <c r="F230" i="8"/>
  <c r="G235" i="8"/>
  <c r="F322" i="8"/>
  <c r="F377" i="8"/>
  <c r="G377" i="8"/>
  <c r="F410" i="8"/>
  <c r="F416" i="8"/>
  <c r="F429" i="8"/>
  <c r="G429" i="8"/>
  <c r="G469" i="8"/>
  <c r="F475" i="8"/>
  <c r="G490" i="8"/>
  <c r="G533" i="8"/>
  <c r="G648" i="8"/>
  <c r="F744" i="8"/>
  <c r="G744" i="8"/>
  <c r="F861" i="8"/>
  <c r="G861" i="8"/>
  <c r="F956" i="8"/>
  <c r="F1007" i="8"/>
  <c r="F869" i="8"/>
  <c r="G869" i="8"/>
  <c r="F661" i="8"/>
  <c r="G661" i="8"/>
  <c r="F705" i="8"/>
  <c r="G705" i="8"/>
  <c r="G893" i="8"/>
  <c r="F893" i="8"/>
  <c r="F982" i="8"/>
  <c r="F989" i="8"/>
  <c r="G1009" i="8"/>
  <c r="F1009" i="8"/>
  <c r="G835" i="8"/>
  <c r="F835" i="8"/>
  <c r="G931" i="8"/>
  <c r="F931" i="8"/>
  <c r="F461" i="8"/>
  <c r="G461" i="8"/>
  <c r="G800" i="8"/>
  <c r="F800" i="8"/>
  <c r="G863" i="8"/>
  <c r="F863" i="8"/>
  <c r="F882" i="8"/>
  <c r="F964" i="8"/>
  <c r="G964" i="8"/>
  <c r="F983" i="8"/>
  <c r="G1003" i="8"/>
  <c r="F1010" i="8"/>
  <c r="G1018" i="8"/>
  <c r="F1018" i="8"/>
  <c r="F1040" i="8"/>
  <c r="G824" i="8"/>
  <c r="F824" i="8"/>
  <c r="G1077" i="8"/>
  <c r="F1077" i="8"/>
  <c r="G524" i="8"/>
  <c r="F542" i="8"/>
  <c r="G563" i="8"/>
  <c r="F613" i="8"/>
  <c r="G613" i="8"/>
  <c r="F630" i="8"/>
  <c r="F663" i="8"/>
  <c r="F686" i="8"/>
  <c r="F707" i="8"/>
  <c r="F765" i="8"/>
  <c r="G765" i="8"/>
  <c r="G801" i="8"/>
  <c r="G812" i="8"/>
  <c r="F818" i="8"/>
  <c r="G841" i="8"/>
  <c r="F847" i="8"/>
  <c r="F871" i="8"/>
  <c r="F933" i="8"/>
  <c r="F485" i="8"/>
  <c r="G485" i="8"/>
  <c r="F564" i="8"/>
  <c r="G564" i="8"/>
  <c r="F653" i="8"/>
  <c r="G653" i="8"/>
  <c r="G795" i="8"/>
  <c r="F795" i="8"/>
  <c r="G884" i="8"/>
  <c r="F884" i="8"/>
  <c r="G954" i="8"/>
  <c r="F954" i="8"/>
  <c r="F971" i="8"/>
  <c r="G977" i="8"/>
  <c r="F1034" i="8"/>
  <c r="F1063" i="8"/>
  <c r="F1069" i="8"/>
  <c r="G910" i="8"/>
  <c r="F910" i="8"/>
  <c r="F946" i="8"/>
  <c r="F957" i="8"/>
  <c r="F984" i="8"/>
  <c r="F1002" i="8"/>
  <c r="G1012" i="8"/>
  <c r="F1042" i="8"/>
  <c r="F4" i="6"/>
  <c r="E11" i="6"/>
  <c r="G805" i="8"/>
  <c r="G849" i="8"/>
  <c r="G905" i="8"/>
  <c r="G937" i="8"/>
  <c r="F981" i="8"/>
  <c r="F1032" i="8"/>
  <c r="F1050" i="8"/>
  <c r="F1072" i="8"/>
  <c r="G1073" i="8"/>
  <c r="B2" i="12"/>
  <c r="J4" i="11"/>
  <c r="M63" i="5"/>
  <c r="M144" i="5"/>
  <c r="M205" i="5"/>
  <c r="M104" i="5"/>
  <c r="M8" i="5"/>
  <c r="M80" i="5"/>
  <c r="M99" i="5"/>
  <c r="M39" i="5"/>
  <c r="M118" i="5"/>
  <c r="M137" i="5"/>
  <c r="J32" i="5"/>
  <c r="M303" i="5"/>
  <c r="M247" i="5"/>
  <c r="M284" i="5"/>
  <c r="G17" i="8"/>
  <c r="F17" i="8"/>
  <c r="G41" i="8"/>
  <c r="F41" i="8"/>
  <c r="G65" i="8"/>
  <c r="F65" i="8"/>
  <c r="G89" i="8"/>
  <c r="F89" i="8"/>
  <c r="G113" i="8"/>
  <c r="F113" i="8"/>
  <c r="G137" i="8"/>
  <c r="F137" i="8"/>
  <c r="G161" i="8"/>
  <c r="F161" i="8"/>
  <c r="G185" i="8"/>
  <c r="F185" i="8"/>
  <c r="G209" i="8"/>
  <c r="F209" i="8"/>
  <c r="G233" i="8"/>
  <c r="F233" i="8"/>
  <c r="G257" i="8"/>
  <c r="F257" i="8"/>
  <c r="G281" i="8"/>
  <c r="F281" i="8"/>
  <c r="G305" i="8"/>
  <c r="F305" i="8"/>
  <c r="F329" i="8"/>
  <c r="G329" i="8"/>
  <c r="F393" i="8"/>
  <c r="G393" i="8"/>
  <c r="F521" i="8"/>
  <c r="G521" i="8"/>
  <c r="G13" i="8"/>
  <c r="F13" i="8"/>
  <c r="G37" i="8"/>
  <c r="F37" i="8"/>
  <c r="G61" i="8"/>
  <c r="F61" i="8"/>
  <c r="G85" i="8"/>
  <c r="F85" i="8"/>
  <c r="G109" i="8"/>
  <c r="F109" i="8"/>
  <c r="G133" i="8"/>
  <c r="F133" i="8"/>
  <c r="G157" i="8"/>
  <c r="F157" i="8"/>
  <c r="G181" i="8"/>
  <c r="F181" i="8"/>
  <c r="G205" i="8"/>
  <c r="F205" i="8"/>
  <c r="G229" i="8"/>
  <c r="F229" i="8"/>
  <c r="G253" i="8"/>
  <c r="F253" i="8"/>
  <c r="G277" i="8"/>
  <c r="F277" i="8"/>
  <c r="G301" i="8"/>
  <c r="F301" i="8"/>
  <c r="G325" i="8"/>
  <c r="F325" i="8"/>
  <c r="G388" i="8"/>
  <c r="F425" i="8"/>
  <c r="G425" i="8"/>
  <c r="G532" i="8"/>
  <c r="F532" i="8"/>
  <c r="F360" i="8"/>
  <c r="G369" i="8"/>
  <c r="G420" i="8"/>
  <c r="F1013" i="8"/>
  <c r="G1013" i="8"/>
  <c r="M115" i="5"/>
  <c r="M223" i="5"/>
  <c r="M295" i="5"/>
  <c r="G9" i="8"/>
  <c r="F9" i="8"/>
  <c r="G33" i="8"/>
  <c r="F33" i="8"/>
  <c r="G57" i="8"/>
  <c r="F57" i="8"/>
  <c r="G71" i="8"/>
  <c r="G81" i="8"/>
  <c r="F81" i="8"/>
  <c r="G95" i="8"/>
  <c r="G105" i="8"/>
  <c r="F105" i="8"/>
  <c r="G129" i="8"/>
  <c r="F129" i="8"/>
  <c r="G153" i="8"/>
  <c r="F153" i="8"/>
  <c r="G177" i="8"/>
  <c r="F177" i="8"/>
  <c r="G201" i="8"/>
  <c r="F201" i="8"/>
  <c r="G225" i="8"/>
  <c r="F225" i="8"/>
  <c r="G249" i="8"/>
  <c r="F249" i="8"/>
  <c r="G273" i="8"/>
  <c r="F273" i="8"/>
  <c r="G297" i="8"/>
  <c r="F297" i="8"/>
  <c r="G321" i="8"/>
  <c r="F321" i="8"/>
  <c r="F356" i="8"/>
  <c r="G365" i="8"/>
  <c r="G953" i="8"/>
  <c r="F953" i="8"/>
  <c r="M225" i="5"/>
  <c r="M244" i="5"/>
  <c r="F361" i="8"/>
  <c r="G361" i="8"/>
  <c r="F737" i="8"/>
  <c r="G737" i="8"/>
  <c r="G820" i="8"/>
  <c r="F820" i="8"/>
  <c r="F904" i="8"/>
  <c r="M211" i="5"/>
  <c r="M218" i="5"/>
  <c r="M283" i="5"/>
  <c r="G29" i="8"/>
  <c r="F29" i="8"/>
  <c r="G53" i="8"/>
  <c r="F53" i="8"/>
  <c r="G67" i="8"/>
  <c r="G77" i="8"/>
  <c r="F77" i="8"/>
  <c r="G101" i="8"/>
  <c r="F101" i="8"/>
  <c r="G125" i="8"/>
  <c r="F125" i="8"/>
  <c r="G149" i="8"/>
  <c r="F149" i="8"/>
  <c r="G173" i="8"/>
  <c r="F173" i="8"/>
  <c r="G197" i="8"/>
  <c r="F197" i="8"/>
  <c r="G221" i="8"/>
  <c r="F221" i="8"/>
  <c r="G245" i="8"/>
  <c r="F245" i="8"/>
  <c r="G269" i="8"/>
  <c r="F269" i="8"/>
  <c r="G293" i="8"/>
  <c r="F293" i="8"/>
  <c r="G317" i="8"/>
  <c r="F317" i="8"/>
  <c r="F776" i="8"/>
  <c r="M185" i="5"/>
  <c r="M271" i="5"/>
  <c r="M336" i="5"/>
  <c r="G25" i="8"/>
  <c r="F25" i="8"/>
  <c r="G49" i="8"/>
  <c r="F49" i="8"/>
  <c r="G73" i="8"/>
  <c r="F73" i="8"/>
  <c r="G97" i="8"/>
  <c r="F97" i="8"/>
  <c r="G121" i="8"/>
  <c r="F121" i="8"/>
  <c r="G145" i="8"/>
  <c r="F145" i="8"/>
  <c r="G169" i="8"/>
  <c r="F169" i="8"/>
  <c r="G193" i="8"/>
  <c r="F193" i="8"/>
  <c r="G217" i="8"/>
  <c r="F217" i="8"/>
  <c r="G241" i="8"/>
  <c r="F241" i="8"/>
  <c r="G265" i="8"/>
  <c r="F265" i="8"/>
  <c r="G289" i="8"/>
  <c r="F289" i="8"/>
  <c r="G313" i="8"/>
  <c r="F313" i="8"/>
  <c r="F689" i="8"/>
  <c r="G689" i="8"/>
  <c r="G728" i="8"/>
  <c r="F728" i="8"/>
  <c r="M329" i="5"/>
  <c r="G348" i="8"/>
  <c r="F348" i="8"/>
  <c r="F488" i="8"/>
  <c r="G556" i="8"/>
  <c r="F556" i="8"/>
  <c r="F645" i="8"/>
  <c r="G645" i="8"/>
  <c r="M259" i="5"/>
  <c r="M310" i="5"/>
  <c r="M331" i="5"/>
  <c r="G21" i="8"/>
  <c r="F21" i="8"/>
  <c r="G45" i="8"/>
  <c r="F45" i="8"/>
  <c r="G69" i="8"/>
  <c r="F69" i="8"/>
  <c r="G93" i="8"/>
  <c r="F93" i="8"/>
  <c r="G117" i="8"/>
  <c r="F117" i="8"/>
  <c r="G141" i="8"/>
  <c r="F141" i="8"/>
  <c r="G165" i="8"/>
  <c r="F165" i="8"/>
  <c r="G189" i="8"/>
  <c r="F189" i="8"/>
  <c r="G213" i="8"/>
  <c r="F213" i="8"/>
  <c r="G237" i="8"/>
  <c r="F237" i="8"/>
  <c r="G261" i="8"/>
  <c r="F261" i="8"/>
  <c r="G285" i="8"/>
  <c r="F285" i="8"/>
  <c r="G309" i="8"/>
  <c r="F309" i="8"/>
  <c r="F473" i="8"/>
  <c r="G473" i="8"/>
  <c r="F557" i="8"/>
  <c r="G557" i="8"/>
  <c r="F337" i="8"/>
  <c r="G337" i="8"/>
  <c r="F449" i="8"/>
  <c r="G449" i="8"/>
  <c r="G492" i="8"/>
  <c r="G580" i="8"/>
  <c r="F580" i="8"/>
  <c r="G604" i="8"/>
  <c r="F604" i="8"/>
  <c r="G868" i="8"/>
  <c r="F868" i="8"/>
  <c r="G962" i="8"/>
  <c r="F962" i="8"/>
  <c r="G484" i="8"/>
  <c r="F484" i="8"/>
  <c r="G508" i="8"/>
  <c r="F508" i="8"/>
  <c r="G772" i="8"/>
  <c r="F772" i="8"/>
  <c r="F412" i="8"/>
  <c r="G421" i="8"/>
  <c r="G436" i="8"/>
  <c r="F436" i="8"/>
  <c r="F641" i="8"/>
  <c r="G641" i="8"/>
  <c r="G948" i="8"/>
  <c r="F948" i="8"/>
  <c r="G998" i="8"/>
  <c r="F998" i="8"/>
  <c r="G724" i="8"/>
  <c r="F724" i="8"/>
  <c r="F993" i="8"/>
  <c r="G993" i="8"/>
  <c r="M175" i="5"/>
  <c r="M319" i="5"/>
  <c r="B99" i="10"/>
  <c r="B96" i="10"/>
  <c r="B93" i="10"/>
  <c r="B90" i="10"/>
  <c r="B87" i="10"/>
  <c r="B84" i="10"/>
  <c r="B81" i="10"/>
  <c r="B78" i="10"/>
  <c r="B75" i="10"/>
  <c r="B72" i="10"/>
  <c r="B69" i="10"/>
  <c r="B66" i="10"/>
  <c r="B63" i="10"/>
  <c r="B60" i="10"/>
  <c r="B57" i="10"/>
  <c r="B54" i="10"/>
  <c r="B51" i="10"/>
  <c r="B48" i="10"/>
  <c r="B45" i="10"/>
  <c r="B42" i="10"/>
  <c r="B39" i="10"/>
  <c r="B36" i="10"/>
  <c r="B33" i="10"/>
  <c r="B30" i="10"/>
  <c r="B27" i="10"/>
  <c r="B24" i="10"/>
  <c r="B21" i="10"/>
  <c r="B18" i="10"/>
  <c r="B15" i="10"/>
  <c r="B12" i="10"/>
  <c r="B9" i="10"/>
  <c r="B6" i="10"/>
  <c r="B3" i="10"/>
  <c r="C95" i="10"/>
  <c r="C92" i="10"/>
  <c r="C89" i="10"/>
  <c r="C86" i="10"/>
  <c r="C83" i="10"/>
  <c r="C80" i="10"/>
  <c r="C77" i="10"/>
  <c r="C74" i="10"/>
  <c r="C71" i="10"/>
  <c r="C68" i="10"/>
  <c r="C65" i="10"/>
  <c r="C62" i="10"/>
  <c r="C59" i="10"/>
  <c r="C56" i="10"/>
  <c r="C53" i="10"/>
  <c r="C50" i="10"/>
  <c r="C47" i="10"/>
  <c r="C44" i="10"/>
  <c r="C41" i="10"/>
  <c r="C38" i="10"/>
  <c r="C35" i="10"/>
  <c r="C32" i="10"/>
  <c r="C29" i="10"/>
  <c r="C26" i="10"/>
  <c r="C17" i="10"/>
  <c r="C14" i="10"/>
  <c r="C11" i="10"/>
  <c r="C5" i="10"/>
  <c r="B98" i="10"/>
  <c r="B95" i="10"/>
  <c r="B92" i="10"/>
  <c r="B89" i="10"/>
  <c r="B86" i="10"/>
  <c r="B83" i="10"/>
  <c r="B80" i="10"/>
  <c r="B77" i="10"/>
  <c r="B74" i="10"/>
  <c r="B71" i="10"/>
  <c r="B68" i="10"/>
  <c r="B65" i="10"/>
  <c r="B62" i="10"/>
  <c r="B59" i="10"/>
  <c r="B56" i="10"/>
  <c r="B53" i="10"/>
  <c r="B50" i="10"/>
  <c r="B47" i="10"/>
  <c r="B44" i="10"/>
  <c r="B41" i="10"/>
  <c r="B38" i="10"/>
  <c r="B35" i="10"/>
  <c r="B32" i="10"/>
  <c r="B29" i="10"/>
  <c r="B26" i="10"/>
  <c r="B23" i="10"/>
  <c r="B20" i="10"/>
  <c r="B17" i="10"/>
  <c r="B14" i="10"/>
  <c r="B11" i="10"/>
  <c r="B8" i="10"/>
  <c r="B5" i="10"/>
  <c r="B2" i="10"/>
  <c r="C100" i="10"/>
  <c r="C97" i="10"/>
  <c r="C94" i="10"/>
  <c r="C91" i="10"/>
  <c r="C88" i="10"/>
  <c r="C85" i="10"/>
  <c r="C82" i="10"/>
  <c r="C79" i="10"/>
  <c r="C76" i="10"/>
  <c r="C73" i="10"/>
  <c r="C70" i="10"/>
  <c r="C67" i="10"/>
  <c r="C64" i="10"/>
  <c r="C61" i="10"/>
  <c r="C58" i="10"/>
  <c r="C52" i="10"/>
  <c r="C43" i="10"/>
  <c r="C40" i="10"/>
  <c r="C37" i="10"/>
  <c r="C34" i="10"/>
  <c r="C31" i="10"/>
  <c r="C28" i="10"/>
  <c r="C19" i="10"/>
  <c r="C16" i="10"/>
  <c r="B100" i="10"/>
  <c r="B97" i="10"/>
  <c r="B94" i="10"/>
  <c r="B91" i="10"/>
  <c r="B88" i="10"/>
  <c r="B85" i="10"/>
  <c r="B82" i="10"/>
  <c r="B79" i="10"/>
  <c r="B76" i="10"/>
  <c r="B73" i="10"/>
  <c r="B70" i="10"/>
  <c r="B67" i="10"/>
  <c r="B64" i="10"/>
  <c r="B61" i="10"/>
  <c r="B58" i="10"/>
  <c r="B55" i="10"/>
  <c r="B52" i="10"/>
  <c r="B49" i="10"/>
  <c r="B46" i="10"/>
  <c r="B43" i="10"/>
  <c r="B40" i="10"/>
  <c r="B37" i="10"/>
  <c r="B34" i="10"/>
  <c r="B31" i="10"/>
  <c r="B28" i="10"/>
  <c r="B25" i="10"/>
  <c r="B22" i="10"/>
  <c r="B19" i="10"/>
  <c r="B16" i="10"/>
  <c r="B13" i="10"/>
  <c r="B10" i="10"/>
  <c r="B7" i="10"/>
  <c r="B4" i="10"/>
  <c r="C99" i="10"/>
  <c r="C87" i="10"/>
  <c r="C75" i="10"/>
  <c r="C63" i="10"/>
  <c r="C51" i="10"/>
  <c r="C39" i="10"/>
  <c r="C27" i="10"/>
  <c r="C15" i="10"/>
  <c r="C96" i="10"/>
  <c r="C84" i="10"/>
  <c r="C72" i="10"/>
  <c r="C60" i="10"/>
  <c r="C48" i="10"/>
  <c r="C36" i="10"/>
  <c r="C93" i="10"/>
  <c r="C81" i="10"/>
  <c r="C69" i="10"/>
  <c r="C57" i="10"/>
  <c r="C45" i="10"/>
  <c r="C33" i="10"/>
  <c r="C7" i="10"/>
  <c r="C4" i="10"/>
  <c r="C90" i="10"/>
  <c r="C66" i="10"/>
  <c r="C54" i="10"/>
  <c r="C30" i="10"/>
  <c r="G353" i="8"/>
  <c r="F385" i="8"/>
  <c r="G385" i="8"/>
  <c r="G417" i="8"/>
  <c r="G465" i="8"/>
  <c r="F500" i="8"/>
  <c r="F544" i="8"/>
  <c r="G553" i="8"/>
  <c r="F593" i="8"/>
  <c r="G593" i="8"/>
  <c r="F881" i="8"/>
  <c r="G881" i="8"/>
  <c r="G932" i="8"/>
  <c r="G676" i="8"/>
  <c r="F676" i="8"/>
  <c r="G988" i="8"/>
  <c r="F988" i="8"/>
  <c r="F345" i="8"/>
  <c r="G345" i="8"/>
  <c r="F400" i="8"/>
  <c r="G409" i="8"/>
  <c r="F496" i="8"/>
  <c r="G505" i="8"/>
  <c r="F540" i="8"/>
  <c r="F545" i="8"/>
  <c r="G545" i="8"/>
  <c r="F833" i="8"/>
  <c r="G833" i="8"/>
  <c r="F1045" i="8"/>
  <c r="F396" i="8"/>
  <c r="G405" i="8"/>
  <c r="F433" i="8"/>
  <c r="G433" i="8"/>
  <c r="G628" i="8"/>
  <c r="F628" i="8"/>
  <c r="G789" i="8"/>
  <c r="F872" i="8"/>
  <c r="F336" i="8"/>
  <c r="G372" i="8"/>
  <c r="F401" i="8"/>
  <c r="G401" i="8"/>
  <c r="G453" i="8"/>
  <c r="F497" i="8"/>
  <c r="G497" i="8"/>
  <c r="F569" i="8"/>
  <c r="G569" i="8"/>
  <c r="F785" i="8"/>
  <c r="G785" i="8"/>
  <c r="G913" i="8"/>
  <c r="F913" i="8"/>
  <c r="G894" i="8"/>
  <c r="F894" i="8"/>
  <c r="G942" i="8"/>
  <c r="F942" i="8"/>
  <c r="G972" i="8"/>
  <c r="F972" i="8"/>
  <c r="G1030" i="8"/>
  <c r="F1030" i="8"/>
  <c r="G1046" i="8"/>
  <c r="F1046" i="8"/>
  <c r="F432" i="8"/>
  <c r="G445" i="8"/>
  <c r="F480" i="8"/>
  <c r="G493" i="8"/>
  <c r="F528" i="8"/>
  <c r="G541" i="8"/>
  <c r="F576" i="8"/>
  <c r="G589" i="8"/>
  <c r="F624" i="8"/>
  <c r="G637" i="8"/>
  <c r="F672" i="8"/>
  <c r="G685" i="8"/>
  <c r="F720" i="8"/>
  <c r="G733" i="8"/>
  <c r="F768" i="8"/>
  <c r="G781" i="8"/>
  <c r="F816" i="8"/>
  <c r="G829" i="8"/>
  <c r="F864" i="8"/>
  <c r="G877" i="8"/>
  <c r="F900" i="8"/>
  <c r="F909" i="8"/>
  <c r="F918" i="8"/>
  <c r="G958" i="8"/>
  <c r="F958" i="8"/>
  <c r="F1036" i="8"/>
  <c r="G1041" i="8"/>
  <c r="F1062" i="8"/>
  <c r="G441" i="8"/>
  <c r="G489" i="8"/>
  <c r="G537" i="8"/>
  <c r="G585" i="8"/>
  <c r="G633" i="8"/>
  <c r="G681" i="8"/>
  <c r="G729" i="8"/>
  <c r="G777" i="8"/>
  <c r="G825" i="8"/>
  <c r="G873" i="8"/>
  <c r="F944" i="8"/>
  <c r="F978" i="8"/>
  <c r="F1004" i="8"/>
  <c r="F1014" i="8"/>
  <c r="F1052" i="8"/>
  <c r="G1052" i="8"/>
  <c r="G1068" i="8"/>
  <c r="F1068" i="8"/>
  <c r="G1080" i="8"/>
  <c r="F1080" i="8"/>
  <c r="G1020" i="8"/>
  <c r="F1020" i="8"/>
  <c r="G481" i="8"/>
  <c r="G529" i="8"/>
  <c r="G577" i="8"/>
  <c r="G625" i="8"/>
  <c r="G673" i="8"/>
  <c r="G721" i="8"/>
  <c r="G769" i="8"/>
  <c r="G817" i="8"/>
  <c r="G865" i="8"/>
  <c r="G950" i="8"/>
  <c r="F950" i="8"/>
  <c r="G985" i="8"/>
  <c r="F985" i="8"/>
  <c r="G617" i="8"/>
  <c r="F652" i="8"/>
  <c r="G665" i="8"/>
  <c r="F700" i="8"/>
  <c r="G713" i="8"/>
  <c r="F748" i="8"/>
  <c r="G761" i="8"/>
  <c r="F796" i="8"/>
  <c r="G809" i="8"/>
  <c r="F844" i="8"/>
  <c r="G857" i="8"/>
  <c r="G902" i="8"/>
  <c r="F902" i="8"/>
  <c r="F930" i="8"/>
  <c r="F1001" i="8"/>
  <c r="G1006" i="8"/>
  <c r="F1006" i="8"/>
  <c r="G1033" i="8"/>
  <c r="F1033" i="8"/>
  <c r="G1054" i="8"/>
  <c r="F1054" i="8"/>
  <c r="G980" i="8"/>
  <c r="F1065" i="8"/>
  <c r="G1065" i="8"/>
  <c r="F1026" i="8"/>
  <c r="F1074" i="8"/>
  <c r="F1076" i="8"/>
  <c r="F1081" i="8"/>
  <c r="F990" i="8"/>
  <c r="F1038" i="8"/>
  <c r="F1078" i="8"/>
  <c r="C49" i="10" l="1"/>
  <c r="C2" i="10"/>
  <c r="C3" i="10"/>
  <c r="C78" i="10"/>
  <c r="C18" i="10"/>
  <c r="C8" i="10"/>
  <c r="M47" i="5"/>
  <c r="C55" i="10"/>
  <c r="C23" i="10"/>
  <c r="M51" i="5"/>
  <c r="M45" i="5"/>
  <c r="G7" i="11" s="1"/>
  <c r="E8" i="12" s="1"/>
  <c r="M36" i="5"/>
  <c r="G21" i="11" s="1"/>
  <c r="M44" i="5"/>
  <c r="G6" i="11" s="1"/>
  <c r="E7" i="12" s="1"/>
  <c r="C10" i="10"/>
  <c r="C24" i="10"/>
  <c r="M32" i="5"/>
  <c r="C30" i="11" s="1"/>
  <c r="C25" i="10"/>
  <c r="C21" i="10"/>
  <c r="G18" i="11"/>
  <c r="M35" i="5"/>
  <c r="C13" i="10"/>
  <c r="H18" i="11"/>
  <c r="C19" i="11"/>
  <c r="C18" i="11"/>
  <c r="C6" i="10"/>
  <c r="M25" i="5"/>
  <c r="L18" i="11"/>
  <c r="J18" i="11"/>
  <c r="L22" i="11"/>
  <c r="L20" i="11"/>
  <c r="L19" i="11"/>
  <c r="C20" i="10"/>
  <c r="H20" i="11"/>
  <c r="D29" i="6"/>
  <c r="D37" i="6"/>
  <c r="G26" i="11"/>
  <c r="D22" i="11"/>
  <c r="G17" i="11"/>
  <c r="D20" i="11"/>
  <c r="D19" i="11"/>
  <c r="C2" i="6"/>
  <c r="G19" i="11"/>
  <c r="C14" i="6"/>
  <c r="C3" i="6"/>
  <c r="D18" i="11"/>
  <c r="D17" i="6"/>
  <c r="H19" i="11"/>
  <c r="H19" i="6"/>
  <c r="I19" i="6" s="1"/>
  <c r="C21" i="6"/>
  <c r="K43" i="11"/>
  <c r="D25" i="6"/>
  <c r="D35" i="6"/>
  <c r="C17" i="6"/>
  <c r="J19" i="11"/>
  <c r="C29" i="6"/>
  <c r="E18" i="11"/>
  <c r="C46" i="10"/>
  <c r="G16" i="6"/>
  <c r="D3" i="6"/>
  <c r="D19" i="6"/>
  <c r="D2" i="6"/>
  <c r="K22" i="11"/>
  <c r="F18" i="11"/>
  <c r="C7" i="6"/>
  <c r="C36" i="6"/>
  <c r="D10" i="6"/>
  <c r="D14" i="6"/>
  <c r="C98" i="10"/>
  <c r="K20" i="11"/>
  <c r="D32" i="6"/>
  <c r="C11" i="6"/>
  <c r="K18" i="11"/>
  <c r="C9" i="6"/>
  <c r="K19" i="11"/>
  <c r="H33" i="6"/>
  <c r="I33" i="6" s="1"/>
  <c r="D34" i="6"/>
  <c r="D7" i="6"/>
  <c r="C24" i="6"/>
  <c r="D27" i="6"/>
  <c r="C16" i="6"/>
  <c r="D24" i="11"/>
  <c r="D21" i="11"/>
  <c r="C37" i="6"/>
  <c r="C12" i="10"/>
  <c r="C33" i="6"/>
  <c r="D44" i="11"/>
  <c r="D18" i="6"/>
  <c r="D15" i="6"/>
  <c r="C10" i="6"/>
  <c r="D31" i="6"/>
  <c r="J37" i="11"/>
  <c r="D30" i="11"/>
  <c r="D36" i="11"/>
  <c r="D50" i="11"/>
  <c r="K23" i="11"/>
  <c r="H21" i="6"/>
  <c r="I21" i="6" s="1"/>
  <c r="C34" i="6"/>
  <c r="C27" i="6"/>
  <c r="D36" i="6"/>
  <c r="K35" i="11"/>
  <c r="C22" i="6"/>
  <c r="K41" i="11"/>
  <c r="C25" i="6"/>
  <c r="K52" i="11"/>
  <c r="D29" i="11"/>
  <c r="D21" i="6"/>
  <c r="H17" i="6"/>
  <c r="I17" i="6" s="1"/>
  <c r="D20" i="6"/>
  <c r="D30" i="6"/>
  <c r="D13" i="6"/>
  <c r="K25" i="11"/>
  <c r="C12" i="11"/>
  <c r="C13" i="12" s="1"/>
  <c r="C18" i="6"/>
  <c r="C13" i="6"/>
  <c r="D23" i="6"/>
  <c r="G15" i="6"/>
  <c r="J46" i="11"/>
  <c r="D52" i="11"/>
  <c r="G14" i="6"/>
  <c r="G19" i="6"/>
  <c r="E5" i="11"/>
  <c r="J29" i="11"/>
  <c r="K37" i="11"/>
  <c r="C12" i="6"/>
  <c r="K33" i="11"/>
  <c r="K21" i="11"/>
  <c r="B17" i="12"/>
  <c r="J7" i="11"/>
  <c r="D23" i="11"/>
  <c r="H6" i="6"/>
  <c r="I6" i="6" s="1"/>
  <c r="B18" i="12" s="1"/>
  <c r="G2" i="6"/>
  <c r="H16" i="6"/>
  <c r="I16" i="6" s="1"/>
  <c r="M24" i="5"/>
  <c r="E8" i="10"/>
  <c r="D8" i="10"/>
  <c r="D27" i="10"/>
  <c r="E27" i="10"/>
  <c r="E66" i="10"/>
  <c r="D66" i="10"/>
  <c r="E19" i="10"/>
  <c r="D19" i="10"/>
  <c r="E55" i="10"/>
  <c r="D55" i="10"/>
  <c r="E91" i="10"/>
  <c r="D91" i="10"/>
  <c r="E5" i="10"/>
  <c r="D5" i="10"/>
  <c r="E41" i="10"/>
  <c r="D41" i="10"/>
  <c r="E77" i="10"/>
  <c r="D77" i="10"/>
  <c r="E24" i="10"/>
  <c r="D24" i="10"/>
  <c r="E60" i="10"/>
  <c r="D60" i="10"/>
  <c r="E96" i="10"/>
  <c r="D96" i="10"/>
  <c r="H18" i="6"/>
  <c r="I18" i="6" s="1"/>
  <c r="G18" i="6"/>
  <c r="H7" i="6"/>
  <c r="I7" i="6" s="1"/>
  <c r="G7" i="6"/>
  <c r="H3" i="6"/>
  <c r="I3" i="6" s="1"/>
  <c r="G3" i="6"/>
  <c r="K51" i="11"/>
  <c r="C28" i="6"/>
  <c r="J51" i="11"/>
  <c r="K46" i="11"/>
  <c r="K31" i="11"/>
  <c r="K29" i="11"/>
  <c r="D12" i="6"/>
  <c r="D46" i="11"/>
  <c r="D38" i="11"/>
  <c r="C15" i="6"/>
  <c r="J31" i="11"/>
  <c r="J23" i="11"/>
  <c r="D8" i="6"/>
  <c r="E58" i="10"/>
  <c r="D58" i="10"/>
  <c r="E61" i="10"/>
  <c r="D61" i="10"/>
  <c r="H5" i="6"/>
  <c r="I5" i="6" s="1"/>
  <c r="G5" i="6"/>
  <c r="J35" i="11"/>
  <c r="E86" i="10"/>
  <c r="D86" i="10"/>
  <c r="H8" i="6"/>
  <c r="I8" i="6" s="1"/>
  <c r="K47" i="11"/>
  <c r="D33" i="6"/>
  <c r="D9" i="6"/>
  <c r="J49" i="11"/>
  <c r="J41" i="11"/>
  <c r="G6" i="6"/>
  <c r="H25" i="6"/>
  <c r="I25" i="6" s="1"/>
  <c r="G25" i="6"/>
  <c r="H20" i="6"/>
  <c r="I20" i="6" s="1"/>
  <c r="G20" i="6"/>
  <c r="H23" i="6"/>
  <c r="I23" i="6" s="1"/>
  <c r="G23" i="6"/>
  <c r="H32" i="6"/>
  <c r="I32" i="6" s="1"/>
  <c r="G32" i="6"/>
  <c r="E31" i="10"/>
  <c r="D31" i="10"/>
  <c r="E67" i="10"/>
  <c r="D67" i="10"/>
  <c r="E17" i="10"/>
  <c r="D17" i="10"/>
  <c r="E53" i="10"/>
  <c r="D53" i="10"/>
  <c r="E89" i="10"/>
  <c r="D89" i="10"/>
  <c r="E36" i="10"/>
  <c r="D36" i="10"/>
  <c r="E72" i="10"/>
  <c r="D72" i="10"/>
  <c r="D24" i="6"/>
  <c r="I52" i="11"/>
  <c r="I46" i="11"/>
  <c r="I40" i="11"/>
  <c r="I34" i="11"/>
  <c r="I28" i="11"/>
  <c r="I22" i="11"/>
  <c r="I47" i="11"/>
  <c r="I41" i="11"/>
  <c r="I35" i="11"/>
  <c r="I29" i="11"/>
  <c r="I23" i="11"/>
  <c r="I17" i="11"/>
  <c r="I48" i="11"/>
  <c r="I42" i="11"/>
  <c r="I36" i="11"/>
  <c r="I30" i="11"/>
  <c r="I24" i="11"/>
  <c r="I18" i="11"/>
  <c r="E10" i="11"/>
  <c r="I49" i="11"/>
  <c r="I43" i="11"/>
  <c r="I37" i="11"/>
  <c r="I31" i="11"/>
  <c r="I25" i="11"/>
  <c r="I19" i="11"/>
  <c r="C10" i="11"/>
  <c r="I51" i="11"/>
  <c r="I45" i="11"/>
  <c r="I39" i="11"/>
  <c r="I33" i="11"/>
  <c r="I27" i="11"/>
  <c r="I21" i="11"/>
  <c r="I44" i="11"/>
  <c r="I50" i="11"/>
  <c r="I20" i="11"/>
  <c r="I26" i="11"/>
  <c r="I32" i="11"/>
  <c r="I38" i="11"/>
  <c r="K26" i="11"/>
  <c r="D35" i="11"/>
  <c r="D27" i="11"/>
  <c r="D25" i="11"/>
  <c r="C30" i="6"/>
  <c r="J20" i="11"/>
  <c r="J47" i="11"/>
  <c r="E22" i="10"/>
  <c r="D22" i="10"/>
  <c r="E80" i="10"/>
  <c r="D80" i="10"/>
  <c r="D28" i="6"/>
  <c r="E97" i="10"/>
  <c r="D97" i="10"/>
  <c r="E100" i="10"/>
  <c r="D100" i="10"/>
  <c r="E50" i="10"/>
  <c r="D50" i="10"/>
  <c r="E69" i="10"/>
  <c r="D69" i="10"/>
  <c r="H27" i="6"/>
  <c r="I27" i="6" s="1"/>
  <c r="G27" i="6"/>
  <c r="E34" i="10"/>
  <c r="D34" i="10"/>
  <c r="E70" i="10"/>
  <c r="D70" i="10"/>
  <c r="E20" i="10"/>
  <c r="D20" i="10"/>
  <c r="E56" i="10"/>
  <c r="D56" i="10"/>
  <c r="E92" i="10"/>
  <c r="D92" i="10"/>
  <c r="E3" i="10"/>
  <c r="D3" i="10"/>
  <c r="D39" i="10"/>
  <c r="E39" i="10"/>
  <c r="D75" i="10"/>
  <c r="E75" i="10"/>
  <c r="H35" i="6"/>
  <c r="I35" i="6" s="1"/>
  <c r="G35" i="6"/>
  <c r="C32" i="6"/>
  <c r="H12" i="6"/>
  <c r="I12" i="6" s="1"/>
  <c r="G12" i="6"/>
  <c r="K32" i="11"/>
  <c r="K24" i="11"/>
  <c r="D41" i="11"/>
  <c r="D33" i="11"/>
  <c r="D31" i="11"/>
  <c r="J26" i="11"/>
  <c r="J24" i="11"/>
  <c r="E11" i="11"/>
  <c r="K27" i="11"/>
  <c r="D63" i="10"/>
  <c r="E63" i="10"/>
  <c r="J43" i="11"/>
  <c r="E64" i="10"/>
  <c r="D64" i="10"/>
  <c r="E14" i="10"/>
  <c r="D14" i="10"/>
  <c r="E33" i="10"/>
  <c r="D33" i="10"/>
  <c r="H9" i="6"/>
  <c r="I9" i="6" s="1"/>
  <c r="H36" i="6"/>
  <c r="I36" i="6" s="1"/>
  <c r="G36" i="6"/>
  <c r="H13" i="6"/>
  <c r="I13" i="6" s="1"/>
  <c r="G13" i="6"/>
  <c r="E37" i="10"/>
  <c r="D37" i="10"/>
  <c r="E73" i="10"/>
  <c r="D73" i="10"/>
  <c r="E23" i="10"/>
  <c r="D23" i="10"/>
  <c r="E59" i="10"/>
  <c r="D59" i="10"/>
  <c r="E95" i="10"/>
  <c r="D95" i="10"/>
  <c r="E6" i="10"/>
  <c r="D6" i="10"/>
  <c r="E42" i="10"/>
  <c r="D42" i="10"/>
  <c r="E78" i="10"/>
  <c r="D78" i="10"/>
  <c r="G33" i="6"/>
  <c r="H22" i="6"/>
  <c r="I22" i="6" s="1"/>
  <c r="G22" i="6"/>
  <c r="G17" i="6"/>
  <c r="G9" i="6"/>
  <c r="C20" i="6"/>
  <c r="D16" i="6"/>
  <c r="K38" i="11"/>
  <c r="K30" i="11"/>
  <c r="J21" i="11"/>
  <c r="D47" i="11"/>
  <c r="D39" i="11"/>
  <c r="D37" i="11"/>
  <c r="C35" i="6"/>
  <c r="J32" i="11"/>
  <c r="J30" i="11"/>
  <c r="J22" i="11"/>
  <c r="K45" i="11"/>
  <c r="E47" i="10"/>
  <c r="D47" i="10"/>
  <c r="H29" i="6"/>
  <c r="I29" i="6" s="1"/>
  <c r="G29" i="6"/>
  <c r="E28" i="10"/>
  <c r="D28" i="10"/>
  <c r="K49" i="11"/>
  <c r="G30" i="6"/>
  <c r="H30" i="6"/>
  <c r="I30" i="6" s="1"/>
  <c r="H31" i="6"/>
  <c r="I31" i="6" s="1"/>
  <c r="G31" i="6"/>
  <c r="H14" i="6"/>
  <c r="I14" i="6" s="1"/>
  <c r="E4" i="10"/>
  <c r="D4" i="10"/>
  <c r="E40" i="10"/>
  <c r="D40" i="10"/>
  <c r="E76" i="10"/>
  <c r="D76" i="10"/>
  <c r="E26" i="10"/>
  <c r="D26" i="10"/>
  <c r="E62" i="10"/>
  <c r="D62" i="10"/>
  <c r="E98" i="10"/>
  <c r="D98" i="10"/>
  <c r="E9" i="10"/>
  <c r="D9" i="10"/>
  <c r="E45" i="10"/>
  <c r="D45" i="10"/>
  <c r="E81" i="10"/>
  <c r="D81" i="10"/>
  <c r="H26" i="6"/>
  <c r="I26" i="6" s="1"/>
  <c r="G26" i="6"/>
  <c r="K44" i="11"/>
  <c r="K36" i="11"/>
  <c r="H15" i="6"/>
  <c r="I15" i="6" s="1"/>
  <c r="D42" i="11"/>
  <c r="C5" i="11"/>
  <c r="D45" i="11"/>
  <c r="D43" i="11"/>
  <c r="C26" i="6"/>
  <c r="J38" i="11"/>
  <c r="J36" i="11"/>
  <c r="J28" i="11"/>
  <c r="C31" i="6"/>
  <c r="E11" i="10"/>
  <c r="D11" i="10"/>
  <c r="H34" i="6"/>
  <c r="I34" i="6" s="1"/>
  <c r="G34" i="6"/>
  <c r="E7" i="10"/>
  <c r="D7" i="10"/>
  <c r="E43" i="10"/>
  <c r="D43" i="10"/>
  <c r="E79" i="10"/>
  <c r="D79" i="10"/>
  <c r="E29" i="10"/>
  <c r="D29" i="10"/>
  <c r="E65" i="10"/>
  <c r="D65" i="10"/>
  <c r="E12" i="10"/>
  <c r="D12" i="10"/>
  <c r="E48" i="10"/>
  <c r="D48" i="10"/>
  <c r="E84" i="10"/>
  <c r="D84" i="10"/>
  <c r="H2" i="6"/>
  <c r="I2" i="6" s="1"/>
  <c r="K50" i="11"/>
  <c r="K42" i="11"/>
  <c r="D22" i="6"/>
  <c r="C19" i="6"/>
  <c r="D51" i="11"/>
  <c r="D49" i="11"/>
  <c r="D26" i="6"/>
  <c r="J44" i="11"/>
  <c r="J42" i="11"/>
  <c r="J34" i="11"/>
  <c r="H37" i="6"/>
  <c r="I37" i="6" s="1"/>
  <c r="G37" i="6"/>
  <c r="E44" i="10"/>
  <c r="D44" i="10"/>
  <c r="H24" i="6"/>
  <c r="I24" i="6" s="1"/>
  <c r="G24" i="6"/>
  <c r="H28" i="6"/>
  <c r="I28" i="6" s="1"/>
  <c r="G28" i="6"/>
  <c r="E10" i="10"/>
  <c r="D10" i="10"/>
  <c r="E46" i="10"/>
  <c r="D46" i="10"/>
  <c r="E82" i="10"/>
  <c r="D82" i="10"/>
  <c r="E32" i="10"/>
  <c r="D32" i="10"/>
  <c r="E68" i="10"/>
  <c r="D68" i="10"/>
  <c r="D15" i="10"/>
  <c r="E15" i="10"/>
  <c r="D51" i="10"/>
  <c r="E51" i="10"/>
  <c r="D87" i="10"/>
  <c r="E87" i="10"/>
  <c r="G21" i="6"/>
  <c r="H10" i="6"/>
  <c r="I10" i="6" s="1"/>
  <c r="G10" i="6"/>
  <c r="G8" i="6"/>
  <c r="K28" i="11"/>
  <c r="E12" i="11"/>
  <c r="K48" i="11"/>
  <c r="J27" i="11"/>
  <c r="D28" i="11"/>
  <c r="C23" i="6"/>
  <c r="J50" i="11"/>
  <c r="J48" i="11"/>
  <c r="J40" i="11"/>
  <c r="D11" i="6"/>
  <c r="E94" i="10"/>
  <c r="D94" i="10"/>
  <c r="D99" i="10"/>
  <c r="E99" i="10"/>
  <c r="H11" i="6"/>
  <c r="I11" i="6" s="1"/>
  <c r="G11" i="6"/>
  <c r="H4" i="6"/>
  <c r="I4" i="6" s="1"/>
  <c r="G4" i="6"/>
  <c r="E83" i="10"/>
  <c r="D83" i="10"/>
  <c r="E13" i="10"/>
  <c r="D13" i="10"/>
  <c r="E49" i="10"/>
  <c r="D49" i="10"/>
  <c r="E85" i="10"/>
  <c r="D85" i="10"/>
  <c r="E35" i="10"/>
  <c r="D35" i="10"/>
  <c r="E71" i="10"/>
  <c r="D71" i="10"/>
  <c r="E18" i="10"/>
  <c r="D18" i="10"/>
  <c r="E54" i="10"/>
  <c r="D54" i="10"/>
  <c r="E90" i="10"/>
  <c r="D90" i="10"/>
  <c r="K34" i="11"/>
  <c r="D34" i="11"/>
  <c r="D26" i="11"/>
  <c r="C11" i="11"/>
  <c r="K39" i="11"/>
  <c r="E25" i="10"/>
  <c r="D25" i="10"/>
  <c r="E30" i="10"/>
  <c r="D30" i="10"/>
  <c r="E16" i="10"/>
  <c r="D16" i="10"/>
  <c r="E52" i="10"/>
  <c r="D52" i="10"/>
  <c r="E88" i="10"/>
  <c r="D88" i="10"/>
  <c r="E2" i="10"/>
  <c r="D2" i="10"/>
  <c r="E38" i="10"/>
  <c r="D38" i="10"/>
  <c r="E74" i="10"/>
  <c r="D74" i="10"/>
  <c r="E21" i="10"/>
  <c r="D21" i="10"/>
  <c r="E57" i="10"/>
  <c r="D57" i="10"/>
  <c r="E93" i="10"/>
  <c r="D93" i="10"/>
  <c r="J45" i="11"/>
  <c r="J33" i="11"/>
  <c r="J39" i="11"/>
  <c r="K40" i="11"/>
  <c r="D40" i="11"/>
  <c r="D32" i="11"/>
  <c r="J25" i="11"/>
  <c r="J52" i="11"/>
  <c r="C8" i="6"/>
  <c r="D48" i="11"/>
  <c r="H26" i="11" l="1"/>
  <c r="C9" i="11"/>
  <c r="C10" i="12" s="1"/>
  <c r="H39" i="11"/>
  <c r="H21" i="11"/>
  <c r="H48" i="11"/>
  <c r="H24" i="11"/>
  <c r="H49" i="11"/>
  <c r="H41" i="11"/>
  <c r="H27" i="11"/>
  <c r="H35" i="11"/>
  <c r="L32" i="11"/>
  <c r="L41" i="11"/>
  <c r="L46" i="11"/>
  <c r="H38" i="11"/>
  <c r="H50" i="11"/>
  <c r="H29" i="11"/>
  <c r="H37" i="11"/>
  <c r="H23" i="11"/>
  <c r="H43" i="11"/>
  <c r="H42" i="11"/>
  <c r="H22" i="11"/>
  <c r="H36" i="11"/>
  <c r="H28" i="11"/>
  <c r="H30" i="11"/>
  <c r="H31" i="11"/>
  <c r="H32" i="11"/>
  <c r="H51" i="11"/>
  <c r="H44" i="11"/>
  <c r="H40" i="11"/>
  <c r="H34" i="11"/>
  <c r="H46" i="11"/>
  <c r="E9" i="11"/>
  <c r="H52" i="11"/>
  <c r="H47" i="11"/>
  <c r="L24" i="11"/>
  <c r="L26" i="11"/>
  <c r="L35" i="11"/>
  <c r="H25" i="11"/>
  <c r="H33" i="11"/>
  <c r="G9" i="11"/>
  <c r="E10" i="12" s="1"/>
  <c r="H45" i="11"/>
  <c r="L29" i="11"/>
  <c r="L28" i="11"/>
  <c r="L21" i="11"/>
  <c r="L50" i="11"/>
  <c r="L42" i="11"/>
  <c r="L40" i="11"/>
  <c r="E13" i="11"/>
  <c r="L47" i="11"/>
  <c r="L44" i="11"/>
  <c r="L52" i="11"/>
  <c r="L38" i="11"/>
  <c r="G13" i="11"/>
  <c r="E14" i="12" s="1"/>
  <c r="L31" i="11"/>
  <c r="L36" i="11"/>
  <c r="L48" i="11"/>
  <c r="L25" i="11"/>
  <c r="L39" i="11"/>
  <c r="L37" i="11"/>
  <c r="L45" i="11"/>
  <c r="L43" i="11"/>
  <c r="L51" i="11"/>
  <c r="L49" i="11"/>
  <c r="C13" i="11"/>
  <c r="C14" i="12" s="1"/>
  <c r="L27" i="11"/>
  <c r="E41" i="11"/>
  <c r="E8" i="11"/>
  <c r="G50" i="11"/>
  <c r="C8" i="11"/>
  <c r="C9" i="12" s="1"/>
  <c r="L30" i="11"/>
  <c r="L23" i="11"/>
  <c r="C6" i="6"/>
  <c r="G42" i="11"/>
  <c r="G38" i="11"/>
  <c r="G52" i="11"/>
  <c r="G37" i="11"/>
  <c r="G27" i="11"/>
  <c r="C52" i="11"/>
  <c r="C36" i="11"/>
  <c r="C50" i="11"/>
  <c r="C26" i="11"/>
  <c r="D6" i="6"/>
  <c r="J6" i="11" s="1"/>
  <c r="G34" i="11"/>
  <c r="G24" i="11"/>
  <c r="G32" i="11"/>
  <c r="G29" i="11"/>
  <c r="G43" i="11"/>
  <c r="G48" i="11"/>
  <c r="G49" i="11"/>
  <c r="G35" i="11"/>
  <c r="G33" i="11"/>
  <c r="G46" i="11"/>
  <c r="G47" i="11"/>
  <c r="G44" i="11"/>
  <c r="L34" i="11"/>
  <c r="C39" i="11"/>
  <c r="C35" i="11"/>
  <c r="C37" i="11"/>
  <c r="C29" i="11"/>
  <c r="C47" i="11"/>
  <c r="C38" i="11"/>
  <c r="C20" i="11"/>
  <c r="L33" i="11"/>
  <c r="G51" i="11"/>
  <c r="G36" i="11"/>
  <c r="G40" i="11"/>
  <c r="G20" i="11"/>
  <c r="G22" i="11"/>
  <c r="G30" i="11"/>
  <c r="G41" i="11"/>
  <c r="G39" i="11"/>
  <c r="G23" i="11"/>
  <c r="G28" i="11"/>
  <c r="G25" i="11"/>
  <c r="G45" i="11"/>
  <c r="D5" i="6"/>
  <c r="F26" i="11"/>
  <c r="G31" i="11"/>
  <c r="C22" i="11"/>
  <c r="C28" i="11"/>
  <c r="C51" i="11"/>
  <c r="C25" i="11"/>
  <c r="C42" i="11"/>
  <c r="C34" i="11"/>
  <c r="C44" i="11"/>
  <c r="C4" i="11"/>
  <c r="C5" i="12" s="1"/>
  <c r="C5" i="6"/>
  <c r="F39" i="11"/>
  <c r="C24" i="11"/>
  <c r="C32" i="11"/>
  <c r="C33" i="11"/>
  <c r="C46" i="11"/>
  <c r="C41" i="11"/>
  <c r="C27" i="11"/>
  <c r="F32" i="11"/>
  <c r="E4" i="11"/>
  <c r="F31" i="11"/>
  <c r="C43" i="11"/>
  <c r="C23" i="11"/>
  <c r="C21" i="11"/>
  <c r="C49" i="11"/>
  <c r="C40" i="11"/>
  <c r="C31" i="11"/>
  <c r="C45" i="11"/>
  <c r="C48" i="11"/>
  <c r="F37" i="11"/>
  <c r="F43" i="11"/>
  <c r="F20" i="11"/>
  <c r="F19" i="11"/>
  <c r="F25" i="11"/>
  <c r="F24" i="11"/>
  <c r="F47" i="11"/>
  <c r="F50" i="11"/>
  <c r="F52" i="11"/>
  <c r="F38" i="11"/>
  <c r="F21" i="11"/>
  <c r="F45" i="11"/>
  <c r="E7" i="11"/>
  <c r="F46" i="11"/>
  <c r="F34" i="11"/>
  <c r="C7" i="11"/>
  <c r="F49" i="11"/>
  <c r="F48" i="11"/>
  <c r="F28" i="11"/>
  <c r="F22" i="11"/>
  <c r="F42" i="11"/>
  <c r="F44" i="11"/>
  <c r="F30" i="11"/>
  <c r="F36" i="11"/>
  <c r="F51" i="11"/>
  <c r="F29" i="11"/>
  <c r="F27" i="11"/>
  <c r="F33" i="11"/>
  <c r="F35" i="11"/>
  <c r="F40" i="11"/>
  <c r="F41" i="11"/>
  <c r="F23" i="11"/>
  <c r="E31" i="11"/>
  <c r="E29" i="11"/>
  <c r="E36" i="11"/>
  <c r="E50" i="11"/>
  <c r="C6" i="11"/>
  <c r="E49" i="11"/>
  <c r="E25" i="11"/>
  <c r="E39" i="11"/>
  <c r="E27" i="11"/>
  <c r="E37" i="11"/>
  <c r="E45" i="11"/>
  <c r="E47" i="11"/>
  <c r="E30" i="11"/>
  <c r="E51" i="11"/>
  <c r="E38" i="11"/>
  <c r="E6" i="11"/>
  <c r="E43" i="11"/>
  <c r="E22" i="11"/>
  <c r="E20" i="11"/>
  <c r="E34" i="11"/>
  <c r="E33" i="11"/>
  <c r="E42" i="11"/>
  <c r="E26" i="11"/>
  <c r="E35" i="11"/>
  <c r="E28" i="11"/>
  <c r="E32" i="11"/>
  <c r="E19" i="11"/>
  <c r="E23" i="11"/>
  <c r="E40" i="11"/>
  <c r="E44" i="11"/>
  <c r="D4" i="6"/>
  <c r="E24" i="11"/>
  <c r="C4" i="6"/>
  <c r="E46" i="11"/>
  <c r="E21" i="11"/>
  <c r="E48" i="11"/>
  <c r="E52" i="11"/>
  <c r="C11" i="12"/>
  <c r="C12" i="12"/>
  <c r="C6" i="12"/>
  <c r="E17" i="12"/>
  <c r="J8" i="11"/>
  <c r="E2" i="12" l="1"/>
  <c r="J5" i="11"/>
  <c r="D13" i="11"/>
  <c r="D14" i="12" s="1"/>
  <c r="A10" i="11"/>
  <c r="A11" i="12" s="1"/>
  <c r="A7" i="11"/>
  <c r="A8" i="12" s="1"/>
  <c r="A9" i="11"/>
  <c r="A10" i="12" s="1"/>
  <c r="A11" i="11"/>
  <c r="A12" i="12" s="1"/>
  <c r="A13" i="11"/>
  <c r="A14" i="12" s="1"/>
  <c r="A8" i="11"/>
  <c r="A9" i="12" s="1"/>
  <c r="A12" i="11"/>
  <c r="A13" i="12" s="1"/>
  <c r="C7" i="12"/>
  <c r="C8" i="12"/>
  <c r="A6" i="11"/>
  <c r="A7" i="12" s="1"/>
  <c r="A5" i="11"/>
  <c r="A6" i="12" s="1"/>
  <c r="A4" i="11"/>
  <c r="A5" i="12" s="1"/>
  <c r="D10" i="11"/>
  <c r="D11" i="12" s="1"/>
  <c r="D7" i="11"/>
  <c r="D8" i="12" s="1"/>
  <c r="D5" i="11"/>
  <c r="D6" i="12" s="1"/>
  <c r="D8" i="11"/>
  <c r="D9" i="12" s="1"/>
  <c r="D6" i="11"/>
  <c r="D7" i="12" s="1"/>
  <c r="D9" i="11"/>
  <c r="D10" i="12" s="1"/>
  <c r="D12" i="11"/>
  <c r="D13" i="12" s="1"/>
  <c r="D11" i="11"/>
  <c r="D12" i="12" s="1"/>
  <c r="D4" i="11"/>
  <c r="D5" i="1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B2" authorId="0" shapeId="0" xr:uid="{00000000-0006-0000-0200-000001000000}">
      <text>
        <r>
          <rPr>
            <sz val="10"/>
            <rFont val="Arial"/>
            <family val="2"/>
          </rPr>
          <t>Source: NASCAR points update announcement dated 2026-01-12.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F2" authorId="0" shapeId="0" xr:uid="{00000000-0006-0000-0300-000001000000}">
      <text>
        <r>
          <rPr>
            <sz val="10"/>
            <rFont val="Arial"/>
            <family val="2"/>
          </rPr>
          <t>Source: NASCAR 2026 National Series Schedules PDF</t>
        </r>
      </text>
    </comment>
  </commentList>
</comments>
</file>

<file path=xl/sharedStrings.xml><?xml version="1.0" encoding="utf-8"?>
<sst xmlns="http://schemas.openxmlformats.org/spreadsheetml/2006/main" count="8285" uniqueCount="159">
  <si>
    <t>RACE SHED FANTASY V6 — COMMISSIONER BROADCAST SYSTEM</t>
  </si>
  <si>
    <t>Purpose</t>
  </si>
  <si>
    <t>Full-season NASCAR fantasy sheet for Pat, Meg, Darin, and Alz. Players send picks to you; you enter them.</t>
  </si>
  <si>
    <t>How to use</t>
  </si>
  <si>
    <t>1) Enter picks in WeeklyPicks. 2) Enter finishing order in RaceResults. 3) Dashboard, RaceSummary, DriverStats, and TV_Leaderboard update automatically.</t>
  </si>
  <si>
    <t>Points</t>
  </si>
  <si>
    <t>This version aligns with the 2026 official NASCAR race-finishing table for finishing position only: winner = 55, 2nd = 35, 3rd = 34, down to 1 point for 36th-40th. Stage points are not included because this workbook tracks final finishing order only.</t>
  </si>
  <si>
    <t>Protection</t>
  </si>
  <si>
    <t>All sheets are protected. Password: raceshed. Share a view-only link so nobody but you can edit.</t>
  </si>
  <si>
    <t>TV Mode</t>
  </si>
  <si>
    <t>Use Setup!B2 to choose the race shown on TV_Leaderboard.</t>
  </si>
  <si>
    <t>Seeded Data</t>
  </si>
  <si>
    <t>COTA picks and results are preloaded based on the data you gave me.</t>
  </si>
  <si>
    <t>Sources</t>
  </si>
  <si>
    <t>2026 schedule source: NASCAR 2026 National Series Schedules PDF. 2026 points update source: NASCAR Chase 2026 announcement.</t>
  </si>
  <si>
    <t>Commissioner Controls</t>
  </si>
  <si>
    <t>Selected Race #</t>
  </si>
  <si>
    <t>Current Player Count</t>
  </si>
  <si>
    <t>Selected Race</t>
  </si>
  <si>
    <t>Password</t>
  </si>
  <si>
    <t>raceshed</t>
  </si>
  <si>
    <t>Pat</t>
  </si>
  <si>
    <t>Meg</t>
  </si>
  <si>
    <t>Note</t>
  </si>
  <si>
    <t>Change Setup!B2 to switch the race shown on TV_Leaderboard.</t>
  </si>
  <si>
    <t>Darin</t>
  </si>
  <si>
    <t>Alz</t>
  </si>
  <si>
    <t>Joe</t>
  </si>
  <si>
    <t>Evelyn</t>
  </si>
  <si>
    <t>Deric</t>
  </si>
  <si>
    <t>Josh</t>
  </si>
  <si>
    <t>Jay</t>
  </si>
  <si>
    <t>Ryan</t>
  </si>
  <si>
    <t>Finish</t>
  </si>
  <si>
    <t>2026 Official Race Finish Points</t>
  </si>
  <si>
    <t>Source</t>
  </si>
  <si>
    <t>2026 points update: NASCAR announced race winners now collect 55 points; all other positions remain the same.</t>
  </si>
  <si>
    <t>URL</t>
  </si>
  <si>
    <t>https://www.nascar.com/news-media/2026/01/12/nascar-returns-to-chase-championship-format-for-2026/</t>
  </si>
  <si>
    <t>Race #</t>
  </si>
  <si>
    <t>Race</t>
  </si>
  <si>
    <t>Date</t>
  </si>
  <si>
    <t>TV</t>
  </si>
  <si>
    <t>Season Segment</t>
  </si>
  <si>
    <t>Source URL</t>
  </si>
  <si>
    <t>DAYTONA 500</t>
  </si>
  <si>
    <t>2026-02-15</t>
  </si>
  <si>
    <t>FOX</t>
  </si>
  <si>
    <t>Regular Season</t>
  </si>
  <si>
    <t>https://www.nascar.com/wp-content/uploads/sites/7/2026/02/10/2026-National-Series-Schedules-Times.pdf</t>
  </si>
  <si>
    <t>ECHOPARK (ATLANTA)</t>
  </si>
  <si>
    <t>2026-02-22</t>
  </si>
  <si>
    <t>COTA (AUSTIN)</t>
  </si>
  <si>
    <t>2026-03-01</t>
  </si>
  <si>
    <t>PHOENIX</t>
  </si>
  <si>
    <t>2026-03-08</t>
  </si>
  <si>
    <t>FS1</t>
  </si>
  <si>
    <t>LAS VEGAS</t>
  </si>
  <si>
    <t>2026-03-15</t>
  </si>
  <si>
    <t>DARLINGTON</t>
  </si>
  <si>
    <t>2026-03-22</t>
  </si>
  <si>
    <t>MARTINSVILLE</t>
  </si>
  <si>
    <t>2026-03-29</t>
  </si>
  <si>
    <t>BRISTOL</t>
  </si>
  <si>
    <t>2026-04-12</t>
  </si>
  <si>
    <t>KANSAS</t>
  </si>
  <si>
    <t>2026-04-19</t>
  </si>
  <si>
    <t>TALLADEGA</t>
  </si>
  <si>
    <t>2026-04-26</t>
  </si>
  <si>
    <t>TEXAS</t>
  </si>
  <si>
    <t>2026-05-03</t>
  </si>
  <si>
    <t>WATKINS GLEN</t>
  </si>
  <si>
    <t>2026-05-10</t>
  </si>
  <si>
    <t>CHARLOTTE</t>
  </si>
  <si>
    <t>2026-05-24</t>
  </si>
  <si>
    <t>PRIME</t>
  </si>
  <si>
    <t>NASHVILLE</t>
  </si>
  <si>
    <t>2026-05-31</t>
  </si>
  <si>
    <t>MICHIGAN</t>
  </si>
  <si>
    <t>2026-06-07</t>
  </si>
  <si>
    <t>POCONO</t>
  </si>
  <si>
    <t>2026-06-14</t>
  </si>
  <si>
    <t>SAN DIEGO</t>
  </si>
  <si>
    <t>2026-06-21</t>
  </si>
  <si>
    <t>SONOMA</t>
  </si>
  <si>
    <t>2026-06-28</t>
  </si>
  <si>
    <t>TNT</t>
  </si>
  <si>
    <t>CHICAGOLAND</t>
  </si>
  <si>
    <t>2026-07-05</t>
  </si>
  <si>
    <t>2026-07-12</t>
  </si>
  <si>
    <t>NORTH WILKESBORO</t>
  </si>
  <si>
    <t>2026-07-19</t>
  </si>
  <si>
    <t>INDIANAPOLIS</t>
  </si>
  <si>
    <t>2026-07-26</t>
  </si>
  <si>
    <t>IOWA</t>
  </si>
  <si>
    <t>2026-08-09</t>
  </si>
  <si>
    <t>USA</t>
  </si>
  <si>
    <t>RICHMOND</t>
  </si>
  <si>
    <t>2026-08-15</t>
  </si>
  <si>
    <t>NEW HAMPSHIRE</t>
  </si>
  <si>
    <t>2026-08-23</t>
  </si>
  <si>
    <t>DAYTONA</t>
  </si>
  <si>
    <t>2026-08-29</t>
  </si>
  <si>
    <t>NBC</t>
  </si>
  <si>
    <t>2026-09-06</t>
  </si>
  <si>
    <t>Chase</t>
  </si>
  <si>
    <t>WWTR (ST. LOUIS)</t>
  </si>
  <si>
    <t>2026-09-13</t>
  </si>
  <si>
    <t>2026-09-19</t>
  </si>
  <si>
    <t>2026-09-27</t>
  </si>
  <si>
    <t>2026-10-04</t>
  </si>
  <si>
    <t>2026-10-11</t>
  </si>
  <si>
    <t>2026-10-18</t>
  </si>
  <si>
    <t>2026-10-25</t>
  </si>
  <si>
    <t>2026-11-01</t>
  </si>
  <si>
    <t>HOMESTEAD-MIAMI</t>
  </si>
  <si>
    <t>2026-11-08</t>
  </si>
  <si>
    <t>Player</t>
  </si>
  <si>
    <t>Pick 1</t>
  </si>
  <si>
    <t>Pick 2</t>
  </si>
  <si>
    <t>Pick 3</t>
  </si>
  <si>
    <t>P1 Finish</t>
  </si>
  <si>
    <t>P2 Finish</t>
  </si>
  <si>
    <t>P3 Finish</t>
  </si>
  <si>
    <t>P1 Pts</t>
  </si>
  <si>
    <t>P2 Pts</t>
  </si>
  <si>
    <t>P3 Pts</t>
  </si>
  <si>
    <t>Weekly Total</t>
  </si>
  <si>
    <t>Winner</t>
  </si>
  <si>
    <t>Winner Pts</t>
  </si>
  <si>
    <t>Most Popular Pick</t>
  </si>
  <si>
    <t>Pick Count</t>
  </si>
  <si>
    <t>Worst Pick Car</t>
  </si>
  <si>
    <t>Worst Finish</t>
  </si>
  <si>
    <t>Worst Picked By</t>
  </si>
  <si>
    <t>Car #</t>
  </si>
  <si>
    <t>Finish Pts</t>
  </si>
  <si>
    <t>Pick Slot</t>
  </si>
  <si>
    <t>Times Picked</t>
  </si>
  <si>
    <t>Total Pts Earned</t>
  </si>
  <si>
    <t>Average Finish</t>
  </si>
  <si>
    <t>Best Finish</t>
  </si>
  <si>
    <t>RACE SHED FANTASY V7 — CHAMPIONSHIP DASHBOARD</t>
  </si>
  <si>
    <t>Race Spotlight</t>
  </si>
  <si>
    <t>Rank</t>
  </si>
  <si>
    <t>Season Points</t>
  </si>
  <si>
    <t>Wins</t>
  </si>
  <si>
    <t>Average Week</t>
  </si>
  <si>
    <t>Best Week</t>
  </si>
  <si>
    <t>Last Race Score</t>
  </si>
  <si>
    <t>Weekly Winner</t>
  </si>
  <si>
    <t>Worst Pick</t>
  </si>
  <si>
    <t>Cumulative Standings</t>
  </si>
  <si>
    <t>RACE SHED FANTASY V7</t>
  </si>
  <si>
    <t>RANK</t>
  </si>
  <si>
    <t>PLAYER</t>
  </si>
  <si>
    <t>SEASON PTS</t>
  </si>
  <si>
    <t>WINS</t>
  </si>
  <si>
    <t>THIS RACE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</si>
</sst>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8" x14ac:knownFonts="1">
    <font>
      <sz val="11"/>
      <color theme="1"/>
      <name val="Calibri"/>
      <family val="2"/>
      <charset val="1"/>
    </font>
    <font>
      <b/>
      <sz val="18"/>
      <color rgb="FFFFFFFF"/>
      <name val="Calibri"/>
      <charset val="1"/>
    </font>
    <font>
      <b/>
      <sz val="11"/>
      <color rgb="FF7030A0"/>
      <name val="Calibri"/>
      <charset val="1"/>
    </font>
    <font>
      <b/>
      <sz val="16"/>
      <color rgb="FFFFFFFF"/>
      <name val="Calibri"/>
      <charset val="1"/>
    </font>
    <font>
      <sz val="11"/>
      <color rgb="FF0000FF"/>
      <name val="Calibri"/>
      <charset val="1"/>
    </font>
    <font>
      <sz val="11"/>
      <color rgb="FF111111"/>
      <name val="Calibri"/>
      <charset val="1"/>
    </font>
    <font>
      <b/>
      <sz val="11"/>
      <color rgb="FF111111"/>
      <name val="Calibri"/>
      <charset val="1"/>
    </font>
    <font>
      <b/>
      <sz val="11"/>
      <color rgb="FFFFFFFF"/>
      <name val="Calibri"/>
      <charset val="1"/>
    </font>
    <font>
      <sz val="10"/>
      <name val="Arial"/>
      <family val="2"/>
    </font>
    <font>
      <sz val="11"/>
      <color rgb="FF666666"/>
      <name val="Calibri"/>
      <charset val="1"/>
    </font>
    <font>
      <sz val="11"/>
      <color rgb="FF008000"/>
      <name val="Calibri"/>
      <charset val="1"/>
    </font>
    <font>
      <b/>
      <sz val="14"/>
      <color rgb="FFFFFFFF"/>
      <name val="Calibri"/>
      <charset val="1"/>
    </font>
    <font>
      <b/>
      <sz val="13"/>
      <color rgb="FFFFFFFF"/>
      <name val="Calibri"/>
      <charset val="1"/>
    </font>
    <font>
      <b/>
      <sz val="24"/>
      <color rgb="FFFFFFFF"/>
      <name val="Calibri"/>
      <charset val="1"/>
    </font>
    <font>
      <b/>
      <sz val="12"/>
      <color rgb="FF7030A0"/>
      <name val="Calibri"/>
      <charset val="1"/>
    </font>
    <font>
      <b/>
      <sz val="12"/>
      <name val="Calibri"/>
      <charset val="1"/>
    </font>
    <font>
      <b/>
      <sz val="14"/>
      <name val="Calibri"/>
      <charset val="1"/>
    </font>
    <font>
      <b/>
      <sz val="12"/>
      <color rgb="FF111111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111111"/>
        <bgColor rgb="FF000000"/>
      </patternFill>
    </fill>
    <fill>
      <patternFill patternType="solid">
        <fgColor rgb="FF1F4E78"/>
        <bgColor rgb="FF003366"/>
      </patternFill>
    </fill>
    <fill>
      <patternFill patternType="solid">
        <fgColor rgb="FFD9EAF7"/>
        <bgColor rgb="FFE2F0D9"/>
      </patternFill>
    </fill>
    <fill>
      <patternFill patternType="solid">
        <fgColor rgb="FFE2F0D9"/>
        <bgColor rgb="FFD9EAF7"/>
      </patternFill>
    </fill>
    <fill>
      <patternFill patternType="solid">
        <fgColor rgb="FFFFF2CC"/>
        <bgColor rgb="FF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/>
    <xf numFmtId="0" fontId="0" fillId="0" borderId="0" xfId="0" applyAlignment="1">
      <alignment vertical="top" wrapText="1"/>
    </xf>
    <xf numFmtId="0" fontId="4" fillId="4" borderId="0" xfId="0" applyFont="1" applyFill="1"/>
    <xf numFmtId="0" fontId="5" fillId="5" borderId="0" xfId="0" applyFont="1" applyFill="1"/>
    <xf numFmtId="0" fontId="6" fillId="6" borderId="0" xfId="0" applyFont="1" applyFill="1"/>
    <xf numFmtId="0" fontId="7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164" fontId="0" fillId="0" borderId="0" xfId="0" applyNumberFormat="1"/>
    <xf numFmtId="0" fontId="9" fillId="0" borderId="0" xfId="0" applyFont="1"/>
    <xf numFmtId="0" fontId="10" fillId="0" borderId="0" xfId="0" applyFont="1"/>
    <xf numFmtId="0" fontId="5" fillId="0" borderId="0" xfId="0" applyFont="1"/>
    <xf numFmtId="0" fontId="12" fillId="3" borderId="0" xfId="0" applyFont="1" applyFill="1"/>
    <xf numFmtId="0" fontId="14" fillId="0" borderId="0" xfId="0" applyFont="1"/>
    <xf numFmtId="0" fontId="15" fillId="0" borderId="0" xfId="0" applyFont="1"/>
    <xf numFmtId="0" fontId="7" fillId="3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" fillId="2" borderId="0" xfId="0" applyFont="1" applyFill="1"/>
    <xf numFmtId="0" fontId="3" fillId="3" borderId="0" xfId="0" applyFont="1" applyFill="1"/>
    <xf numFmtId="0" fontId="11" fillId="3" borderId="0" xfId="0" applyFont="1" applyFill="1"/>
    <xf numFmtId="0" fontId="0" fillId="0" borderId="0" xfId="0"/>
    <xf numFmtId="0" fontId="1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BE4B48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4A7EBB"/>
      <rgbColor rgb="FF33CCCC"/>
      <rgbColor rgb="FF98B855"/>
      <rgbColor rgb="FFFFCC00"/>
      <rgbColor rgb="FFFF9900"/>
      <rgbColor rgb="FFFF6600"/>
      <rgbColor rgb="FF7D5FA0"/>
      <rgbColor rgb="FF969696"/>
      <rgbColor rgb="FF003366"/>
      <rgbColor rgb="FF339966"/>
      <rgbColor rgb="FF111111"/>
      <rgbColor rgb="FF333300"/>
      <rgbColor rgb="FF993300"/>
      <rgbColor rgb="FF7030A0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CA" sz="1800" b="1" u="none" strike="noStrike">
                <a:solidFill>
                  <a:srgbClr val="000000"/>
                </a:solidFill>
                <a:uFillTx/>
                <a:latin typeface="Calibri"/>
              </a:rPr>
              <a:t>Championship Battle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Dashboard!$C$11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Dashboard!$C$12:$C$47</c:f>
              <c:numCache>
                <c:formatCode>General</c:formatCode>
                <c:ptCount val="36"/>
                <c:pt idx="0">
                  <c:v>515</c:v>
                </c:pt>
                <c:pt idx="1">
                  <c:v>544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99</c:v>
                </c:pt>
                <c:pt idx="8">
                  <c:v>194</c:v>
                </c:pt>
                <c:pt idx="9">
                  <c:v>276</c:v>
                </c:pt>
                <c:pt idx="10">
                  <c:v>370</c:v>
                </c:pt>
                <c:pt idx="11">
                  <c:v>453</c:v>
                </c:pt>
                <c:pt idx="12">
                  <c:v>555</c:v>
                </c:pt>
                <c:pt idx="13">
                  <c:v>678</c:v>
                </c:pt>
                <c:pt idx="14">
                  <c:v>703</c:v>
                </c:pt>
                <c:pt idx="15">
                  <c:v>771</c:v>
                </c:pt>
                <c:pt idx="16">
                  <c:v>880</c:v>
                </c:pt>
                <c:pt idx="17">
                  <c:v>880</c:v>
                </c:pt>
                <c:pt idx="18">
                  <c:v>880</c:v>
                </c:pt>
                <c:pt idx="19">
                  <c:v>880</c:v>
                </c:pt>
                <c:pt idx="20">
                  <c:v>880</c:v>
                </c:pt>
                <c:pt idx="21">
                  <c:v>880</c:v>
                </c:pt>
                <c:pt idx="22">
                  <c:v>880</c:v>
                </c:pt>
                <c:pt idx="23">
                  <c:v>880</c:v>
                </c:pt>
                <c:pt idx="24">
                  <c:v>880</c:v>
                </c:pt>
                <c:pt idx="25">
                  <c:v>880</c:v>
                </c:pt>
                <c:pt idx="26">
                  <c:v>880</c:v>
                </c:pt>
                <c:pt idx="27">
                  <c:v>880</c:v>
                </c:pt>
                <c:pt idx="28">
                  <c:v>880</c:v>
                </c:pt>
                <c:pt idx="29">
                  <c:v>880</c:v>
                </c:pt>
                <c:pt idx="30">
                  <c:v>880</c:v>
                </c:pt>
                <c:pt idx="31">
                  <c:v>880</c:v>
                </c:pt>
                <c:pt idx="32">
                  <c:v>880</c:v>
                </c:pt>
                <c:pt idx="33">
                  <c:v>880</c:v>
                </c:pt>
                <c:pt idx="34">
                  <c:v>880</c:v>
                </c:pt>
                <c:pt idx="35">
                  <c:v>880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FE7-4587-A3CC-82B21968CB7A}"/>
            </c:ext>
          </c:extLst>
        </c:ser>
        <c:ser>
          <c:idx val="1"/>
          <c:order val="1"/>
          <c:tx>
            <c:strRef>
              <c:f>Dashboard!$D$11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Dashboard!$D$12:$D$47</c:f>
              <c:numCache>
                <c:formatCode>General</c:formatCode>
                <c:ptCount val="36"/>
                <c:pt idx="0">
                  <c:v>0</c:v>
                </c:pt>
                <c:pt idx="1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111</c:v>
                </c:pt>
                <c:pt idx="8">
                  <c:v>182</c:v>
                </c:pt>
                <c:pt idx="9">
                  <c:v>293</c:v>
                </c:pt>
                <c:pt idx="10">
                  <c:v>328</c:v>
                </c:pt>
                <c:pt idx="11">
                  <c:v>421</c:v>
                </c:pt>
                <c:pt idx="12">
                  <c:v>516</c:v>
                </c:pt>
                <c:pt idx="13">
                  <c:v>639</c:v>
                </c:pt>
                <c:pt idx="14">
                  <c:v>685</c:v>
                </c:pt>
                <c:pt idx="15">
                  <c:v>784</c:v>
                </c:pt>
                <c:pt idx="16">
                  <c:v>875</c:v>
                </c:pt>
                <c:pt idx="17">
                  <c:v>875</c:v>
                </c:pt>
                <c:pt idx="18">
                  <c:v>875</c:v>
                </c:pt>
                <c:pt idx="19">
                  <c:v>875</c:v>
                </c:pt>
                <c:pt idx="20">
                  <c:v>875</c:v>
                </c:pt>
                <c:pt idx="21">
                  <c:v>875</c:v>
                </c:pt>
                <c:pt idx="22">
                  <c:v>875</c:v>
                </c:pt>
                <c:pt idx="23">
                  <c:v>875</c:v>
                </c:pt>
                <c:pt idx="24">
                  <c:v>875</c:v>
                </c:pt>
                <c:pt idx="25">
                  <c:v>875</c:v>
                </c:pt>
                <c:pt idx="26">
                  <c:v>875</c:v>
                </c:pt>
                <c:pt idx="27">
                  <c:v>875</c:v>
                </c:pt>
                <c:pt idx="28">
                  <c:v>875</c:v>
                </c:pt>
                <c:pt idx="29">
                  <c:v>875</c:v>
                </c:pt>
                <c:pt idx="30">
                  <c:v>875</c:v>
                </c:pt>
                <c:pt idx="31">
                  <c:v>875</c:v>
                </c:pt>
                <c:pt idx="32">
                  <c:v>875</c:v>
                </c:pt>
                <c:pt idx="33">
                  <c:v>875</c:v>
                </c:pt>
                <c:pt idx="34">
                  <c:v>875</c:v>
                </c:pt>
                <c:pt idx="35">
                  <c:v>875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FE7-4587-A3CC-82B21968CB7A}"/>
            </c:ext>
          </c:extLst>
        </c:ser>
        <c:ser>
          <c:idx val="2"/>
          <c:order val="2"/>
          <c:tx>
            <c:strRef>
              <c:f>Dashboard!$E$11</c:f>
              <c:strCache>
                <c:ptCount val="1"/>
                <c:pt idx="0">
                  <c:v>0</c:v>
                </c:pt>
              </c:strCache>
            </c:strRef>
          </c:tx>
          <c:spPr>
            <a:ln w="28440">
              <a:solidFill>
                <a:srgbClr val="98B855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Dashboard!$E$12:$E$47</c:f>
              <c:numCache>
                <c:formatCode>General</c:formatCode>
                <c:ptCount val="36"/>
                <c:pt idx="0">
                  <c:v>14.305555555555555</c:v>
                </c:pt>
                <c:pt idx="1">
                  <c:v>15.111111111111111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59</c:v>
                </c:pt>
                <c:pt idx="8">
                  <c:v>100</c:v>
                </c:pt>
                <c:pt idx="9">
                  <c:v>195</c:v>
                </c:pt>
                <c:pt idx="10">
                  <c:v>277</c:v>
                </c:pt>
                <c:pt idx="11">
                  <c:v>399</c:v>
                </c:pt>
                <c:pt idx="12">
                  <c:v>513</c:v>
                </c:pt>
                <c:pt idx="13">
                  <c:v>589</c:v>
                </c:pt>
                <c:pt idx="14">
                  <c:v>593</c:v>
                </c:pt>
                <c:pt idx="15">
                  <c:v>640</c:v>
                </c:pt>
                <c:pt idx="16">
                  <c:v>736</c:v>
                </c:pt>
                <c:pt idx="17">
                  <c:v>736</c:v>
                </c:pt>
                <c:pt idx="18">
                  <c:v>736</c:v>
                </c:pt>
                <c:pt idx="19">
                  <c:v>736</c:v>
                </c:pt>
                <c:pt idx="20">
                  <c:v>736</c:v>
                </c:pt>
                <c:pt idx="21">
                  <c:v>736</c:v>
                </c:pt>
                <c:pt idx="22">
                  <c:v>736</c:v>
                </c:pt>
                <c:pt idx="23">
                  <c:v>736</c:v>
                </c:pt>
                <c:pt idx="24">
                  <c:v>736</c:v>
                </c:pt>
                <c:pt idx="25">
                  <c:v>736</c:v>
                </c:pt>
                <c:pt idx="26">
                  <c:v>736</c:v>
                </c:pt>
                <c:pt idx="27">
                  <c:v>736</c:v>
                </c:pt>
                <c:pt idx="28">
                  <c:v>736</c:v>
                </c:pt>
                <c:pt idx="29">
                  <c:v>736</c:v>
                </c:pt>
                <c:pt idx="30">
                  <c:v>736</c:v>
                </c:pt>
                <c:pt idx="31">
                  <c:v>736</c:v>
                </c:pt>
                <c:pt idx="32">
                  <c:v>736</c:v>
                </c:pt>
                <c:pt idx="33">
                  <c:v>736</c:v>
                </c:pt>
                <c:pt idx="34">
                  <c:v>736</c:v>
                </c:pt>
                <c:pt idx="35">
                  <c:v>736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FE7-4587-A3CC-82B21968CB7A}"/>
            </c:ext>
          </c:extLst>
        </c:ser>
        <c:ser>
          <c:idx val="3"/>
          <c:order val="3"/>
          <c:tx>
            <c:strRef>
              <c:f>Dashboard!$F$11</c:f>
              <c:strCache>
                <c:ptCount val="1"/>
                <c:pt idx="0">
                  <c:v>#NAME?</c:v>
                </c:pt>
              </c:strCache>
            </c:strRef>
          </c:tx>
          <c:spPr>
            <a:ln w="28440">
              <a:solidFill>
                <a:srgbClr val="7D5FA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844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strRef>
              <c:f>Dashboard!$A$12:$A$47</c:f>
              <c:strCache>
                <c:ptCount val="36"/>
                <c:pt idx="0">
                  <c:v>8</c:v>
                </c:pt>
                <c:pt idx="1">
                  <c:v>7</c:v>
                </c:pt>
                <c:pt idx="3">
                  <c:v>Cumulative Standings</c:v>
                </c:pt>
                <c:pt idx="4">
                  <c:v>Race #</c:v>
                </c:pt>
                <c:pt idx="5">
                  <c:v>1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5</c:v>
                </c:pt>
                <c:pt idx="10">
                  <c:v>6</c:v>
                </c:pt>
                <c:pt idx="11">
                  <c:v>7</c:v>
                </c:pt>
                <c:pt idx="12">
                  <c:v>8</c:v>
                </c:pt>
                <c:pt idx="13">
                  <c:v>9</c:v>
                </c:pt>
                <c:pt idx="14">
                  <c:v>10</c:v>
                </c:pt>
                <c:pt idx="15">
                  <c:v>11</c:v>
                </c:pt>
                <c:pt idx="16">
                  <c:v>12</c:v>
                </c:pt>
                <c:pt idx="17">
                  <c:v>13</c:v>
                </c:pt>
                <c:pt idx="18">
                  <c:v>14</c:v>
                </c:pt>
                <c:pt idx="19">
                  <c:v>15</c:v>
                </c:pt>
                <c:pt idx="20">
                  <c:v>16</c:v>
                </c:pt>
                <c:pt idx="21">
                  <c:v>17</c:v>
                </c:pt>
                <c:pt idx="22">
                  <c:v>18</c:v>
                </c:pt>
                <c:pt idx="23">
                  <c:v>19</c:v>
                </c:pt>
                <c:pt idx="24">
                  <c:v>20</c:v>
                </c:pt>
                <c:pt idx="25">
                  <c:v>21</c:v>
                </c:pt>
                <c:pt idx="26">
                  <c:v>22</c:v>
                </c:pt>
                <c:pt idx="27">
                  <c:v>23</c:v>
                </c:pt>
                <c:pt idx="28">
                  <c:v>24</c:v>
                </c:pt>
                <c:pt idx="29">
                  <c:v>25</c:v>
                </c:pt>
                <c:pt idx="30">
                  <c:v>26</c:v>
                </c:pt>
                <c:pt idx="31">
                  <c:v>27</c:v>
                </c:pt>
                <c:pt idx="32">
                  <c:v>28</c:v>
                </c:pt>
                <c:pt idx="33">
                  <c:v>29</c:v>
                </c:pt>
                <c:pt idx="34">
                  <c:v>30</c:v>
                </c:pt>
                <c:pt idx="35">
                  <c:v>31</c:v>
                </c:pt>
              </c:strCache>
            </c:strRef>
          </c:cat>
          <c:val>
            <c:numRef>
              <c:f>Dashboard!$F$12:$F$47</c:f>
              <c:numCache>
                <c:formatCode>General</c:formatCode>
                <c:ptCount val="36"/>
                <c:pt idx="0">
                  <c:v>0</c:v>
                </c:pt>
                <c:pt idx="1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63</c:v>
                </c:pt>
                <c:pt idx="8">
                  <c:v>155</c:v>
                </c:pt>
                <c:pt idx="9">
                  <c:v>261</c:v>
                </c:pt>
                <c:pt idx="10">
                  <c:v>376</c:v>
                </c:pt>
                <c:pt idx="11">
                  <c:v>468</c:v>
                </c:pt>
                <c:pt idx="12">
                  <c:v>586</c:v>
                </c:pt>
                <c:pt idx="13">
                  <c:v>662</c:v>
                </c:pt>
                <c:pt idx="14">
                  <c:v>687</c:v>
                </c:pt>
                <c:pt idx="15">
                  <c:v>779</c:v>
                </c:pt>
                <c:pt idx="16">
                  <c:v>876</c:v>
                </c:pt>
                <c:pt idx="17">
                  <c:v>876</c:v>
                </c:pt>
                <c:pt idx="18">
                  <c:v>876</c:v>
                </c:pt>
                <c:pt idx="19">
                  <c:v>876</c:v>
                </c:pt>
                <c:pt idx="20">
                  <c:v>876</c:v>
                </c:pt>
                <c:pt idx="21">
                  <c:v>876</c:v>
                </c:pt>
                <c:pt idx="22">
                  <c:v>876</c:v>
                </c:pt>
                <c:pt idx="23">
                  <c:v>876</c:v>
                </c:pt>
                <c:pt idx="24">
                  <c:v>876</c:v>
                </c:pt>
                <c:pt idx="25">
                  <c:v>876</c:v>
                </c:pt>
                <c:pt idx="26">
                  <c:v>876</c:v>
                </c:pt>
                <c:pt idx="27">
                  <c:v>876</c:v>
                </c:pt>
                <c:pt idx="28">
                  <c:v>876</c:v>
                </c:pt>
                <c:pt idx="29">
                  <c:v>876</c:v>
                </c:pt>
                <c:pt idx="30">
                  <c:v>876</c:v>
                </c:pt>
                <c:pt idx="31">
                  <c:v>876</c:v>
                </c:pt>
                <c:pt idx="32">
                  <c:v>876</c:v>
                </c:pt>
                <c:pt idx="33">
                  <c:v>876</c:v>
                </c:pt>
                <c:pt idx="34">
                  <c:v>876</c:v>
                </c:pt>
                <c:pt idx="35">
                  <c:v>876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FE7-4587-A3CC-82B21968CB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6213069"/>
        <c:axId val="70637761"/>
      </c:lineChart>
      <c:catAx>
        <c:axId val="16213069"/>
        <c:scaling>
          <c:orientation val="minMax"/>
        </c:scaling>
        <c:delete val="1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Race #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70637761"/>
        <c:crosses val="autoZero"/>
        <c:auto val="1"/>
        <c:lblAlgn val="ctr"/>
        <c:lblOffset val="100"/>
        <c:noMultiLvlLbl val="0"/>
      </c:catAx>
      <c:valAx>
        <c:axId val="70637761"/>
        <c:scaling>
          <c:orientation val="minMax"/>
        </c:scaling>
        <c:delete val="1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CA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Season Points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crossAx val="1621306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1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9</xdr:row>
      <xdr:rowOff>0</xdr:rowOff>
    </xdr:from>
    <xdr:to>
      <xdr:col>15</xdr:col>
      <xdr:colOff>164520</xdr:colOff>
      <xdr:row>24</xdr:row>
      <xdr:rowOff>141120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"/>
  <sheetViews>
    <sheetView topLeftCell="A3" zoomScaleNormal="100" workbookViewId="0"/>
  </sheetViews>
  <sheetFormatPr defaultColWidth="8.6640625" defaultRowHeight="14.25" customHeight="1" x14ac:dyDescent="0.3"/>
  <cols>
    <col min="1" max="1" width="18" customWidth="1"/>
    <col min="2" max="2" width="110" customWidth="1"/>
  </cols>
  <sheetData>
    <row r="1" spans="1:8" ht="23.25" customHeight="1" x14ac:dyDescent="0.45">
      <c r="A1" s="18" t="s">
        <v>0</v>
      </c>
      <c r="B1" s="18"/>
      <c r="C1" s="18"/>
      <c r="D1" s="18"/>
      <c r="E1" s="18"/>
      <c r="F1" s="18"/>
      <c r="G1" s="18"/>
      <c r="H1" s="18"/>
    </row>
    <row r="3" spans="1:8" ht="36" customHeight="1" x14ac:dyDescent="0.3">
      <c r="A3" s="1" t="s">
        <v>1</v>
      </c>
      <c r="B3" s="2" t="s">
        <v>2</v>
      </c>
    </row>
    <row r="4" spans="1:8" ht="36" customHeight="1" x14ac:dyDescent="0.3">
      <c r="A4" s="1" t="s">
        <v>3</v>
      </c>
      <c r="B4" s="2" t="s">
        <v>4</v>
      </c>
    </row>
    <row r="5" spans="1:8" ht="36" customHeight="1" x14ac:dyDescent="0.3">
      <c r="A5" s="1" t="s">
        <v>5</v>
      </c>
      <c r="B5" s="2" t="s">
        <v>6</v>
      </c>
    </row>
    <row r="6" spans="1:8" ht="36" customHeight="1" x14ac:dyDescent="0.3">
      <c r="A6" s="1" t="s">
        <v>7</v>
      </c>
      <c r="B6" s="2" t="s">
        <v>8</v>
      </c>
    </row>
    <row r="7" spans="1:8" ht="36" customHeight="1" x14ac:dyDescent="0.3">
      <c r="A7" s="1" t="s">
        <v>9</v>
      </c>
      <c r="B7" s="2" t="s">
        <v>10</v>
      </c>
    </row>
    <row r="8" spans="1:8" ht="36" customHeight="1" x14ac:dyDescent="0.3">
      <c r="A8" s="1" t="s">
        <v>11</v>
      </c>
      <c r="B8" s="2" t="s">
        <v>12</v>
      </c>
    </row>
    <row r="9" spans="1:8" ht="36" customHeight="1" x14ac:dyDescent="0.3">
      <c r="A9" s="1" t="s">
        <v>13</v>
      </c>
      <c r="B9" s="2" t="s">
        <v>14</v>
      </c>
    </row>
  </sheetData>
  <sheetProtection password="888B" sheet="1" formatCells="0" insertRows="0" deleteRows="0" selectLockedCells="1" sort="0" autoFilter="0" selectUnlockedCells="1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"/>
  <sheetViews>
    <sheetView zoomScaleNormal="100" workbookViewId="0">
      <selection activeCell="C10" sqref="C10"/>
    </sheetView>
  </sheetViews>
  <sheetFormatPr defaultColWidth="8.6640625" defaultRowHeight="14.25" customHeight="1" x14ac:dyDescent="0.3"/>
  <cols>
    <col min="1" max="1" width="22" customWidth="1"/>
    <col min="2" max="2" width="50" customWidth="1"/>
  </cols>
  <sheetData>
    <row r="1" spans="1:5" ht="21" customHeight="1" x14ac:dyDescent="0.4">
      <c r="A1" s="19" t="s">
        <v>15</v>
      </c>
      <c r="B1" s="19"/>
      <c r="C1" s="19"/>
      <c r="D1" s="19"/>
    </row>
    <row r="2" spans="1:5" ht="14.4" x14ac:dyDescent="0.3">
      <c r="A2" s="1" t="s">
        <v>16</v>
      </c>
      <c r="B2" s="3">
        <v>5</v>
      </c>
      <c r="D2" t="s">
        <v>17</v>
      </c>
      <c r="E2">
        <v>10</v>
      </c>
    </row>
    <row r="3" spans="1:5" ht="14.4" x14ac:dyDescent="0.3">
      <c r="A3" s="1" t="s">
        <v>18</v>
      </c>
      <c r="B3" s="4" t="str">
        <f>INDEX(Schedule!$B$2:$B$37,$B$2)</f>
        <v>LAS VEGAS</v>
      </c>
    </row>
    <row r="4" spans="1:5" ht="14.4" x14ac:dyDescent="0.3">
      <c r="A4" s="1" t="s">
        <v>19</v>
      </c>
      <c r="B4" s="5" t="s">
        <v>20</v>
      </c>
      <c r="D4" t="s">
        <v>21</v>
      </c>
    </row>
    <row r="5" spans="1:5" ht="14.4" x14ac:dyDescent="0.3">
      <c r="D5" t="s">
        <v>22</v>
      </c>
    </row>
    <row r="6" spans="1:5" ht="14.4" x14ac:dyDescent="0.3">
      <c r="A6" t="s">
        <v>23</v>
      </c>
      <c r="B6" t="s">
        <v>24</v>
      </c>
      <c r="D6" t="s">
        <v>25</v>
      </c>
    </row>
    <row r="7" spans="1:5" ht="14.4" x14ac:dyDescent="0.3">
      <c r="D7" t="s">
        <v>26</v>
      </c>
    </row>
    <row r="8" spans="1:5" ht="14.4" x14ac:dyDescent="0.3">
      <c r="D8" t="s">
        <v>27</v>
      </c>
    </row>
    <row r="9" spans="1:5" ht="14.4" x14ac:dyDescent="0.3">
      <c r="D9" t="s">
        <v>28</v>
      </c>
    </row>
    <row r="10" spans="1:5" ht="14.4" x14ac:dyDescent="0.3">
      <c r="D10" t="s">
        <v>29</v>
      </c>
    </row>
    <row r="11" spans="1:5" ht="14.4" x14ac:dyDescent="0.3">
      <c r="D11" t="s">
        <v>30</v>
      </c>
    </row>
    <row r="12" spans="1:5" ht="14.4" x14ac:dyDescent="0.3">
      <c r="D12" t="s">
        <v>31</v>
      </c>
    </row>
    <row r="13" spans="1:5" ht="14.4" x14ac:dyDescent="0.3">
      <c r="D13" t="s">
        <v>32</v>
      </c>
    </row>
  </sheetData>
  <mergeCells count="1">
    <mergeCell ref="A1:D1"/>
  </mergeCells>
  <dataValidations count="1">
    <dataValidation type="whole" sqref="B2" xr:uid="{00000000-0002-0000-0100-000000000000}">
      <formula1>1</formula1>
      <formula2>36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topLeftCell="A3" zoomScaleNormal="100" workbookViewId="0"/>
  </sheetViews>
  <sheetFormatPr defaultColWidth="8.6640625" defaultRowHeight="14.25" customHeight="1" x14ac:dyDescent="0.3"/>
  <cols>
    <col min="1" max="1" width="10" customWidth="1"/>
    <col min="2" max="2" width="28" customWidth="1"/>
    <col min="4" max="4" width="24" customWidth="1"/>
    <col min="5" max="5" width="35" customWidth="1"/>
  </cols>
  <sheetData>
    <row r="1" spans="1:4" ht="14.4" x14ac:dyDescent="0.3">
      <c r="A1" s="6" t="s">
        <v>33</v>
      </c>
      <c r="B1" s="6" t="s">
        <v>34</v>
      </c>
    </row>
    <row r="2" spans="1:4" ht="14.4" x14ac:dyDescent="0.3">
      <c r="A2">
        <v>1</v>
      </c>
      <c r="B2">
        <v>55</v>
      </c>
      <c r="D2" t="s">
        <v>35</v>
      </c>
    </row>
    <row r="3" spans="1:4" ht="72" customHeight="1" x14ac:dyDescent="0.3">
      <c r="A3">
        <v>2</v>
      </c>
      <c r="B3">
        <v>35</v>
      </c>
      <c r="D3" s="7" t="s">
        <v>36</v>
      </c>
    </row>
    <row r="4" spans="1:4" ht="14.4" x14ac:dyDescent="0.3">
      <c r="A4">
        <v>3</v>
      </c>
      <c r="B4">
        <v>34</v>
      </c>
    </row>
    <row r="5" spans="1:4" ht="14.4" x14ac:dyDescent="0.3">
      <c r="A5">
        <v>4</v>
      </c>
      <c r="B5">
        <v>33</v>
      </c>
      <c r="D5" t="s">
        <v>37</v>
      </c>
    </row>
    <row r="6" spans="1:4" ht="14.4" x14ac:dyDescent="0.3">
      <c r="A6">
        <v>5</v>
      </c>
      <c r="B6">
        <v>32</v>
      </c>
      <c r="D6" t="s">
        <v>38</v>
      </c>
    </row>
    <row r="7" spans="1:4" ht="14.4" x14ac:dyDescent="0.3">
      <c r="A7">
        <v>6</v>
      </c>
      <c r="B7">
        <v>31</v>
      </c>
    </row>
    <row r="8" spans="1:4" ht="14.4" x14ac:dyDescent="0.3">
      <c r="A8">
        <v>7</v>
      </c>
      <c r="B8">
        <v>30</v>
      </c>
    </row>
    <row r="9" spans="1:4" ht="14.4" x14ac:dyDescent="0.3">
      <c r="A9">
        <v>8</v>
      </c>
      <c r="B9">
        <v>29</v>
      </c>
    </row>
    <row r="10" spans="1:4" ht="14.4" x14ac:dyDescent="0.3">
      <c r="A10">
        <v>9</v>
      </c>
      <c r="B10">
        <v>28</v>
      </c>
    </row>
    <row r="11" spans="1:4" ht="14.4" x14ac:dyDescent="0.3">
      <c r="A11">
        <v>10</v>
      </c>
      <c r="B11">
        <v>27</v>
      </c>
    </row>
    <row r="12" spans="1:4" ht="14.4" x14ac:dyDescent="0.3">
      <c r="A12">
        <v>11</v>
      </c>
      <c r="B12">
        <v>26</v>
      </c>
    </row>
    <row r="13" spans="1:4" ht="14.4" x14ac:dyDescent="0.3">
      <c r="A13">
        <v>12</v>
      </c>
      <c r="B13">
        <v>25</v>
      </c>
    </row>
    <row r="14" spans="1:4" ht="14.4" x14ac:dyDescent="0.3">
      <c r="A14">
        <v>13</v>
      </c>
      <c r="B14">
        <v>24</v>
      </c>
    </row>
    <row r="15" spans="1:4" ht="14.4" x14ac:dyDescent="0.3">
      <c r="A15">
        <v>14</v>
      </c>
      <c r="B15">
        <v>23</v>
      </c>
    </row>
    <row r="16" spans="1:4" ht="14.4" x14ac:dyDescent="0.3">
      <c r="A16">
        <v>15</v>
      </c>
      <c r="B16">
        <v>22</v>
      </c>
    </row>
    <row r="17" spans="1:2" ht="14.4" x14ac:dyDescent="0.3">
      <c r="A17">
        <v>16</v>
      </c>
      <c r="B17">
        <v>21</v>
      </c>
    </row>
    <row r="18" spans="1:2" ht="14.4" x14ac:dyDescent="0.3">
      <c r="A18">
        <v>17</v>
      </c>
      <c r="B18">
        <v>20</v>
      </c>
    </row>
    <row r="19" spans="1:2" ht="14.4" x14ac:dyDescent="0.3">
      <c r="A19">
        <v>18</v>
      </c>
      <c r="B19">
        <v>19</v>
      </c>
    </row>
    <row r="20" spans="1:2" ht="14.4" x14ac:dyDescent="0.3">
      <c r="A20">
        <v>19</v>
      </c>
      <c r="B20">
        <v>18</v>
      </c>
    </row>
    <row r="21" spans="1:2" ht="14.4" x14ac:dyDescent="0.3">
      <c r="A21">
        <v>20</v>
      </c>
      <c r="B21">
        <v>17</v>
      </c>
    </row>
    <row r="22" spans="1:2" ht="14.4" x14ac:dyDescent="0.3">
      <c r="A22">
        <v>21</v>
      </c>
      <c r="B22">
        <v>16</v>
      </c>
    </row>
    <row r="23" spans="1:2" ht="14.4" x14ac:dyDescent="0.3">
      <c r="A23">
        <v>22</v>
      </c>
      <c r="B23">
        <v>15</v>
      </c>
    </row>
    <row r="24" spans="1:2" ht="14.4" x14ac:dyDescent="0.3">
      <c r="A24">
        <v>23</v>
      </c>
      <c r="B24">
        <v>14</v>
      </c>
    </row>
    <row r="25" spans="1:2" ht="14.4" x14ac:dyDescent="0.3">
      <c r="A25">
        <v>24</v>
      </c>
      <c r="B25">
        <v>13</v>
      </c>
    </row>
    <row r="26" spans="1:2" ht="14.4" x14ac:dyDescent="0.3">
      <c r="A26">
        <v>25</v>
      </c>
      <c r="B26">
        <v>12</v>
      </c>
    </row>
    <row r="27" spans="1:2" ht="14.4" x14ac:dyDescent="0.3">
      <c r="A27">
        <v>26</v>
      </c>
      <c r="B27">
        <v>11</v>
      </c>
    </row>
    <row r="28" spans="1:2" ht="14.4" x14ac:dyDescent="0.3">
      <c r="A28">
        <v>27</v>
      </c>
      <c r="B28">
        <v>10</v>
      </c>
    </row>
    <row r="29" spans="1:2" ht="14.4" x14ac:dyDescent="0.3">
      <c r="A29">
        <v>28</v>
      </c>
      <c r="B29">
        <v>9</v>
      </c>
    </row>
    <row r="30" spans="1:2" ht="14.4" x14ac:dyDescent="0.3">
      <c r="A30">
        <v>29</v>
      </c>
      <c r="B30">
        <v>8</v>
      </c>
    </row>
    <row r="31" spans="1:2" ht="14.4" x14ac:dyDescent="0.3">
      <c r="A31">
        <v>30</v>
      </c>
      <c r="B31">
        <v>7</v>
      </c>
    </row>
    <row r="32" spans="1:2" ht="14.4" x14ac:dyDescent="0.3">
      <c r="A32">
        <v>31</v>
      </c>
      <c r="B32">
        <v>6</v>
      </c>
    </row>
    <row r="33" spans="1:2" ht="14.4" x14ac:dyDescent="0.3">
      <c r="A33">
        <v>32</v>
      </c>
      <c r="B33">
        <v>5</v>
      </c>
    </row>
    <row r="34" spans="1:2" ht="14.4" x14ac:dyDescent="0.3">
      <c r="A34">
        <v>33</v>
      </c>
      <c r="B34">
        <v>4</v>
      </c>
    </row>
    <row r="35" spans="1:2" ht="14.4" x14ac:dyDescent="0.3">
      <c r="A35">
        <v>34</v>
      </c>
      <c r="B35">
        <v>3</v>
      </c>
    </row>
    <row r="36" spans="1:2" ht="14.4" x14ac:dyDescent="0.3">
      <c r="A36">
        <v>35</v>
      </c>
      <c r="B36">
        <v>2</v>
      </c>
    </row>
    <row r="37" spans="1:2" ht="14.4" x14ac:dyDescent="0.3">
      <c r="A37">
        <v>36</v>
      </c>
      <c r="B37">
        <v>1</v>
      </c>
    </row>
    <row r="38" spans="1:2" ht="14.4" x14ac:dyDescent="0.3">
      <c r="A38">
        <v>37</v>
      </c>
      <c r="B38">
        <v>1</v>
      </c>
    </row>
    <row r="39" spans="1:2" ht="14.4" x14ac:dyDescent="0.3">
      <c r="A39">
        <v>38</v>
      </c>
      <c r="B39">
        <v>1</v>
      </c>
    </row>
    <row r="40" spans="1:2" ht="14.4" x14ac:dyDescent="0.3">
      <c r="A40">
        <v>39</v>
      </c>
      <c r="B40">
        <v>1</v>
      </c>
    </row>
    <row r="41" spans="1:2" ht="14.4" x14ac:dyDescent="0.3">
      <c r="A41">
        <v>40</v>
      </c>
      <c r="B41">
        <v>1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6" customWidth="1"/>
    <col min="3" max="3" width="14" customWidth="1"/>
    <col min="4" max="4" width="10" customWidth="1"/>
    <col min="5" max="5" width="16" customWidth="1"/>
    <col min="6" max="6" width="70" customWidth="1"/>
  </cols>
  <sheetData>
    <row r="1" spans="1:6" x14ac:dyDescent="0.3">
      <c r="A1" s="6" t="s">
        <v>39</v>
      </c>
      <c r="B1" s="6" t="s">
        <v>40</v>
      </c>
      <c r="C1" s="6" t="s">
        <v>41</v>
      </c>
      <c r="D1" s="6" t="s">
        <v>42</v>
      </c>
      <c r="E1" s="6" t="s">
        <v>43</v>
      </c>
      <c r="F1" s="6" t="s">
        <v>44</v>
      </c>
    </row>
    <row r="2" spans="1:6" x14ac:dyDescent="0.3">
      <c r="A2">
        <v>1</v>
      </c>
      <c r="B2" t="s">
        <v>45</v>
      </c>
      <c r="C2" s="8" t="s">
        <v>46</v>
      </c>
      <c r="D2" t="s">
        <v>47</v>
      </c>
      <c r="E2" t="s">
        <v>48</v>
      </c>
      <c r="F2" t="s">
        <v>49</v>
      </c>
    </row>
    <row r="3" spans="1:6" x14ac:dyDescent="0.3">
      <c r="A3">
        <v>2</v>
      </c>
      <c r="B3" t="s">
        <v>50</v>
      </c>
      <c r="C3" s="8" t="s">
        <v>51</v>
      </c>
      <c r="D3" t="s">
        <v>47</v>
      </c>
      <c r="E3" t="s">
        <v>48</v>
      </c>
      <c r="F3" t="s">
        <v>49</v>
      </c>
    </row>
    <row r="4" spans="1:6" x14ac:dyDescent="0.3">
      <c r="A4">
        <v>3</v>
      </c>
      <c r="B4" t="s">
        <v>52</v>
      </c>
      <c r="C4" s="8" t="s">
        <v>53</v>
      </c>
      <c r="D4" t="s">
        <v>47</v>
      </c>
      <c r="E4" t="s">
        <v>48</v>
      </c>
      <c r="F4" t="s">
        <v>49</v>
      </c>
    </row>
    <row r="5" spans="1:6" x14ac:dyDescent="0.3">
      <c r="A5">
        <v>4</v>
      </c>
      <c r="B5" t="s">
        <v>54</v>
      </c>
      <c r="C5" s="8" t="s">
        <v>55</v>
      </c>
      <c r="D5" t="s">
        <v>56</v>
      </c>
      <c r="E5" t="s">
        <v>48</v>
      </c>
      <c r="F5" t="s">
        <v>49</v>
      </c>
    </row>
    <row r="6" spans="1:6" x14ac:dyDescent="0.3">
      <c r="A6">
        <v>5</v>
      </c>
      <c r="B6" t="s">
        <v>57</v>
      </c>
      <c r="C6" s="8" t="s">
        <v>58</v>
      </c>
      <c r="D6" t="s">
        <v>56</v>
      </c>
      <c r="E6" t="s">
        <v>48</v>
      </c>
      <c r="F6" t="s">
        <v>49</v>
      </c>
    </row>
    <row r="7" spans="1:6" x14ac:dyDescent="0.3">
      <c r="A7">
        <v>6</v>
      </c>
      <c r="B7" t="s">
        <v>59</v>
      </c>
      <c r="C7" s="8" t="s">
        <v>60</v>
      </c>
      <c r="D7" t="s">
        <v>56</v>
      </c>
      <c r="E7" t="s">
        <v>48</v>
      </c>
      <c r="F7" t="s">
        <v>49</v>
      </c>
    </row>
    <row r="8" spans="1:6" x14ac:dyDescent="0.3">
      <c r="A8">
        <v>7</v>
      </c>
      <c r="B8" t="s">
        <v>61</v>
      </c>
      <c r="C8" s="8" t="s">
        <v>62</v>
      </c>
      <c r="D8" t="s">
        <v>56</v>
      </c>
      <c r="E8" t="s">
        <v>48</v>
      </c>
      <c r="F8" t="s">
        <v>49</v>
      </c>
    </row>
    <row r="9" spans="1:6" x14ac:dyDescent="0.3">
      <c r="A9">
        <v>8</v>
      </c>
      <c r="B9" t="s">
        <v>63</v>
      </c>
      <c r="C9" s="8" t="s">
        <v>64</v>
      </c>
      <c r="D9" t="s">
        <v>56</v>
      </c>
      <c r="E9" t="s">
        <v>48</v>
      </c>
      <c r="F9" t="s">
        <v>49</v>
      </c>
    </row>
    <row r="10" spans="1:6" x14ac:dyDescent="0.3">
      <c r="A10">
        <v>9</v>
      </c>
      <c r="B10" t="s">
        <v>65</v>
      </c>
      <c r="C10" s="8" t="s">
        <v>66</v>
      </c>
      <c r="D10" t="s">
        <v>47</v>
      </c>
      <c r="E10" t="s">
        <v>48</v>
      </c>
      <c r="F10" t="s">
        <v>49</v>
      </c>
    </row>
    <row r="11" spans="1:6" x14ac:dyDescent="0.3">
      <c r="A11">
        <v>10</v>
      </c>
      <c r="B11" t="s">
        <v>67</v>
      </c>
      <c r="C11" s="8" t="s">
        <v>68</v>
      </c>
      <c r="D11" t="s">
        <v>47</v>
      </c>
      <c r="E11" t="s">
        <v>48</v>
      </c>
      <c r="F11" t="s">
        <v>49</v>
      </c>
    </row>
    <row r="12" spans="1:6" x14ac:dyDescent="0.3">
      <c r="A12">
        <v>11</v>
      </c>
      <c r="B12" t="s">
        <v>69</v>
      </c>
      <c r="C12" s="8" t="s">
        <v>70</v>
      </c>
      <c r="D12" t="s">
        <v>56</v>
      </c>
      <c r="E12" t="s">
        <v>48</v>
      </c>
      <c r="F12" t="s">
        <v>49</v>
      </c>
    </row>
    <row r="13" spans="1:6" x14ac:dyDescent="0.3">
      <c r="A13">
        <v>12</v>
      </c>
      <c r="B13" t="s">
        <v>71</v>
      </c>
      <c r="C13" s="8" t="s">
        <v>72</v>
      </c>
      <c r="D13" t="s">
        <v>56</v>
      </c>
      <c r="E13" t="s">
        <v>48</v>
      </c>
      <c r="F13" t="s">
        <v>49</v>
      </c>
    </row>
    <row r="14" spans="1:6" x14ac:dyDescent="0.3">
      <c r="A14">
        <v>13</v>
      </c>
      <c r="B14" t="s">
        <v>73</v>
      </c>
      <c r="C14" s="8" t="s">
        <v>74</v>
      </c>
      <c r="D14" t="s">
        <v>75</v>
      </c>
      <c r="E14" t="s">
        <v>48</v>
      </c>
      <c r="F14" t="s">
        <v>49</v>
      </c>
    </row>
    <row r="15" spans="1:6" x14ac:dyDescent="0.3">
      <c r="A15">
        <v>14</v>
      </c>
      <c r="B15" t="s">
        <v>76</v>
      </c>
      <c r="C15" s="8" t="s">
        <v>77</v>
      </c>
      <c r="D15" t="s">
        <v>75</v>
      </c>
      <c r="E15" t="s">
        <v>48</v>
      </c>
      <c r="F15" t="s">
        <v>49</v>
      </c>
    </row>
    <row r="16" spans="1:6" x14ac:dyDescent="0.3">
      <c r="A16">
        <v>15</v>
      </c>
      <c r="B16" t="s">
        <v>78</v>
      </c>
      <c r="C16" s="8" t="s">
        <v>79</v>
      </c>
      <c r="D16" t="s">
        <v>75</v>
      </c>
      <c r="E16" t="s">
        <v>48</v>
      </c>
      <c r="F16" t="s">
        <v>49</v>
      </c>
    </row>
    <row r="17" spans="1:6" x14ac:dyDescent="0.3">
      <c r="A17">
        <v>16</v>
      </c>
      <c r="B17" t="s">
        <v>80</v>
      </c>
      <c r="C17" s="8" t="s">
        <v>81</v>
      </c>
      <c r="D17" t="s">
        <v>75</v>
      </c>
      <c r="E17" t="s">
        <v>48</v>
      </c>
      <c r="F17" t="s">
        <v>49</v>
      </c>
    </row>
    <row r="18" spans="1:6" x14ac:dyDescent="0.3">
      <c r="A18">
        <v>17</v>
      </c>
      <c r="B18" t="s">
        <v>82</v>
      </c>
      <c r="C18" s="8" t="s">
        <v>83</v>
      </c>
      <c r="D18" t="s">
        <v>75</v>
      </c>
      <c r="E18" t="s">
        <v>48</v>
      </c>
      <c r="F18" t="s">
        <v>49</v>
      </c>
    </row>
    <row r="19" spans="1:6" x14ac:dyDescent="0.3">
      <c r="A19">
        <v>18</v>
      </c>
      <c r="B19" t="s">
        <v>84</v>
      </c>
      <c r="C19" s="8" t="s">
        <v>85</v>
      </c>
      <c r="D19" t="s">
        <v>86</v>
      </c>
      <c r="E19" t="s">
        <v>48</v>
      </c>
      <c r="F19" t="s">
        <v>49</v>
      </c>
    </row>
    <row r="20" spans="1:6" x14ac:dyDescent="0.3">
      <c r="A20">
        <v>19</v>
      </c>
      <c r="B20" t="s">
        <v>87</v>
      </c>
      <c r="C20" s="8" t="s">
        <v>88</v>
      </c>
      <c r="D20" t="s">
        <v>86</v>
      </c>
      <c r="E20" t="s">
        <v>48</v>
      </c>
      <c r="F20" t="s">
        <v>49</v>
      </c>
    </row>
    <row r="21" spans="1:6" x14ac:dyDescent="0.3">
      <c r="A21">
        <v>20</v>
      </c>
      <c r="B21" t="s">
        <v>50</v>
      </c>
      <c r="C21" s="8" t="s">
        <v>89</v>
      </c>
      <c r="D21" t="s">
        <v>86</v>
      </c>
      <c r="E21" t="s">
        <v>48</v>
      </c>
      <c r="F21" t="s">
        <v>49</v>
      </c>
    </row>
    <row r="22" spans="1:6" x14ac:dyDescent="0.3">
      <c r="A22">
        <v>21</v>
      </c>
      <c r="B22" t="s">
        <v>90</v>
      </c>
      <c r="C22" s="8" t="s">
        <v>91</v>
      </c>
      <c r="D22" t="s">
        <v>86</v>
      </c>
      <c r="E22" t="s">
        <v>48</v>
      </c>
      <c r="F22" t="s">
        <v>49</v>
      </c>
    </row>
    <row r="23" spans="1:6" x14ac:dyDescent="0.3">
      <c r="A23">
        <v>22</v>
      </c>
      <c r="B23" t="s">
        <v>92</v>
      </c>
      <c r="C23" s="8" t="s">
        <v>93</v>
      </c>
      <c r="D23" t="s">
        <v>86</v>
      </c>
      <c r="E23" t="s">
        <v>48</v>
      </c>
      <c r="F23" t="s">
        <v>49</v>
      </c>
    </row>
    <row r="24" spans="1:6" x14ac:dyDescent="0.3">
      <c r="A24">
        <v>23</v>
      </c>
      <c r="B24" t="s">
        <v>94</v>
      </c>
      <c r="C24" s="8" t="s">
        <v>95</v>
      </c>
      <c r="D24" t="s">
        <v>96</v>
      </c>
      <c r="E24" t="s">
        <v>48</v>
      </c>
      <c r="F24" t="s">
        <v>49</v>
      </c>
    </row>
    <row r="25" spans="1:6" x14ac:dyDescent="0.3">
      <c r="A25">
        <v>24</v>
      </c>
      <c r="B25" t="s">
        <v>97</v>
      </c>
      <c r="C25" s="8" t="s">
        <v>98</v>
      </c>
      <c r="D25" t="s">
        <v>96</v>
      </c>
      <c r="E25" t="s">
        <v>48</v>
      </c>
      <c r="F25" t="s">
        <v>49</v>
      </c>
    </row>
    <row r="26" spans="1:6" x14ac:dyDescent="0.3">
      <c r="A26">
        <v>25</v>
      </c>
      <c r="B26" t="s">
        <v>99</v>
      </c>
      <c r="C26" s="8" t="s">
        <v>100</v>
      </c>
      <c r="D26" t="s">
        <v>96</v>
      </c>
      <c r="E26" t="s">
        <v>48</v>
      </c>
      <c r="F26" t="s">
        <v>49</v>
      </c>
    </row>
    <row r="27" spans="1:6" x14ac:dyDescent="0.3">
      <c r="A27">
        <v>26</v>
      </c>
      <c r="B27" t="s">
        <v>101</v>
      </c>
      <c r="C27" s="8" t="s">
        <v>102</v>
      </c>
      <c r="D27" t="s">
        <v>103</v>
      </c>
      <c r="E27" t="s">
        <v>48</v>
      </c>
      <c r="F27" t="s">
        <v>49</v>
      </c>
    </row>
    <row r="28" spans="1:6" x14ac:dyDescent="0.3">
      <c r="A28">
        <v>27</v>
      </c>
      <c r="B28" t="s">
        <v>59</v>
      </c>
      <c r="C28" s="8" t="s">
        <v>104</v>
      </c>
      <c r="D28" t="s">
        <v>96</v>
      </c>
      <c r="E28" t="s">
        <v>105</v>
      </c>
      <c r="F28" t="s">
        <v>49</v>
      </c>
    </row>
    <row r="29" spans="1:6" x14ac:dyDescent="0.3">
      <c r="A29">
        <v>28</v>
      </c>
      <c r="B29" t="s">
        <v>106</v>
      </c>
      <c r="C29" s="8" t="s">
        <v>107</v>
      </c>
      <c r="D29" t="s">
        <v>96</v>
      </c>
      <c r="E29" t="s">
        <v>105</v>
      </c>
      <c r="F29" t="s">
        <v>49</v>
      </c>
    </row>
    <row r="30" spans="1:6" x14ac:dyDescent="0.3">
      <c r="A30">
        <v>29</v>
      </c>
      <c r="B30" t="s">
        <v>63</v>
      </c>
      <c r="C30" s="8" t="s">
        <v>108</v>
      </c>
      <c r="D30" t="s">
        <v>96</v>
      </c>
      <c r="E30" t="s">
        <v>105</v>
      </c>
      <c r="F30" t="s">
        <v>49</v>
      </c>
    </row>
    <row r="31" spans="1:6" x14ac:dyDescent="0.3">
      <c r="A31">
        <v>30</v>
      </c>
      <c r="B31" t="s">
        <v>65</v>
      </c>
      <c r="C31" s="8" t="s">
        <v>109</v>
      </c>
      <c r="D31" t="s">
        <v>96</v>
      </c>
      <c r="E31" t="s">
        <v>105</v>
      </c>
      <c r="F31" t="s">
        <v>49</v>
      </c>
    </row>
    <row r="32" spans="1:6" x14ac:dyDescent="0.3">
      <c r="A32">
        <v>31</v>
      </c>
      <c r="B32" t="s">
        <v>57</v>
      </c>
      <c r="C32" s="8" t="s">
        <v>110</v>
      </c>
      <c r="D32" t="s">
        <v>96</v>
      </c>
      <c r="E32" t="s">
        <v>105</v>
      </c>
      <c r="F32" t="s">
        <v>49</v>
      </c>
    </row>
    <row r="33" spans="1:6" x14ac:dyDescent="0.3">
      <c r="A33">
        <v>32</v>
      </c>
      <c r="B33" t="s">
        <v>73</v>
      </c>
      <c r="C33" s="8" t="s">
        <v>111</v>
      </c>
      <c r="D33" t="s">
        <v>96</v>
      </c>
      <c r="E33" t="s">
        <v>105</v>
      </c>
      <c r="F33" t="s">
        <v>49</v>
      </c>
    </row>
    <row r="34" spans="1:6" x14ac:dyDescent="0.3">
      <c r="A34">
        <v>33</v>
      </c>
      <c r="B34" t="s">
        <v>54</v>
      </c>
      <c r="C34" s="8" t="s">
        <v>112</v>
      </c>
      <c r="D34" t="s">
        <v>96</v>
      </c>
      <c r="E34" t="s">
        <v>105</v>
      </c>
      <c r="F34" t="s">
        <v>49</v>
      </c>
    </row>
    <row r="35" spans="1:6" x14ac:dyDescent="0.3">
      <c r="A35">
        <v>34</v>
      </c>
      <c r="B35" t="s">
        <v>67</v>
      </c>
      <c r="C35" s="8" t="s">
        <v>113</v>
      </c>
      <c r="D35" t="s">
        <v>103</v>
      </c>
      <c r="E35" t="s">
        <v>105</v>
      </c>
      <c r="F35" t="s">
        <v>49</v>
      </c>
    </row>
    <row r="36" spans="1:6" x14ac:dyDescent="0.3">
      <c r="A36">
        <v>35</v>
      </c>
      <c r="B36" t="s">
        <v>61</v>
      </c>
      <c r="C36" s="8" t="s">
        <v>114</v>
      </c>
      <c r="D36" t="s">
        <v>103</v>
      </c>
      <c r="E36" t="s">
        <v>105</v>
      </c>
      <c r="F36" t="s">
        <v>49</v>
      </c>
    </row>
    <row r="37" spans="1:6" x14ac:dyDescent="0.3">
      <c r="A37">
        <v>36</v>
      </c>
      <c r="B37" t="s">
        <v>115</v>
      </c>
      <c r="C37" s="8" t="s">
        <v>116</v>
      </c>
      <c r="D37" t="s">
        <v>103</v>
      </c>
      <c r="E37" t="s">
        <v>105</v>
      </c>
      <c r="F37" t="s">
        <v>49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361"/>
  <sheetViews>
    <sheetView tabSelected="1" zoomScaleNormal="100" workbookViewId="0">
      <pane ySplit="1" topLeftCell="A107" activePane="bottomLeft" state="frozen"/>
      <selection pane="bottomLeft" activeCell="F126" sqref="F126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6" width="9" customWidth="1"/>
    <col min="7" max="9" width="10" customWidth="1"/>
    <col min="10" max="12" width="8" customWidth="1"/>
    <col min="13" max="13" width="12" customWidth="1"/>
  </cols>
  <sheetData>
    <row r="1" spans="1:13" x14ac:dyDescent="0.3">
      <c r="A1" s="6" t="s">
        <v>39</v>
      </c>
      <c r="B1" s="6" t="s">
        <v>40</v>
      </c>
      <c r="C1" s="6" t="s">
        <v>117</v>
      </c>
      <c r="D1" s="6" t="s">
        <v>118</v>
      </c>
      <c r="E1" s="6" t="s">
        <v>119</v>
      </c>
      <c r="F1" s="6" t="s">
        <v>120</v>
      </c>
      <c r="G1" s="6" t="s">
        <v>121</v>
      </c>
      <c r="H1" s="6" t="s">
        <v>122</v>
      </c>
      <c r="I1" s="6" t="s">
        <v>123</v>
      </c>
      <c r="J1" s="6" t="s">
        <v>124</v>
      </c>
      <c r="K1" s="6" t="s">
        <v>125</v>
      </c>
      <c r="L1" s="6" t="s">
        <v>126</v>
      </c>
      <c r="M1" s="6" t="s">
        <v>127</v>
      </c>
    </row>
    <row r="2" spans="1:13" x14ac:dyDescent="0.3">
      <c r="A2" s="9">
        <v>1</v>
      </c>
      <c r="B2" s="9" t="s">
        <v>45</v>
      </c>
      <c r="C2" s="10" t="s">
        <v>21</v>
      </c>
      <c r="D2" s="3"/>
      <c r="E2" s="3"/>
      <c r="F2" s="3"/>
      <c r="G2" s="11" t="str">
        <f>IF(D2="","",SUMIFS(RaceResults!$C:$C,RaceResults!$A:$A,$A2,RaceResults!$D:$D,D2))</f>
        <v/>
      </c>
      <c r="H2" s="11" t="str">
        <f>IF(E2="","",SUMIFS(RaceResults!$C:$C,RaceResults!$A:$A,$A2,RaceResults!$D:$D,E2))</f>
        <v/>
      </c>
      <c r="I2" s="11" t="str">
        <f>IF(F2="","",SUMIFS(RaceResults!$C:$C,RaceResults!$A:$A,$A2,RaceResults!$D:$D,F2))</f>
        <v/>
      </c>
      <c r="J2" s="11" t="str">
        <f>IF(D2="","",SUMIFS(RaceResults!$E:$E,RaceResults!$A:$A,$A2,RaceResults!$D:$D,D2))</f>
        <v/>
      </c>
      <c r="K2" s="11" t="str">
        <f>IF(E2="","",SUMIFS(RaceResults!$E:$E,RaceResults!$A:$A,$A2,RaceResults!$D:$D,E2))</f>
        <v/>
      </c>
      <c r="L2" s="11" t="str">
        <f>IF(F2="","",SUMIFS(RaceResults!$E:$E,RaceResults!$A:$A,$A2,RaceResults!$D:$D,F2))</f>
        <v/>
      </c>
      <c r="M2" s="11">
        <f t="shared" ref="M2:M65" si="0">SUM(J2:L2)</f>
        <v>0</v>
      </c>
    </row>
    <row r="3" spans="1:13" x14ac:dyDescent="0.3">
      <c r="A3" s="9">
        <v>1</v>
      </c>
      <c r="B3" s="9" t="s">
        <v>45</v>
      </c>
      <c r="C3" s="10" t="s">
        <v>22</v>
      </c>
      <c r="D3" s="3"/>
      <c r="E3" s="3"/>
      <c r="F3" s="3"/>
      <c r="G3" s="11" t="str">
        <f>IF(D3="","",SUMIFS(RaceResults!$C:$C,RaceResults!$A:$A,$A3,RaceResults!$D:$D,D3))</f>
        <v/>
      </c>
      <c r="H3" s="11" t="str">
        <f>IF(E3="","",SUMIFS(RaceResults!$C:$C,RaceResults!$A:$A,$A3,RaceResults!$D:$D,E3))</f>
        <v/>
      </c>
      <c r="I3" s="11" t="str">
        <f>IF(F3="","",SUMIFS(RaceResults!$C:$C,RaceResults!$A:$A,$A3,RaceResults!$D:$D,F3))</f>
        <v/>
      </c>
      <c r="J3" s="11" t="str">
        <f>IF(D3="","",SUMIFS(RaceResults!$E:$E,RaceResults!$A:$A,$A3,RaceResults!$D:$D,D3))</f>
        <v/>
      </c>
      <c r="K3" s="11" t="str">
        <f>IF(E3="","",SUMIFS(RaceResults!$E:$E,RaceResults!$A:$A,$A3,RaceResults!$D:$D,E3))</f>
        <v/>
      </c>
      <c r="L3" s="11" t="str">
        <f>IF(F3="","",SUMIFS(RaceResults!$E:$E,RaceResults!$A:$A,$A3,RaceResults!$D:$D,F3))</f>
        <v/>
      </c>
      <c r="M3" s="11">
        <f t="shared" si="0"/>
        <v>0</v>
      </c>
    </row>
    <row r="4" spans="1:13" x14ac:dyDescent="0.3">
      <c r="A4" s="9">
        <v>1</v>
      </c>
      <c r="B4" s="9" t="s">
        <v>45</v>
      </c>
      <c r="C4" s="10" t="s">
        <v>25</v>
      </c>
      <c r="D4" s="3"/>
      <c r="E4" s="3"/>
      <c r="F4" s="3"/>
      <c r="G4" s="11" t="str">
        <f>IF(D4="","",SUMIFS(RaceResults!$C:$C,RaceResults!$A:$A,$A4,RaceResults!$D:$D,D4))</f>
        <v/>
      </c>
      <c r="H4" s="11" t="str">
        <f>IF(E4="","",SUMIFS(RaceResults!$C:$C,RaceResults!$A:$A,$A4,RaceResults!$D:$D,E4))</f>
        <v/>
      </c>
      <c r="I4" s="11" t="str">
        <f>IF(F4="","",SUMIFS(RaceResults!$C:$C,RaceResults!$A:$A,$A4,RaceResults!$D:$D,F4))</f>
        <v/>
      </c>
      <c r="J4" s="11" t="str">
        <f>IF(D4="","",SUMIFS(RaceResults!$E:$E,RaceResults!$A:$A,$A4,RaceResults!$D:$D,D4))</f>
        <v/>
      </c>
      <c r="K4" s="11" t="str">
        <f>IF(E4="","",SUMIFS(RaceResults!$E:$E,RaceResults!$A:$A,$A4,RaceResults!$D:$D,E4))</f>
        <v/>
      </c>
      <c r="L4" s="11" t="str">
        <f>IF(F4="","",SUMIFS(RaceResults!$E:$E,RaceResults!$A:$A,$A4,RaceResults!$D:$D,F4))</f>
        <v/>
      </c>
      <c r="M4" s="11">
        <f t="shared" si="0"/>
        <v>0</v>
      </c>
    </row>
    <row r="5" spans="1:13" x14ac:dyDescent="0.3">
      <c r="A5" s="9">
        <v>1</v>
      </c>
      <c r="B5" s="9" t="s">
        <v>45</v>
      </c>
      <c r="C5" s="10" t="s">
        <v>26</v>
      </c>
      <c r="D5" s="3"/>
      <c r="E5" s="3"/>
      <c r="F5" s="3"/>
      <c r="G5" s="11" t="str">
        <f>IF(D5="","",SUMIFS(RaceResults!$C:$C,RaceResults!$A:$A,$A5,RaceResults!$D:$D,D5))</f>
        <v/>
      </c>
      <c r="H5" s="11" t="str">
        <f>IF(E5="","",SUMIFS(RaceResults!$C:$C,RaceResults!$A:$A,$A5,RaceResults!$D:$D,E5))</f>
        <v/>
      </c>
      <c r="I5" s="11" t="str">
        <f>IF(F5="","",SUMIFS(RaceResults!$C:$C,RaceResults!$A:$A,$A5,RaceResults!$D:$D,F5))</f>
        <v/>
      </c>
      <c r="J5" s="11" t="str">
        <f>IF(D5="","",SUMIFS(RaceResults!$E:$E,RaceResults!$A:$A,$A5,RaceResults!$D:$D,D5))</f>
        <v/>
      </c>
      <c r="K5" s="11" t="str">
        <f>IF(E5="","",SUMIFS(RaceResults!$E:$E,RaceResults!$A:$A,$A5,RaceResults!$D:$D,E5))</f>
        <v/>
      </c>
      <c r="L5" s="11" t="str">
        <f>IF(F5="","",SUMIFS(RaceResults!$E:$E,RaceResults!$A:$A,$A5,RaceResults!$D:$D,F5))</f>
        <v/>
      </c>
      <c r="M5" s="11">
        <f t="shared" si="0"/>
        <v>0</v>
      </c>
    </row>
    <row r="6" spans="1:13" x14ac:dyDescent="0.3">
      <c r="A6" s="9">
        <v>1</v>
      </c>
      <c r="B6" s="9" t="s">
        <v>45</v>
      </c>
      <c r="C6" s="10" t="s">
        <v>27</v>
      </c>
      <c r="D6" s="3"/>
      <c r="E6" s="3"/>
      <c r="F6" s="3"/>
      <c r="G6" s="11" t="str">
        <f>IF(D6="","",SUMIFS(RaceResults!$C:$C,RaceResults!$A:$A,$A6,RaceResults!$D:$D,D6))</f>
        <v/>
      </c>
      <c r="H6" s="11" t="str">
        <f>IF(E6="","",SUMIFS(RaceResults!$C:$C,RaceResults!$A:$A,$A6,RaceResults!$D:$D,E6))</f>
        <v/>
      </c>
      <c r="I6" s="11" t="str">
        <f>IF(F6="","",SUMIFS(RaceResults!$C:$C,RaceResults!$A:$A,$A6,RaceResults!$D:$D,F6))</f>
        <v/>
      </c>
      <c r="J6" s="11" t="str">
        <f>IF(D6="","",SUMIFS(RaceResults!$E:$E,RaceResults!$A:$A,$A6,RaceResults!$D:$D,D6))</f>
        <v/>
      </c>
      <c r="K6" s="11" t="str">
        <f>IF(E6="","",SUMIFS(RaceResults!$E:$E,RaceResults!$A:$A,$A6,RaceResults!$D:$D,E6))</f>
        <v/>
      </c>
      <c r="L6" s="11" t="str">
        <f>IF(F6="","",SUMIFS(RaceResults!$E:$E,RaceResults!$A:$A,$A6,RaceResults!$D:$D,F6))</f>
        <v/>
      </c>
      <c r="M6" s="11">
        <f t="shared" si="0"/>
        <v>0</v>
      </c>
    </row>
    <row r="7" spans="1:13" x14ac:dyDescent="0.3">
      <c r="A7" s="9">
        <v>1</v>
      </c>
      <c r="B7" s="9" t="s">
        <v>45</v>
      </c>
      <c r="C7" s="10" t="s">
        <v>28</v>
      </c>
      <c r="D7" s="3"/>
      <c r="E7" s="3"/>
      <c r="F7" s="3"/>
      <c r="G7" s="11" t="str">
        <f>IF(D7="","",SUMIFS(RaceResults!$C:$C,RaceResults!$A:$A,$A7,RaceResults!$D:$D,D7))</f>
        <v/>
      </c>
      <c r="H7" s="11" t="str">
        <f>IF(E7="","",SUMIFS(RaceResults!$C:$C,RaceResults!$A:$A,$A7,RaceResults!$D:$D,E7))</f>
        <v/>
      </c>
      <c r="I7" s="11" t="str">
        <f>IF(F7="","",SUMIFS(RaceResults!$C:$C,RaceResults!$A:$A,$A7,RaceResults!$D:$D,F7))</f>
        <v/>
      </c>
      <c r="J7" s="11" t="str">
        <f>IF(D7="","",SUMIFS(RaceResults!$E:$E,RaceResults!$A:$A,$A7,RaceResults!$D:$D,D7))</f>
        <v/>
      </c>
      <c r="K7" s="11" t="str">
        <f>IF(E7="","",SUMIFS(RaceResults!$E:$E,RaceResults!$A:$A,$A7,RaceResults!$D:$D,E7))</f>
        <v/>
      </c>
      <c r="L7" s="11" t="str">
        <f>IF(F7="","",SUMIFS(RaceResults!$E:$E,RaceResults!$A:$A,$A7,RaceResults!$D:$D,F7))</f>
        <v/>
      </c>
      <c r="M7" s="11">
        <f t="shared" si="0"/>
        <v>0</v>
      </c>
    </row>
    <row r="8" spans="1:13" x14ac:dyDescent="0.3">
      <c r="A8" s="9">
        <v>1</v>
      </c>
      <c r="B8" s="9" t="s">
        <v>45</v>
      </c>
      <c r="C8" s="10" t="s">
        <v>29</v>
      </c>
      <c r="D8" s="3"/>
      <c r="E8" s="3"/>
      <c r="F8" s="3"/>
      <c r="G8" s="11" t="str">
        <f>IF(D8="","",SUMIFS(RaceResults!$C:$C,RaceResults!$A:$A,$A8,RaceResults!$D:$D,D8))</f>
        <v/>
      </c>
      <c r="H8" s="11" t="str">
        <f>IF(E8="","",SUMIFS(RaceResults!$C:$C,RaceResults!$A:$A,$A8,RaceResults!$D:$D,E8))</f>
        <v/>
      </c>
      <c r="I8" s="11" t="str">
        <f>IF(F8="","",SUMIFS(RaceResults!$C:$C,RaceResults!$A:$A,$A8,RaceResults!$D:$D,F8))</f>
        <v/>
      </c>
      <c r="J8" s="11" t="str">
        <f>IF(D8="","",SUMIFS(RaceResults!$E:$E,RaceResults!$A:$A,$A8,RaceResults!$D:$D,D8))</f>
        <v/>
      </c>
      <c r="K8" s="11" t="str">
        <f>IF(E8="","",SUMIFS(RaceResults!$E:$E,RaceResults!$A:$A,$A8,RaceResults!$D:$D,E8))</f>
        <v/>
      </c>
      <c r="L8" s="11" t="str">
        <f>IF(F8="","",SUMIFS(RaceResults!$E:$E,RaceResults!$A:$A,$A8,RaceResults!$D:$D,F8))</f>
        <v/>
      </c>
      <c r="M8" s="11">
        <f t="shared" si="0"/>
        <v>0</v>
      </c>
    </row>
    <row r="9" spans="1:13" x14ac:dyDescent="0.3">
      <c r="A9" s="9">
        <v>1</v>
      </c>
      <c r="B9" s="9" t="s">
        <v>45</v>
      </c>
      <c r="C9" s="10" t="s">
        <v>30</v>
      </c>
      <c r="D9" s="3"/>
      <c r="E9" s="3"/>
      <c r="F9" s="3"/>
      <c r="G9" s="11" t="str">
        <f>IF(D9="","",SUMIFS(RaceResults!$C:$C,RaceResults!$A:$A,$A9,RaceResults!$D:$D,D9))</f>
        <v/>
      </c>
      <c r="H9" s="11" t="str">
        <f>IF(E9="","",SUMIFS(RaceResults!$C:$C,RaceResults!$A:$A,$A9,RaceResults!$D:$D,E9))</f>
        <v/>
      </c>
      <c r="I9" s="11" t="str">
        <f>IF(F9="","",SUMIFS(RaceResults!$C:$C,RaceResults!$A:$A,$A9,RaceResults!$D:$D,F9))</f>
        <v/>
      </c>
      <c r="J9" s="11" t="str">
        <f>IF(D9="","",SUMIFS(RaceResults!$E:$E,RaceResults!$A:$A,$A9,RaceResults!$D:$D,D9))</f>
        <v/>
      </c>
      <c r="K9" s="11" t="str">
        <f>IF(E9="","",SUMIFS(RaceResults!$E:$E,RaceResults!$A:$A,$A9,RaceResults!$D:$D,E9))</f>
        <v/>
      </c>
      <c r="L9" s="11" t="str">
        <f>IF(F9="","",SUMIFS(RaceResults!$E:$E,RaceResults!$A:$A,$A9,RaceResults!$D:$D,F9))</f>
        <v/>
      </c>
      <c r="M9" s="11">
        <f t="shared" si="0"/>
        <v>0</v>
      </c>
    </row>
    <row r="10" spans="1:13" x14ac:dyDescent="0.3">
      <c r="A10" s="9">
        <v>1</v>
      </c>
      <c r="B10" s="9" t="s">
        <v>45</v>
      </c>
      <c r="C10" s="10" t="s">
        <v>31</v>
      </c>
      <c r="D10" s="3"/>
      <c r="E10" s="3"/>
      <c r="F10" s="3"/>
      <c r="G10" s="11" t="str">
        <f>IF(D10="","",SUMIFS(RaceResults!$C:$C,RaceResults!$A:$A,$A10,RaceResults!$D:$D,D10))</f>
        <v/>
      </c>
      <c r="H10" s="11" t="str">
        <f>IF(E10="","",SUMIFS(RaceResults!$C:$C,RaceResults!$A:$A,$A10,RaceResults!$D:$D,E10))</f>
        <v/>
      </c>
      <c r="I10" s="11" t="str">
        <f>IF(F10="","",SUMIFS(RaceResults!$C:$C,RaceResults!$A:$A,$A10,RaceResults!$D:$D,F10))</f>
        <v/>
      </c>
      <c r="J10" s="11" t="str">
        <f>IF(D10="","",SUMIFS(RaceResults!$E:$E,RaceResults!$A:$A,$A10,RaceResults!$D:$D,D10))</f>
        <v/>
      </c>
      <c r="K10" s="11" t="str">
        <f>IF(E10="","",SUMIFS(RaceResults!$E:$E,RaceResults!$A:$A,$A10,RaceResults!$D:$D,E10))</f>
        <v/>
      </c>
      <c r="L10" s="11" t="str">
        <f>IF(F10="","",SUMIFS(RaceResults!$E:$E,RaceResults!$A:$A,$A10,RaceResults!$D:$D,F10))</f>
        <v/>
      </c>
      <c r="M10" s="11">
        <f t="shared" si="0"/>
        <v>0</v>
      </c>
    </row>
    <row r="11" spans="1:13" x14ac:dyDescent="0.3">
      <c r="A11" s="9">
        <v>1</v>
      </c>
      <c r="B11" s="9" t="s">
        <v>45</v>
      </c>
      <c r="C11" s="10" t="s">
        <v>32</v>
      </c>
      <c r="D11" s="3"/>
      <c r="E11" s="3"/>
      <c r="F11" s="3"/>
      <c r="G11" s="11" t="str">
        <f>IF(D11="","",SUMIFS(RaceResults!$C:$C,RaceResults!$A:$A,$A11,RaceResults!$D:$D,D11))</f>
        <v/>
      </c>
      <c r="H11" s="11" t="str">
        <f>IF(E11="","",SUMIFS(RaceResults!$C:$C,RaceResults!$A:$A,$A11,RaceResults!$D:$D,E11))</f>
        <v/>
      </c>
      <c r="I11" s="11" t="str">
        <f>IF(F11="","",SUMIFS(RaceResults!$C:$C,RaceResults!$A:$A,$A11,RaceResults!$D:$D,F11))</f>
        <v/>
      </c>
      <c r="J11" s="11" t="str">
        <f>IF(D11="","",SUMIFS(RaceResults!$E:$E,RaceResults!$A:$A,$A11,RaceResults!$D:$D,D11))</f>
        <v/>
      </c>
      <c r="K11" s="11" t="str">
        <f>IF(E11="","",SUMIFS(RaceResults!$E:$E,RaceResults!$A:$A,$A11,RaceResults!$D:$D,E11))</f>
        <v/>
      </c>
      <c r="L11" s="11" t="str">
        <f>IF(F11="","",SUMIFS(RaceResults!$E:$E,RaceResults!$A:$A,$A11,RaceResults!$D:$D,F11))</f>
        <v/>
      </c>
      <c r="M11" s="11">
        <f t="shared" si="0"/>
        <v>0</v>
      </c>
    </row>
    <row r="12" spans="1:13" x14ac:dyDescent="0.3">
      <c r="A12" s="9">
        <v>2</v>
      </c>
      <c r="B12" s="9" t="s">
        <v>50</v>
      </c>
      <c r="C12" s="10" t="s">
        <v>21</v>
      </c>
      <c r="D12" s="3"/>
      <c r="E12" s="3"/>
      <c r="F12" s="3"/>
      <c r="G12" s="11" t="str">
        <f>IF(D12="","",SUMIFS(RaceResults!$C:$C,RaceResults!$A:$A,$A12,RaceResults!$D:$D,D12))</f>
        <v/>
      </c>
      <c r="H12" s="11" t="str">
        <f>IF(E12="","",SUMIFS(RaceResults!$C:$C,RaceResults!$A:$A,$A12,RaceResults!$D:$D,E12))</f>
        <v/>
      </c>
      <c r="I12" s="11" t="str">
        <f>IF(F12="","",SUMIFS(RaceResults!$C:$C,RaceResults!$A:$A,$A12,RaceResults!$D:$D,F12))</f>
        <v/>
      </c>
      <c r="J12" s="11" t="str">
        <f>IF(D12="","",SUMIFS(RaceResults!$E:$E,RaceResults!$A:$A,$A12,RaceResults!$D:$D,D12))</f>
        <v/>
      </c>
      <c r="K12" s="11" t="str">
        <f>IF(E12="","",SUMIFS(RaceResults!$E:$E,RaceResults!$A:$A,$A12,RaceResults!$D:$D,E12))</f>
        <v/>
      </c>
      <c r="L12" s="11" t="str">
        <f>IF(F12="","",SUMIFS(RaceResults!$E:$E,RaceResults!$A:$A,$A12,RaceResults!$D:$D,F12))</f>
        <v/>
      </c>
      <c r="M12" s="11">
        <f t="shared" si="0"/>
        <v>0</v>
      </c>
    </row>
    <row r="13" spans="1:13" x14ac:dyDescent="0.3">
      <c r="A13" s="9">
        <v>2</v>
      </c>
      <c r="B13" s="9" t="s">
        <v>50</v>
      </c>
      <c r="C13" s="10" t="s">
        <v>22</v>
      </c>
      <c r="D13" s="3"/>
      <c r="E13" s="3"/>
      <c r="F13" s="3"/>
      <c r="G13" s="11" t="str">
        <f>IF(D13="","",SUMIFS(RaceResults!$C:$C,RaceResults!$A:$A,$A13,RaceResults!$D:$D,D13))</f>
        <v/>
      </c>
      <c r="H13" s="11" t="str">
        <f>IF(E13="","",SUMIFS(RaceResults!$C:$C,RaceResults!$A:$A,$A13,RaceResults!$D:$D,E13))</f>
        <v/>
      </c>
      <c r="I13" s="11" t="str">
        <f>IF(F13="","",SUMIFS(RaceResults!$C:$C,RaceResults!$A:$A,$A13,RaceResults!$D:$D,F13))</f>
        <v/>
      </c>
      <c r="J13" s="11" t="str">
        <f>IF(D13="","",SUMIFS(RaceResults!$E:$E,RaceResults!$A:$A,$A13,RaceResults!$D:$D,D13))</f>
        <v/>
      </c>
      <c r="K13" s="11" t="str">
        <f>IF(E13="","",SUMIFS(RaceResults!$E:$E,RaceResults!$A:$A,$A13,RaceResults!$D:$D,E13))</f>
        <v/>
      </c>
      <c r="L13" s="11" t="str">
        <f>IF(F13="","",SUMIFS(RaceResults!$E:$E,RaceResults!$A:$A,$A13,RaceResults!$D:$D,F13))</f>
        <v/>
      </c>
      <c r="M13" s="11">
        <f t="shared" si="0"/>
        <v>0</v>
      </c>
    </row>
    <row r="14" spans="1:13" x14ac:dyDescent="0.3">
      <c r="A14" s="9">
        <v>2</v>
      </c>
      <c r="B14" s="9" t="s">
        <v>50</v>
      </c>
      <c r="C14" s="10" t="s">
        <v>25</v>
      </c>
      <c r="D14" s="3"/>
      <c r="E14" s="3"/>
      <c r="F14" s="3"/>
      <c r="G14" s="11" t="str">
        <f>IF(D14="","",SUMIFS(RaceResults!$C:$C,RaceResults!$A:$A,$A14,RaceResults!$D:$D,D14))</f>
        <v/>
      </c>
      <c r="H14" s="11" t="str">
        <f>IF(E14="","",SUMIFS(RaceResults!$C:$C,RaceResults!$A:$A,$A14,RaceResults!$D:$D,E14))</f>
        <v/>
      </c>
      <c r="I14" s="11" t="str">
        <f>IF(F14="","",SUMIFS(RaceResults!$C:$C,RaceResults!$A:$A,$A14,RaceResults!$D:$D,F14))</f>
        <v/>
      </c>
      <c r="J14" s="11" t="str">
        <f>IF(D14="","",SUMIFS(RaceResults!$E:$E,RaceResults!$A:$A,$A14,RaceResults!$D:$D,D14))</f>
        <v/>
      </c>
      <c r="K14" s="11" t="str">
        <f>IF(E14="","",SUMIFS(RaceResults!$E:$E,RaceResults!$A:$A,$A14,RaceResults!$D:$D,E14))</f>
        <v/>
      </c>
      <c r="L14" s="11" t="str">
        <f>IF(F14="","",SUMIFS(RaceResults!$E:$E,RaceResults!$A:$A,$A14,RaceResults!$D:$D,F14))</f>
        <v/>
      </c>
      <c r="M14" s="11">
        <f t="shared" si="0"/>
        <v>0</v>
      </c>
    </row>
    <row r="15" spans="1:13" x14ac:dyDescent="0.3">
      <c r="A15" s="9">
        <v>2</v>
      </c>
      <c r="B15" s="9" t="s">
        <v>50</v>
      </c>
      <c r="C15" s="10" t="s">
        <v>26</v>
      </c>
      <c r="D15" s="3"/>
      <c r="E15" s="3"/>
      <c r="F15" s="3"/>
      <c r="G15" s="11" t="str">
        <f>IF(D15="","",SUMIFS(RaceResults!$C:$C,RaceResults!$A:$A,$A15,RaceResults!$D:$D,D15))</f>
        <v/>
      </c>
      <c r="H15" s="11" t="str">
        <f>IF(E15="","",SUMIFS(RaceResults!$C:$C,RaceResults!$A:$A,$A15,RaceResults!$D:$D,E15))</f>
        <v/>
      </c>
      <c r="I15" s="11" t="str">
        <f>IF(F15="","",SUMIFS(RaceResults!$C:$C,RaceResults!$A:$A,$A15,RaceResults!$D:$D,F15))</f>
        <v/>
      </c>
      <c r="J15" s="11" t="str">
        <f>IF(D15="","",SUMIFS(RaceResults!$E:$E,RaceResults!$A:$A,$A15,RaceResults!$D:$D,D15))</f>
        <v/>
      </c>
      <c r="K15" s="11" t="str">
        <f>IF(E15="","",SUMIFS(RaceResults!$E:$E,RaceResults!$A:$A,$A15,RaceResults!$D:$D,E15))</f>
        <v/>
      </c>
      <c r="L15" s="11" t="str">
        <f>IF(F15="","",SUMIFS(RaceResults!$E:$E,RaceResults!$A:$A,$A15,RaceResults!$D:$D,F15))</f>
        <v/>
      </c>
      <c r="M15" s="11">
        <f t="shared" si="0"/>
        <v>0</v>
      </c>
    </row>
    <row r="16" spans="1:13" x14ac:dyDescent="0.3">
      <c r="A16" s="9">
        <v>2</v>
      </c>
      <c r="B16" s="9" t="s">
        <v>50</v>
      </c>
      <c r="C16" s="10" t="s">
        <v>27</v>
      </c>
      <c r="D16" s="3"/>
      <c r="E16" s="3"/>
      <c r="F16" s="3"/>
      <c r="G16" s="11" t="str">
        <f>IF(D16="","",SUMIFS(RaceResults!$C:$C,RaceResults!$A:$A,$A16,RaceResults!$D:$D,D16))</f>
        <v/>
      </c>
      <c r="H16" s="11" t="str">
        <f>IF(E16="","",SUMIFS(RaceResults!$C:$C,RaceResults!$A:$A,$A16,RaceResults!$D:$D,E16))</f>
        <v/>
      </c>
      <c r="I16" s="11" t="str">
        <f>IF(F16="","",SUMIFS(RaceResults!$C:$C,RaceResults!$A:$A,$A16,RaceResults!$D:$D,F16))</f>
        <v/>
      </c>
      <c r="J16" s="11" t="str">
        <f>IF(D16="","",SUMIFS(RaceResults!$E:$E,RaceResults!$A:$A,$A16,RaceResults!$D:$D,D16))</f>
        <v/>
      </c>
      <c r="K16" s="11" t="str">
        <f>IF(E16="","",SUMIFS(RaceResults!$E:$E,RaceResults!$A:$A,$A16,RaceResults!$D:$D,E16))</f>
        <v/>
      </c>
      <c r="L16" s="11" t="str">
        <f>IF(F16="","",SUMIFS(RaceResults!$E:$E,RaceResults!$A:$A,$A16,RaceResults!$D:$D,F16))</f>
        <v/>
      </c>
      <c r="M16" s="11">
        <f t="shared" si="0"/>
        <v>0</v>
      </c>
    </row>
    <row r="17" spans="1:13" x14ac:dyDescent="0.3">
      <c r="A17" s="9">
        <v>2</v>
      </c>
      <c r="B17" s="9" t="s">
        <v>50</v>
      </c>
      <c r="C17" s="10" t="s">
        <v>28</v>
      </c>
      <c r="D17" s="3"/>
      <c r="E17" s="3"/>
      <c r="F17" s="3"/>
      <c r="G17" s="11" t="str">
        <f>IF(D17="","",SUMIFS(RaceResults!$C:$C,RaceResults!$A:$A,$A17,RaceResults!$D:$D,D17))</f>
        <v/>
      </c>
      <c r="H17" s="11" t="str">
        <f>IF(E17="","",SUMIFS(RaceResults!$C:$C,RaceResults!$A:$A,$A17,RaceResults!$D:$D,E17))</f>
        <v/>
      </c>
      <c r="I17" s="11" t="str">
        <f>IF(F17="","",SUMIFS(RaceResults!$C:$C,RaceResults!$A:$A,$A17,RaceResults!$D:$D,F17))</f>
        <v/>
      </c>
      <c r="J17" s="11" t="str">
        <f>IF(D17="","",SUMIFS(RaceResults!$E:$E,RaceResults!$A:$A,$A17,RaceResults!$D:$D,D17))</f>
        <v/>
      </c>
      <c r="K17" s="11" t="str">
        <f>IF(E17="","",SUMIFS(RaceResults!$E:$E,RaceResults!$A:$A,$A17,RaceResults!$D:$D,E17))</f>
        <v/>
      </c>
      <c r="L17" s="11" t="str">
        <f>IF(F17="","",SUMIFS(RaceResults!$E:$E,RaceResults!$A:$A,$A17,RaceResults!$D:$D,F17))</f>
        <v/>
      </c>
      <c r="M17" s="11">
        <f t="shared" si="0"/>
        <v>0</v>
      </c>
    </row>
    <row r="18" spans="1:13" x14ac:dyDescent="0.3">
      <c r="A18" s="9">
        <v>2</v>
      </c>
      <c r="B18" s="9" t="s">
        <v>50</v>
      </c>
      <c r="C18" s="10" t="s">
        <v>29</v>
      </c>
      <c r="D18" s="3"/>
      <c r="E18" s="3"/>
      <c r="F18" s="3"/>
      <c r="G18" s="11" t="str">
        <f>IF(D18="","",SUMIFS(RaceResults!$C:$C,RaceResults!$A:$A,$A18,RaceResults!$D:$D,D18))</f>
        <v/>
      </c>
      <c r="H18" s="11" t="str">
        <f>IF(E18="","",SUMIFS(RaceResults!$C:$C,RaceResults!$A:$A,$A18,RaceResults!$D:$D,E18))</f>
        <v/>
      </c>
      <c r="I18" s="11" t="str">
        <f>IF(F18="","",SUMIFS(RaceResults!$C:$C,RaceResults!$A:$A,$A18,RaceResults!$D:$D,F18))</f>
        <v/>
      </c>
      <c r="J18" s="11" t="str">
        <f>IF(D18="","",SUMIFS(RaceResults!$E:$E,RaceResults!$A:$A,$A18,RaceResults!$D:$D,D18))</f>
        <v/>
      </c>
      <c r="K18" s="11" t="str">
        <f>IF(E18="","",SUMIFS(RaceResults!$E:$E,RaceResults!$A:$A,$A18,RaceResults!$D:$D,E18))</f>
        <v/>
      </c>
      <c r="L18" s="11" t="str">
        <f>IF(F18="","",SUMIFS(RaceResults!$E:$E,RaceResults!$A:$A,$A18,RaceResults!$D:$D,F18))</f>
        <v/>
      </c>
      <c r="M18" s="11">
        <f t="shared" si="0"/>
        <v>0</v>
      </c>
    </row>
    <row r="19" spans="1:13" x14ac:dyDescent="0.3">
      <c r="A19" s="9">
        <v>2</v>
      </c>
      <c r="B19" s="9" t="s">
        <v>50</v>
      </c>
      <c r="C19" s="10" t="s">
        <v>30</v>
      </c>
      <c r="D19" s="3"/>
      <c r="E19" s="3"/>
      <c r="F19" s="3"/>
      <c r="G19" s="11" t="str">
        <f>IF(D19="","",SUMIFS(RaceResults!$C:$C,RaceResults!$A:$A,$A19,RaceResults!$D:$D,D19))</f>
        <v/>
      </c>
      <c r="H19" s="11" t="str">
        <f>IF(E19="","",SUMIFS(RaceResults!$C:$C,RaceResults!$A:$A,$A19,RaceResults!$D:$D,E19))</f>
        <v/>
      </c>
      <c r="I19" s="11" t="str">
        <f>IF(F19="","",SUMIFS(RaceResults!$C:$C,RaceResults!$A:$A,$A19,RaceResults!$D:$D,F19))</f>
        <v/>
      </c>
      <c r="J19" s="11" t="str">
        <f>IF(D19="","",SUMIFS(RaceResults!$E:$E,RaceResults!$A:$A,$A19,RaceResults!$D:$D,D19))</f>
        <v/>
      </c>
      <c r="K19" s="11" t="str">
        <f>IF(E19="","",SUMIFS(RaceResults!$E:$E,RaceResults!$A:$A,$A19,RaceResults!$D:$D,E19))</f>
        <v/>
      </c>
      <c r="L19" s="11" t="str">
        <f>IF(F19="","",SUMIFS(RaceResults!$E:$E,RaceResults!$A:$A,$A19,RaceResults!$D:$D,F19))</f>
        <v/>
      </c>
      <c r="M19" s="11">
        <f t="shared" si="0"/>
        <v>0</v>
      </c>
    </row>
    <row r="20" spans="1:13" x14ac:dyDescent="0.3">
      <c r="A20" s="9">
        <v>2</v>
      </c>
      <c r="B20" s="9" t="s">
        <v>50</v>
      </c>
      <c r="C20" s="10" t="s">
        <v>31</v>
      </c>
      <c r="D20" s="3"/>
      <c r="E20" s="3"/>
      <c r="F20" s="3"/>
      <c r="G20" s="11" t="str">
        <f>IF(D20="","",SUMIFS(RaceResults!$C:$C,RaceResults!$A:$A,$A20,RaceResults!$D:$D,D20))</f>
        <v/>
      </c>
      <c r="H20" s="11" t="str">
        <f>IF(E20="","",SUMIFS(RaceResults!$C:$C,RaceResults!$A:$A,$A20,RaceResults!$D:$D,E20))</f>
        <v/>
      </c>
      <c r="I20" s="11" t="str">
        <f>IF(F20="","",SUMIFS(RaceResults!$C:$C,RaceResults!$A:$A,$A20,RaceResults!$D:$D,F20))</f>
        <v/>
      </c>
      <c r="J20" s="11" t="str">
        <f>IF(D20="","",SUMIFS(RaceResults!$E:$E,RaceResults!$A:$A,$A20,RaceResults!$D:$D,D20))</f>
        <v/>
      </c>
      <c r="K20" s="11" t="str">
        <f>IF(E20="","",SUMIFS(RaceResults!$E:$E,RaceResults!$A:$A,$A20,RaceResults!$D:$D,E20))</f>
        <v/>
      </c>
      <c r="L20" s="11" t="str">
        <f>IF(F20="","",SUMIFS(RaceResults!$E:$E,RaceResults!$A:$A,$A20,RaceResults!$D:$D,F20))</f>
        <v/>
      </c>
      <c r="M20" s="11">
        <f t="shared" si="0"/>
        <v>0</v>
      </c>
    </row>
    <row r="21" spans="1:13" x14ac:dyDescent="0.3">
      <c r="A21" s="9">
        <v>2</v>
      </c>
      <c r="B21" s="9" t="s">
        <v>50</v>
      </c>
      <c r="C21" s="10" t="s">
        <v>32</v>
      </c>
      <c r="D21" s="3"/>
      <c r="E21" s="3"/>
      <c r="F21" s="3"/>
      <c r="G21" s="11" t="str">
        <f>IF(D21="","",SUMIFS(RaceResults!$C:$C,RaceResults!$A:$A,$A21,RaceResults!$D:$D,D21))</f>
        <v/>
      </c>
      <c r="H21" s="11" t="str">
        <f>IF(E21="","",SUMIFS(RaceResults!$C:$C,RaceResults!$A:$A,$A21,RaceResults!$D:$D,E21))</f>
        <v/>
      </c>
      <c r="I21" s="11" t="str">
        <f>IF(F21="","",SUMIFS(RaceResults!$C:$C,RaceResults!$A:$A,$A21,RaceResults!$D:$D,F21))</f>
        <v/>
      </c>
      <c r="J21" s="11" t="str">
        <f>IF(D21="","",SUMIFS(RaceResults!$E:$E,RaceResults!$A:$A,$A21,RaceResults!$D:$D,D21))</f>
        <v/>
      </c>
      <c r="K21" s="11" t="str">
        <f>IF(E21="","",SUMIFS(RaceResults!$E:$E,RaceResults!$A:$A,$A21,RaceResults!$D:$D,E21))</f>
        <v/>
      </c>
      <c r="L21" s="11" t="str">
        <f>IF(F21="","",SUMIFS(RaceResults!$E:$E,RaceResults!$A:$A,$A21,RaceResults!$D:$D,F21))</f>
        <v/>
      </c>
      <c r="M21" s="11">
        <f t="shared" si="0"/>
        <v>0</v>
      </c>
    </row>
    <row r="22" spans="1:13" x14ac:dyDescent="0.3">
      <c r="A22" s="9">
        <v>3</v>
      </c>
      <c r="B22" s="9" t="s">
        <v>52</v>
      </c>
      <c r="C22" s="10" t="s">
        <v>21</v>
      </c>
      <c r="D22" s="3">
        <v>97</v>
      </c>
      <c r="E22" s="3">
        <v>20</v>
      </c>
      <c r="F22" s="3">
        <v>9</v>
      </c>
      <c r="G22" s="11">
        <f>IF(D22="","",SUMIFS(RaceResults!$C:$C,RaceResults!$A:$A,$A22,RaceResults!$D:$D,D22))</f>
        <v>2</v>
      </c>
      <c r="H22" s="11">
        <f>IF(E22="","",SUMIFS(RaceResults!$C:$C,RaceResults!$A:$A,$A22,RaceResults!$D:$D,E22))</f>
        <v>3</v>
      </c>
      <c r="I22" s="11">
        <f>IF(F22="","",SUMIFS(RaceResults!$C:$C,RaceResults!$A:$A,$A22,RaceResults!$D:$D,F22))</f>
        <v>7</v>
      </c>
      <c r="J22" s="11">
        <f>IF(D22="","",SUMIFS(RaceResults!$E:$E,RaceResults!$A:$A,$A22,RaceResults!$D:$D,D22))</f>
        <v>35</v>
      </c>
      <c r="K22" s="11">
        <f>IF(E22="","",SUMIFS(RaceResults!$E:$E,RaceResults!$A:$A,$A22,RaceResults!$D:$D,E22))</f>
        <v>34</v>
      </c>
      <c r="L22" s="11">
        <f>IF(F22="","",SUMIFS(RaceResults!$E:$E,RaceResults!$A:$A,$A22,RaceResults!$D:$D,F22))</f>
        <v>30</v>
      </c>
      <c r="M22" s="11">
        <f t="shared" si="0"/>
        <v>99</v>
      </c>
    </row>
    <row r="23" spans="1:13" x14ac:dyDescent="0.3">
      <c r="A23" s="9">
        <v>3</v>
      </c>
      <c r="B23" s="9" t="s">
        <v>52</v>
      </c>
      <c r="C23" s="10" t="s">
        <v>22</v>
      </c>
      <c r="D23" s="3">
        <v>45</v>
      </c>
      <c r="E23" s="3">
        <v>12</v>
      </c>
      <c r="F23" s="3">
        <v>11</v>
      </c>
      <c r="G23" s="11">
        <f>IF(D23="","",SUMIFS(RaceResults!$C:$C,RaceResults!$A:$A,$A23,RaceResults!$D:$D,D23))</f>
        <v>1</v>
      </c>
      <c r="H23" s="11">
        <f>IF(E23="","",SUMIFS(RaceResults!$C:$C,RaceResults!$A:$A,$A23,RaceResults!$D:$D,E23))</f>
        <v>8</v>
      </c>
      <c r="I23" s="11">
        <f>IF(F23="","",SUMIFS(RaceResults!$C:$C,RaceResults!$A:$A,$A23,RaceResults!$D:$D,F23))</f>
        <v>10</v>
      </c>
      <c r="J23" s="11">
        <f>IF(D23="","",SUMIFS(RaceResults!$E:$E,RaceResults!$A:$A,$A23,RaceResults!$D:$D,D23))</f>
        <v>55</v>
      </c>
      <c r="K23" s="11">
        <f>IF(E23="","",SUMIFS(RaceResults!$E:$E,RaceResults!$A:$A,$A23,RaceResults!$D:$D,E23))</f>
        <v>29</v>
      </c>
      <c r="L23" s="11">
        <f>IF(F23="","",SUMIFS(RaceResults!$E:$E,RaceResults!$A:$A,$A23,RaceResults!$D:$D,F23))</f>
        <v>27</v>
      </c>
      <c r="M23" s="11">
        <f t="shared" si="0"/>
        <v>111</v>
      </c>
    </row>
    <row r="24" spans="1:13" x14ac:dyDescent="0.3">
      <c r="A24" s="9">
        <v>3</v>
      </c>
      <c r="B24" s="9" t="s">
        <v>52</v>
      </c>
      <c r="C24" s="10" t="s">
        <v>25</v>
      </c>
      <c r="D24" s="3">
        <v>19</v>
      </c>
      <c r="E24" s="3">
        <v>20</v>
      </c>
      <c r="F24" s="3">
        <v>24</v>
      </c>
      <c r="G24" s="11">
        <f>IF(D24="","",SUMIFS(RaceResults!$C:$C,RaceResults!$A:$A,$A24,RaceResults!$D:$D,D24))</f>
        <v>37</v>
      </c>
      <c r="H24" s="11">
        <f>IF(E24="","",SUMIFS(RaceResults!$C:$C,RaceResults!$A:$A,$A24,RaceResults!$D:$D,E24))</f>
        <v>3</v>
      </c>
      <c r="I24" s="11">
        <f>IF(F24="","",SUMIFS(RaceResults!$C:$C,RaceResults!$A:$A,$A24,RaceResults!$D:$D,F24))</f>
        <v>13</v>
      </c>
      <c r="J24" s="11">
        <f>IF(D24="","",SUMIFS(RaceResults!$E:$E,RaceResults!$A:$A,$A24,RaceResults!$D:$D,D24))</f>
        <v>1</v>
      </c>
      <c r="K24" s="11">
        <f>IF(E24="","",SUMIFS(RaceResults!$E:$E,RaceResults!$A:$A,$A24,RaceResults!$D:$D,E24))</f>
        <v>34</v>
      </c>
      <c r="L24" s="11">
        <f>IF(F24="","",SUMIFS(RaceResults!$E:$E,RaceResults!$A:$A,$A24,RaceResults!$D:$D,F24))</f>
        <v>24</v>
      </c>
      <c r="M24" s="11">
        <f t="shared" si="0"/>
        <v>59</v>
      </c>
    </row>
    <row r="25" spans="1:13" x14ac:dyDescent="0.3">
      <c r="A25" s="9">
        <v>3</v>
      </c>
      <c r="B25" s="9" t="s">
        <v>52</v>
      </c>
      <c r="C25" s="10" t="s">
        <v>26</v>
      </c>
      <c r="D25" s="3">
        <v>97</v>
      </c>
      <c r="E25" s="3">
        <v>19</v>
      </c>
      <c r="F25" s="3">
        <v>11</v>
      </c>
      <c r="G25" s="11">
        <f>IF(D25="","",SUMIFS(RaceResults!$C:$C,RaceResults!$A:$A,$A25,RaceResults!$D:$D,D25))</f>
        <v>2</v>
      </c>
      <c r="H25" s="11">
        <f>IF(E25="","",SUMIFS(RaceResults!$C:$C,RaceResults!$A:$A,$A25,RaceResults!$D:$D,E25))</f>
        <v>37</v>
      </c>
      <c r="I25" s="11">
        <f>IF(F25="","",SUMIFS(RaceResults!$C:$C,RaceResults!$A:$A,$A25,RaceResults!$D:$D,F25))</f>
        <v>10</v>
      </c>
      <c r="J25" s="11">
        <f>IF(D25="","",SUMIFS(RaceResults!$E:$E,RaceResults!$A:$A,$A25,RaceResults!$D:$D,D25))</f>
        <v>35</v>
      </c>
      <c r="K25" s="11">
        <f>IF(E25="","",SUMIFS(RaceResults!$E:$E,RaceResults!$A:$A,$A25,RaceResults!$D:$D,E25))</f>
        <v>1</v>
      </c>
      <c r="L25" s="11">
        <f>IF(F25="","",SUMIFS(RaceResults!$E:$E,RaceResults!$A:$A,$A25,RaceResults!$D:$D,F25))</f>
        <v>27</v>
      </c>
      <c r="M25" s="11">
        <f t="shared" si="0"/>
        <v>63</v>
      </c>
    </row>
    <row r="26" spans="1:13" x14ac:dyDescent="0.3">
      <c r="A26" s="9">
        <v>3</v>
      </c>
      <c r="B26" s="9" t="s">
        <v>52</v>
      </c>
      <c r="C26" s="10" t="s">
        <v>27</v>
      </c>
      <c r="D26" s="3"/>
      <c r="E26" s="3"/>
      <c r="F26" s="3"/>
      <c r="G26" s="11" t="str">
        <f>IF(D26="","",SUMIFS(RaceResults!$C:$C,RaceResults!$A:$A,$A26,RaceResults!$D:$D,D26))</f>
        <v/>
      </c>
      <c r="H26" s="11" t="str">
        <f>IF(E26="","",SUMIFS(RaceResults!$C:$C,RaceResults!$A:$A,$A26,RaceResults!$D:$D,E26))</f>
        <v/>
      </c>
      <c r="I26" s="11" t="str">
        <f>IF(F26="","",SUMIFS(RaceResults!$C:$C,RaceResults!$A:$A,$A26,RaceResults!$D:$D,F26))</f>
        <v/>
      </c>
      <c r="J26" s="11" t="str">
        <f>IF(D26="","",SUMIFS(RaceResults!$E:$E,RaceResults!$A:$A,$A26,RaceResults!$D:$D,D26))</f>
        <v/>
      </c>
      <c r="K26" s="11" t="str">
        <f>IF(E26="","",SUMIFS(RaceResults!$E:$E,RaceResults!$A:$A,$A26,RaceResults!$D:$D,E26))</f>
        <v/>
      </c>
      <c r="L26" s="11" t="str">
        <f>IF(F26="","",SUMIFS(RaceResults!$E:$E,RaceResults!$A:$A,$A26,RaceResults!$D:$D,F26))</f>
        <v/>
      </c>
      <c r="M26" s="11">
        <f t="shared" si="0"/>
        <v>0</v>
      </c>
    </row>
    <row r="27" spans="1:13" x14ac:dyDescent="0.3">
      <c r="A27" s="9">
        <v>3</v>
      </c>
      <c r="B27" s="9" t="s">
        <v>52</v>
      </c>
      <c r="C27" s="10" t="s">
        <v>28</v>
      </c>
      <c r="D27" s="3"/>
      <c r="E27" s="3"/>
      <c r="F27" s="3"/>
      <c r="G27" s="11" t="str">
        <f>IF(D27="","",SUMIFS(RaceResults!$C:$C,RaceResults!$A:$A,$A27,RaceResults!$D:$D,D27))</f>
        <v/>
      </c>
      <c r="H27" s="11" t="str">
        <f>IF(E27="","",SUMIFS(RaceResults!$C:$C,RaceResults!$A:$A,$A27,RaceResults!$D:$D,E27))</f>
        <v/>
      </c>
      <c r="I27" s="11" t="str">
        <f>IF(F27="","",SUMIFS(RaceResults!$C:$C,RaceResults!$A:$A,$A27,RaceResults!$D:$D,F27))</f>
        <v/>
      </c>
      <c r="J27" s="11" t="str">
        <f>IF(D27="","",SUMIFS(RaceResults!$E:$E,RaceResults!$A:$A,$A27,RaceResults!$D:$D,D27))</f>
        <v/>
      </c>
      <c r="K27" s="11" t="str">
        <f>IF(E27="","",SUMIFS(RaceResults!$E:$E,RaceResults!$A:$A,$A27,RaceResults!$D:$D,E27))</f>
        <v/>
      </c>
      <c r="L27" s="11" t="str">
        <f>IF(F27="","",SUMIFS(RaceResults!$E:$E,RaceResults!$A:$A,$A27,RaceResults!$D:$D,F27))</f>
        <v/>
      </c>
      <c r="M27" s="11">
        <f t="shared" si="0"/>
        <v>0</v>
      </c>
    </row>
    <row r="28" spans="1:13" x14ac:dyDescent="0.3">
      <c r="A28" s="9">
        <v>3</v>
      </c>
      <c r="B28" s="9" t="s">
        <v>52</v>
      </c>
      <c r="C28" s="10" t="s">
        <v>29</v>
      </c>
      <c r="D28" s="3"/>
      <c r="E28" s="3"/>
      <c r="F28" s="3"/>
      <c r="G28" s="11" t="str">
        <f>IF(D28="","",SUMIFS(RaceResults!$C:$C,RaceResults!$A:$A,$A28,RaceResults!$D:$D,D28))</f>
        <v/>
      </c>
      <c r="H28" s="11" t="str">
        <f>IF(E28="","",SUMIFS(RaceResults!$C:$C,RaceResults!$A:$A,$A28,RaceResults!$D:$D,E28))</f>
        <v/>
      </c>
      <c r="I28" s="11" t="str">
        <f>IF(F28="","",SUMIFS(RaceResults!$C:$C,RaceResults!$A:$A,$A28,RaceResults!$D:$D,F28))</f>
        <v/>
      </c>
      <c r="J28" s="11" t="str">
        <f>IF(D28="","",SUMIFS(RaceResults!$E:$E,RaceResults!$A:$A,$A28,RaceResults!$D:$D,D28))</f>
        <v/>
      </c>
      <c r="K28" s="11" t="str">
        <f>IF(E28="","",SUMIFS(RaceResults!$E:$E,RaceResults!$A:$A,$A28,RaceResults!$D:$D,E28))</f>
        <v/>
      </c>
      <c r="L28" s="11" t="str">
        <f>IF(F28="","",SUMIFS(RaceResults!$E:$E,RaceResults!$A:$A,$A28,RaceResults!$D:$D,F28))</f>
        <v/>
      </c>
      <c r="M28" s="11">
        <f t="shared" si="0"/>
        <v>0</v>
      </c>
    </row>
    <row r="29" spans="1:13" x14ac:dyDescent="0.3">
      <c r="A29" s="9">
        <v>3</v>
      </c>
      <c r="B29" s="9" t="s">
        <v>52</v>
      </c>
      <c r="C29" s="10" t="s">
        <v>30</v>
      </c>
      <c r="D29" s="3"/>
      <c r="E29" s="3"/>
      <c r="F29" s="3"/>
      <c r="G29" s="11" t="str">
        <f>IF(D29="","",SUMIFS(RaceResults!$C:$C,RaceResults!$A:$A,$A29,RaceResults!$D:$D,D29))</f>
        <v/>
      </c>
      <c r="H29" s="11" t="str">
        <f>IF(E29="","",SUMIFS(RaceResults!$C:$C,RaceResults!$A:$A,$A29,RaceResults!$D:$D,E29))</f>
        <v/>
      </c>
      <c r="I29" s="11" t="str">
        <f>IF(F29="","",SUMIFS(RaceResults!$C:$C,RaceResults!$A:$A,$A29,RaceResults!$D:$D,F29))</f>
        <v/>
      </c>
      <c r="J29" s="11" t="str">
        <f>IF(D29="","",SUMIFS(RaceResults!$E:$E,RaceResults!$A:$A,$A29,RaceResults!$D:$D,D29))</f>
        <v/>
      </c>
      <c r="K29" s="11" t="str">
        <f>IF(E29="","",SUMIFS(RaceResults!$E:$E,RaceResults!$A:$A,$A29,RaceResults!$D:$D,E29))</f>
        <v/>
      </c>
      <c r="L29" s="11" t="str">
        <f>IF(F29="","",SUMIFS(RaceResults!$E:$E,RaceResults!$A:$A,$A29,RaceResults!$D:$D,F29))</f>
        <v/>
      </c>
      <c r="M29" s="11">
        <f t="shared" si="0"/>
        <v>0</v>
      </c>
    </row>
    <row r="30" spans="1:13" x14ac:dyDescent="0.3">
      <c r="A30" s="9">
        <v>3</v>
      </c>
      <c r="B30" s="9" t="s">
        <v>52</v>
      </c>
      <c r="C30" s="10" t="s">
        <v>31</v>
      </c>
      <c r="D30" s="3"/>
      <c r="E30" s="3"/>
      <c r="F30" s="3"/>
      <c r="G30" s="11" t="str">
        <f>IF(D30="","",SUMIFS(RaceResults!$C:$C,RaceResults!$A:$A,$A30,RaceResults!$D:$D,D30))</f>
        <v/>
      </c>
      <c r="H30" s="11" t="str">
        <f>IF(E30="","",SUMIFS(RaceResults!$C:$C,RaceResults!$A:$A,$A30,RaceResults!$D:$D,E30))</f>
        <v/>
      </c>
      <c r="I30" s="11" t="str">
        <f>IF(F30="","",SUMIFS(RaceResults!$C:$C,RaceResults!$A:$A,$A30,RaceResults!$D:$D,F30))</f>
        <v/>
      </c>
      <c r="J30" s="11" t="str">
        <f>IF(D30="","",SUMIFS(RaceResults!$E:$E,RaceResults!$A:$A,$A30,RaceResults!$D:$D,D30))</f>
        <v/>
      </c>
      <c r="K30" s="11" t="str">
        <f>IF(E30="","",SUMIFS(RaceResults!$E:$E,RaceResults!$A:$A,$A30,RaceResults!$D:$D,E30))</f>
        <v/>
      </c>
      <c r="L30" s="11" t="str">
        <f>IF(F30="","",SUMIFS(RaceResults!$E:$E,RaceResults!$A:$A,$A30,RaceResults!$D:$D,F30))</f>
        <v/>
      </c>
      <c r="M30" s="11">
        <f t="shared" si="0"/>
        <v>0</v>
      </c>
    </row>
    <row r="31" spans="1:13" x14ac:dyDescent="0.3">
      <c r="A31" s="9">
        <v>3</v>
      </c>
      <c r="B31" s="9" t="s">
        <v>52</v>
      </c>
      <c r="C31" s="10" t="s">
        <v>32</v>
      </c>
      <c r="D31" s="3"/>
      <c r="E31" s="3"/>
      <c r="F31" s="3"/>
      <c r="G31" s="11" t="str">
        <f>IF(D31="","",SUMIFS(RaceResults!$C:$C,RaceResults!$A:$A,$A31,RaceResults!$D:$D,D31))</f>
        <v/>
      </c>
      <c r="H31" s="11" t="str">
        <f>IF(E31="","",SUMIFS(RaceResults!$C:$C,RaceResults!$A:$A,$A31,RaceResults!$D:$D,E31))</f>
        <v/>
      </c>
      <c r="I31" s="11" t="str">
        <f>IF(F31="","",SUMIFS(RaceResults!$C:$C,RaceResults!$A:$A,$A31,RaceResults!$D:$D,F31))</f>
        <v/>
      </c>
      <c r="J31" s="11" t="str">
        <f>IF(D31="","",SUMIFS(RaceResults!$E:$E,RaceResults!$A:$A,$A31,RaceResults!$D:$D,D31))</f>
        <v/>
      </c>
      <c r="K31" s="11" t="str">
        <f>IF(E31="","",SUMIFS(RaceResults!$E:$E,RaceResults!$A:$A,$A31,RaceResults!$D:$D,E31))</f>
        <v/>
      </c>
      <c r="L31" s="11" t="str">
        <f>IF(F31="","",SUMIFS(RaceResults!$E:$E,RaceResults!$A:$A,$A31,RaceResults!$D:$D,F31))</f>
        <v/>
      </c>
      <c r="M31" s="11">
        <f t="shared" si="0"/>
        <v>0</v>
      </c>
    </row>
    <row r="32" spans="1:13" x14ac:dyDescent="0.3">
      <c r="A32" s="9">
        <v>4</v>
      </c>
      <c r="B32" s="9" t="s">
        <v>54</v>
      </c>
      <c r="C32" s="10" t="s">
        <v>21</v>
      </c>
      <c r="D32" s="3">
        <v>5</v>
      </c>
      <c r="E32" s="3">
        <v>11</v>
      </c>
      <c r="F32" s="3">
        <v>45</v>
      </c>
      <c r="G32" s="11">
        <f>IF(D32="","",SUMIFS(RaceResults!$C:$C,RaceResults!$A:$A,$A32,RaceResults!$D:$D,D32))</f>
        <v>3</v>
      </c>
      <c r="H32" s="11">
        <f>IF(E32="","",SUMIFS(RaceResults!$C:$C,RaceResults!$A:$A,$A32,RaceResults!$D:$D,E32))</f>
        <v>5</v>
      </c>
      <c r="I32" s="11">
        <f>IF(F32="","",SUMIFS(RaceResults!$C:$C,RaceResults!$A:$A,$A32,RaceResults!$D:$D,F32))</f>
        <v>8</v>
      </c>
      <c r="J32" s="11">
        <f>IF(D32="","",SUMIFS(RaceResults!$E:$E,RaceResults!$A:$A,$A32,RaceResults!$D:$D,D32))</f>
        <v>34</v>
      </c>
      <c r="K32" s="11">
        <f>IF(E32="","",SUMIFS(RaceResults!$E:$E,RaceResults!$A:$A,$A32,RaceResults!$D:$D,E32))</f>
        <v>32</v>
      </c>
      <c r="L32" s="11">
        <f>IF(F32="","",SUMIFS(RaceResults!$E:$E,RaceResults!$A:$A,$A32,RaceResults!$D:$D,F32))</f>
        <v>29</v>
      </c>
      <c r="M32" s="11">
        <f t="shared" si="0"/>
        <v>95</v>
      </c>
    </row>
    <row r="33" spans="1:13" x14ac:dyDescent="0.3">
      <c r="A33" s="9">
        <v>4</v>
      </c>
      <c r="B33" s="9" t="s">
        <v>54</v>
      </c>
      <c r="C33" s="10" t="s">
        <v>22</v>
      </c>
      <c r="D33" s="3">
        <v>7</v>
      </c>
      <c r="E33" s="3">
        <v>12</v>
      </c>
      <c r="F33" s="3">
        <v>1</v>
      </c>
      <c r="G33" s="11">
        <f>IF(D33="","",SUMIFS(RaceResults!$C:$C,RaceResults!$A:$A,$A33,RaceResults!$D:$D,D33))</f>
        <v>30</v>
      </c>
      <c r="H33" s="11">
        <f>IF(E33="","",SUMIFS(RaceResults!$C:$C,RaceResults!$A:$A,$A33,RaceResults!$D:$D,E33))</f>
        <v>1</v>
      </c>
      <c r="I33" s="11">
        <f>IF(F33="","",SUMIFS(RaceResults!$C:$C,RaceResults!$A:$A,$A33,RaceResults!$D:$D,F33))</f>
        <v>28</v>
      </c>
      <c r="J33" s="11">
        <f>IF(D33="","",SUMIFS(RaceResults!$E:$E,RaceResults!$A:$A,$A33,RaceResults!$D:$D,D33))</f>
        <v>7</v>
      </c>
      <c r="K33" s="11">
        <f>IF(E33="","",SUMIFS(RaceResults!$E:$E,RaceResults!$A:$A,$A33,RaceResults!$D:$D,E33))</f>
        <v>55</v>
      </c>
      <c r="L33" s="11">
        <f>IF(F33="","",SUMIFS(RaceResults!$E:$E,RaceResults!$A:$A,$A33,RaceResults!$D:$D,F33))</f>
        <v>9</v>
      </c>
      <c r="M33" s="11">
        <f t="shared" si="0"/>
        <v>71</v>
      </c>
    </row>
    <row r="34" spans="1:13" x14ac:dyDescent="0.3">
      <c r="A34" s="9">
        <v>4</v>
      </c>
      <c r="B34" s="9" t="s">
        <v>54</v>
      </c>
      <c r="C34" s="10" t="s">
        <v>25</v>
      </c>
      <c r="D34" s="3">
        <v>21</v>
      </c>
      <c r="E34" s="3">
        <v>22</v>
      </c>
      <c r="F34" s="3">
        <v>24</v>
      </c>
      <c r="G34" s="11">
        <f>IF(D34="","",SUMIFS(RaceResults!$C:$C,RaceResults!$A:$A,$A34,RaceResults!$D:$D,D34))</f>
        <v>32</v>
      </c>
      <c r="H34" s="11">
        <f>IF(E34="","",SUMIFS(RaceResults!$C:$C,RaceResults!$A:$A,$A34,RaceResults!$D:$D,E34))</f>
        <v>31</v>
      </c>
      <c r="I34" s="11">
        <f>IF(F34="","",SUMIFS(RaceResults!$C:$C,RaceResults!$A:$A,$A34,RaceResults!$D:$D,F34))</f>
        <v>7</v>
      </c>
      <c r="J34" s="11">
        <f>IF(D34="","",SUMIFS(RaceResults!$E:$E,RaceResults!$A:$A,$A34,RaceResults!$D:$D,D34))</f>
        <v>5</v>
      </c>
      <c r="K34" s="11">
        <f>IF(E34="","",SUMIFS(RaceResults!$E:$E,RaceResults!$A:$A,$A34,RaceResults!$D:$D,E34))</f>
        <v>6</v>
      </c>
      <c r="L34" s="11">
        <f>IF(F34="","",SUMIFS(RaceResults!$E:$E,RaceResults!$A:$A,$A34,RaceResults!$D:$D,F34))</f>
        <v>30</v>
      </c>
      <c r="M34" s="11">
        <f t="shared" si="0"/>
        <v>41</v>
      </c>
    </row>
    <row r="35" spans="1:13" x14ac:dyDescent="0.3">
      <c r="A35" s="9">
        <v>4</v>
      </c>
      <c r="B35" s="9" t="s">
        <v>54</v>
      </c>
      <c r="C35" s="10" t="s">
        <v>26</v>
      </c>
      <c r="D35" s="3">
        <v>5</v>
      </c>
      <c r="E35" s="3">
        <v>12</v>
      </c>
      <c r="F35" s="3">
        <v>2</v>
      </c>
      <c r="G35" s="11">
        <f>IF(D35="","",SUMIFS(RaceResults!$C:$C,RaceResults!$A:$A,$A35,RaceResults!$D:$D,D35))</f>
        <v>3</v>
      </c>
      <c r="H35" s="11">
        <f>IF(E35="","",SUMIFS(RaceResults!$C:$C,RaceResults!$A:$A,$A35,RaceResults!$D:$D,E35))</f>
        <v>1</v>
      </c>
      <c r="I35" s="11">
        <f>IF(F35="","",SUMIFS(RaceResults!$C:$C,RaceResults!$A:$A,$A35,RaceResults!$D:$D,F35))</f>
        <v>34</v>
      </c>
      <c r="J35" s="11">
        <f>IF(D35="","",SUMIFS(RaceResults!$E:$E,RaceResults!$A:$A,$A35,RaceResults!$D:$D,D35))</f>
        <v>34</v>
      </c>
      <c r="K35" s="11">
        <f>IF(E35="","",SUMIFS(RaceResults!$E:$E,RaceResults!$A:$A,$A35,RaceResults!$D:$D,E35))</f>
        <v>55</v>
      </c>
      <c r="L35" s="11">
        <f>IF(F35="","",SUMIFS(RaceResults!$E:$E,RaceResults!$A:$A,$A35,RaceResults!$D:$D,F35))</f>
        <v>3</v>
      </c>
      <c r="M35" s="11">
        <f t="shared" si="0"/>
        <v>92</v>
      </c>
    </row>
    <row r="36" spans="1:13" x14ac:dyDescent="0.3">
      <c r="A36" s="9">
        <v>4</v>
      </c>
      <c r="B36" s="9" t="s">
        <v>54</v>
      </c>
      <c r="C36" s="10" t="s">
        <v>27</v>
      </c>
      <c r="D36" s="3">
        <v>45</v>
      </c>
      <c r="E36" s="3">
        <v>12</v>
      </c>
      <c r="F36" s="3">
        <v>19</v>
      </c>
      <c r="G36" s="11">
        <f>IF(D36="","",SUMIFS(RaceResults!$C:$C,RaceResults!$A:$A,$A36,RaceResults!$D:$D,D36))</f>
        <v>8</v>
      </c>
      <c r="H36" s="11">
        <f>IF(E36="","",SUMIFS(RaceResults!$C:$C,RaceResults!$A:$A,$A36,RaceResults!$D:$D,E36))</f>
        <v>1</v>
      </c>
      <c r="I36" s="11">
        <f>IF(F36="","",SUMIFS(RaceResults!$C:$C,RaceResults!$A:$A,$A36,RaceResults!$D:$D,F36))</f>
        <v>37</v>
      </c>
      <c r="J36" s="11">
        <f>IF(D36="","",SUMIFS(RaceResults!$E:$E,RaceResults!$A:$A,$A36,RaceResults!$D:$D,D36))</f>
        <v>29</v>
      </c>
      <c r="K36" s="11">
        <f>IF(E36="","",SUMIFS(RaceResults!$E:$E,RaceResults!$A:$A,$A36,RaceResults!$D:$D,E36))</f>
        <v>55</v>
      </c>
      <c r="L36" s="11">
        <f>IF(F36="","",SUMIFS(RaceResults!$E:$E,RaceResults!$A:$A,$A36,RaceResults!$D:$D,F36))</f>
        <v>1</v>
      </c>
      <c r="M36" s="11">
        <f t="shared" si="0"/>
        <v>85</v>
      </c>
    </row>
    <row r="37" spans="1:13" x14ac:dyDescent="0.3">
      <c r="A37" s="9">
        <v>4</v>
      </c>
      <c r="B37" s="9" t="s">
        <v>54</v>
      </c>
      <c r="C37" s="10" t="s">
        <v>28</v>
      </c>
      <c r="D37" s="3"/>
      <c r="E37" s="3"/>
      <c r="F37" s="3"/>
      <c r="G37" s="11" t="str">
        <f>IF(D37="","",SUMIFS(RaceResults!$C:$C,RaceResults!$A:$A,$A37,RaceResults!$D:$D,D37))</f>
        <v/>
      </c>
      <c r="H37" s="11" t="str">
        <f>IF(E37="","",SUMIFS(RaceResults!$C:$C,RaceResults!$A:$A,$A37,RaceResults!$D:$D,E37))</f>
        <v/>
      </c>
      <c r="I37" s="11" t="str">
        <f>IF(F37="","",SUMIFS(RaceResults!$C:$C,RaceResults!$A:$A,$A37,RaceResults!$D:$D,F37))</f>
        <v/>
      </c>
      <c r="J37" s="11" t="str">
        <f>IF(D37="","",SUMIFS(RaceResults!$E:$E,RaceResults!$A:$A,$A37,RaceResults!$D:$D,D37))</f>
        <v/>
      </c>
      <c r="K37" s="11" t="str">
        <f>IF(E37="","",SUMIFS(RaceResults!$E:$E,RaceResults!$A:$A,$A37,RaceResults!$D:$D,E37))</f>
        <v/>
      </c>
      <c r="L37" s="11" t="str">
        <f>IF(F37="","",SUMIFS(RaceResults!$E:$E,RaceResults!$A:$A,$A37,RaceResults!$D:$D,F37))</f>
        <v/>
      </c>
      <c r="M37" s="11">
        <f t="shared" si="0"/>
        <v>0</v>
      </c>
    </row>
    <row r="38" spans="1:13" x14ac:dyDescent="0.3">
      <c r="A38" s="9">
        <v>4</v>
      </c>
      <c r="B38" s="9" t="s">
        <v>54</v>
      </c>
      <c r="C38" s="10" t="s">
        <v>29</v>
      </c>
      <c r="D38" s="3"/>
      <c r="E38" s="3"/>
      <c r="F38" s="3"/>
      <c r="G38" s="11" t="str">
        <f>IF(D38="","",SUMIFS(RaceResults!$C:$C,RaceResults!$A:$A,$A38,RaceResults!$D:$D,D38))</f>
        <v/>
      </c>
      <c r="H38" s="11" t="str">
        <f>IF(E38="","",SUMIFS(RaceResults!$C:$C,RaceResults!$A:$A,$A38,RaceResults!$D:$D,E38))</f>
        <v/>
      </c>
      <c r="I38" s="11" t="str">
        <f>IF(F38="","",SUMIFS(RaceResults!$C:$C,RaceResults!$A:$A,$A38,RaceResults!$D:$D,F38))</f>
        <v/>
      </c>
      <c r="J38" s="11" t="str">
        <f>IF(D38="","",SUMIFS(RaceResults!$E:$E,RaceResults!$A:$A,$A38,RaceResults!$D:$D,D38))</f>
        <v/>
      </c>
      <c r="K38" s="11" t="str">
        <f>IF(E38="","",SUMIFS(RaceResults!$E:$E,RaceResults!$A:$A,$A38,RaceResults!$D:$D,E38))</f>
        <v/>
      </c>
      <c r="L38" s="11" t="str">
        <f>IF(F38="","",SUMIFS(RaceResults!$E:$E,RaceResults!$A:$A,$A38,RaceResults!$D:$D,F38))</f>
        <v/>
      </c>
      <c r="M38" s="11">
        <f t="shared" si="0"/>
        <v>0</v>
      </c>
    </row>
    <row r="39" spans="1:13" x14ac:dyDescent="0.3">
      <c r="A39" s="9">
        <v>4</v>
      </c>
      <c r="B39" s="9" t="s">
        <v>54</v>
      </c>
      <c r="C39" s="10" t="s">
        <v>30</v>
      </c>
      <c r="D39" s="3"/>
      <c r="E39" s="3"/>
      <c r="F39" s="3"/>
      <c r="G39" s="11" t="str">
        <f>IF(D39="","",SUMIFS(RaceResults!$C:$C,RaceResults!$A:$A,$A39,RaceResults!$D:$D,D39))</f>
        <v/>
      </c>
      <c r="H39" s="11" t="str">
        <f>IF(E39="","",SUMIFS(RaceResults!$C:$C,RaceResults!$A:$A,$A39,RaceResults!$D:$D,E39))</f>
        <v/>
      </c>
      <c r="I39" s="11" t="str">
        <f>IF(F39="","",SUMIFS(RaceResults!$C:$C,RaceResults!$A:$A,$A39,RaceResults!$D:$D,F39))</f>
        <v/>
      </c>
      <c r="J39" s="11" t="str">
        <f>IF(D39="","",SUMIFS(RaceResults!$E:$E,RaceResults!$A:$A,$A39,RaceResults!$D:$D,D39))</f>
        <v/>
      </c>
      <c r="K39" s="11" t="str">
        <f>IF(E39="","",SUMIFS(RaceResults!$E:$E,RaceResults!$A:$A,$A39,RaceResults!$D:$D,E39))</f>
        <v/>
      </c>
      <c r="L39" s="11" t="str">
        <f>IF(F39="","",SUMIFS(RaceResults!$E:$E,RaceResults!$A:$A,$A39,RaceResults!$D:$D,F39))</f>
        <v/>
      </c>
      <c r="M39" s="11">
        <f t="shared" si="0"/>
        <v>0</v>
      </c>
    </row>
    <row r="40" spans="1:13" x14ac:dyDescent="0.3">
      <c r="A40" s="9">
        <v>4</v>
      </c>
      <c r="B40" s="9" t="s">
        <v>54</v>
      </c>
      <c r="C40" s="10" t="s">
        <v>31</v>
      </c>
      <c r="D40" s="3"/>
      <c r="E40" s="3"/>
      <c r="F40" s="3"/>
      <c r="G40" s="11" t="str">
        <f>IF(D40="","",SUMIFS(RaceResults!$C:$C,RaceResults!$A:$A,$A40,RaceResults!$D:$D,D40))</f>
        <v/>
      </c>
      <c r="H40" s="11" t="str">
        <f>IF(E40="","",SUMIFS(RaceResults!$C:$C,RaceResults!$A:$A,$A40,RaceResults!$D:$D,E40))</f>
        <v/>
      </c>
      <c r="I40" s="11" t="str">
        <f>IF(F40="","",SUMIFS(RaceResults!$C:$C,RaceResults!$A:$A,$A40,RaceResults!$D:$D,F40))</f>
        <v/>
      </c>
      <c r="J40" s="11" t="str">
        <f>IF(D40="","",SUMIFS(RaceResults!$E:$E,RaceResults!$A:$A,$A40,RaceResults!$D:$D,D40))</f>
        <v/>
      </c>
      <c r="K40" s="11" t="str">
        <f>IF(E40="","",SUMIFS(RaceResults!$E:$E,RaceResults!$A:$A,$A40,RaceResults!$D:$D,E40))</f>
        <v/>
      </c>
      <c r="L40" s="11" t="str">
        <f>IF(F40="","",SUMIFS(RaceResults!$E:$E,RaceResults!$A:$A,$A40,RaceResults!$D:$D,F40))</f>
        <v/>
      </c>
      <c r="M40" s="11">
        <f t="shared" si="0"/>
        <v>0</v>
      </c>
    </row>
    <row r="41" spans="1:13" x14ac:dyDescent="0.3">
      <c r="A41" s="9">
        <v>4</v>
      </c>
      <c r="B41" s="9" t="s">
        <v>54</v>
      </c>
      <c r="C41" s="10" t="s">
        <v>32</v>
      </c>
      <c r="D41" s="3"/>
      <c r="E41" s="3"/>
      <c r="F41" s="3"/>
      <c r="G41" s="11" t="str">
        <f>IF(D41="","",SUMIFS(RaceResults!$C:$C,RaceResults!$A:$A,$A41,RaceResults!$D:$D,D41))</f>
        <v/>
      </c>
      <c r="H41" s="11" t="str">
        <f>IF(E41="","",SUMIFS(RaceResults!$C:$C,RaceResults!$A:$A,$A41,RaceResults!$D:$D,E41))</f>
        <v/>
      </c>
      <c r="I41" s="11" t="str">
        <f>IF(F41="","",SUMIFS(RaceResults!$C:$C,RaceResults!$A:$A,$A41,RaceResults!$D:$D,F41))</f>
        <v/>
      </c>
      <c r="J41" s="11" t="str">
        <f>IF(D41="","",SUMIFS(RaceResults!$E:$E,RaceResults!$A:$A,$A41,RaceResults!$D:$D,D41))</f>
        <v/>
      </c>
      <c r="K41" s="11" t="str">
        <f>IF(E41="","",SUMIFS(RaceResults!$E:$E,RaceResults!$A:$A,$A41,RaceResults!$D:$D,E41))</f>
        <v/>
      </c>
      <c r="L41" s="11" t="str">
        <f>IF(F41="","",SUMIFS(RaceResults!$E:$E,RaceResults!$A:$A,$A41,RaceResults!$D:$D,F41))</f>
        <v/>
      </c>
      <c r="M41" s="11">
        <f t="shared" si="0"/>
        <v>0</v>
      </c>
    </row>
    <row r="42" spans="1:13" x14ac:dyDescent="0.3">
      <c r="A42" s="9">
        <v>5</v>
      </c>
      <c r="B42" s="9" t="s">
        <v>57</v>
      </c>
      <c r="C42" s="10" t="s">
        <v>21</v>
      </c>
      <c r="D42" s="3">
        <v>5</v>
      </c>
      <c r="E42" s="3">
        <v>45</v>
      </c>
      <c r="F42" s="3">
        <v>23</v>
      </c>
      <c r="G42" s="11">
        <f>IF(D42="","",SUMIFS(RaceResults!$C:$C,RaceResults!$A:$A,$A42,RaceResults!$D:$D,D42))</f>
        <v>7</v>
      </c>
      <c r="H42" s="11">
        <f>IF(E42="","",SUMIFS(RaceResults!$C:$C,RaceResults!$A:$A,$A42,RaceResults!$D:$D,E42))</f>
        <v>13</v>
      </c>
      <c r="I42" s="11">
        <f>IF(F42="","",SUMIFS(RaceResults!$C:$C,RaceResults!$A:$A,$A42,RaceResults!$D:$D,F42))</f>
        <v>9</v>
      </c>
      <c r="J42" s="11">
        <f>IF(D42="","",SUMIFS(RaceResults!$E:$E,RaceResults!$A:$A,$A42,RaceResults!$D:$D,D42))</f>
        <v>30</v>
      </c>
      <c r="K42" s="11">
        <f>IF(E42="","",SUMIFS(RaceResults!$E:$E,RaceResults!$A:$A,$A42,RaceResults!$D:$D,E42))</f>
        <v>24</v>
      </c>
      <c r="L42" s="11">
        <f>IF(F42="","",SUMIFS(RaceResults!$E:$E,RaceResults!$A:$A,$A42,RaceResults!$D:$D,F42))</f>
        <v>28</v>
      </c>
      <c r="M42" s="11">
        <f t="shared" si="0"/>
        <v>82</v>
      </c>
    </row>
    <row r="43" spans="1:13" x14ac:dyDescent="0.3">
      <c r="A43" s="9">
        <v>5</v>
      </c>
      <c r="B43" s="9" t="s">
        <v>57</v>
      </c>
      <c r="C43" s="10" t="s">
        <v>22</v>
      </c>
      <c r="D43" s="3">
        <v>11</v>
      </c>
      <c r="E43" s="3">
        <v>12</v>
      </c>
      <c r="F43" s="3">
        <v>9</v>
      </c>
      <c r="G43" s="11">
        <f>IF(D43="","",SUMIFS(RaceResults!$C:$C,RaceResults!$A:$A,$A43,RaceResults!$D:$D,D43))</f>
        <v>1</v>
      </c>
      <c r="H43" s="11">
        <f>IF(E43="","",SUMIFS(RaceResults!$C:$C,RaceResults!$A:$A,$A43,RaceResults!$D:$D,E43))</f>
        <v>16</v>
      </c>
      <c r="I43" s="11">
        <f>IF(F43="","",SUMIFS(RaceResults!$C:$C,RaceResults!$A:$A,$A43,RaceResults!$D:$D,F43))</f>
        <v>2</v>
      </c>
      <c r="J43" s="11">
        <f>IF(D43="","",SUMIFS(RaceResults!$E:$E,RaceResults!$A:$A,$A43,RaceResults!$D:$D,D43))</f>
        <v>55</v>
      </c>
      <c r="K43" s="11">
        <f>IF(E43="","",SUMIFS(RaceResults!$E:$E,RaceResults!$A:$A,$A43,RaceResults!$D:$D,E43))</f>
        <v>21</v>
      </c>
      <c r="L43" s="11">
        <f>IF(F43="","",SUMIFS(RaceResults!$E:$E,RaceResults!$A:$A,$A43,RaceResults!$D:$D,F43))</f>
        <v>35</v>
      </c>
      <c r="M43" s="11">
        <f t="shared" si="0"/>
        <v>111</v>
      </c>
    </row>
    <row r="44" spans="1:13" x14ac:dyDescent="0.3">
      <c r="A44" s="9">
        <v>5</v>
      </c>
      <c r="B44" s="9" t="s">
        <v>57</v>
      </c>
      <c r="C44" s="10" t="s">
        <v>25</v>
      </c>
      <c r="D44" s="3">
        <v>20</v>
      </c>
      <c r="E44" s="3">
        <v>23</v>
      </c>
      <c r="F44" s="3">
        <v>24</v>
      </c>
      <c r="G44" s="11">
        <f>IF(D44="","",SUMIFS(RaceResults!$C:$C,RaceResults!$A:$A,$A44,RaceResults!$D:$D,D44))</f>
        <v>4</v>
      </c>
      <c r="H44" s="11">
        <f>IF(E44="","",SUMIFS(RaceResults!$C:$C,RaceResults!$A:$A,$A44,RaceResults!$D:$D,E44))</f>
        <v>9</v>
      </c>
      <c r="I44" s="11">
        <f>IF(F44="","",SUMIFS(RaceResults!$C:$C,RaceResults!$A:$A,$A44,RaceResults!$D:$D,F44))</f>
        <v>3</v>
      </c>
      <c r="J44" s="11">
        <f>IF(D44="","",SUMIFS(RaceResults!$E:$E,RaceResults!$A:$A,$A44,RaceResults!$D:$D,D44))</f>
        <v>33</v>
      </c>
      <c r="K44" s="11">
        <f>IF(E44="","",SUMIFS(RaceResults!$E:$E,RaceResults!$A:$A,$A44,RaceResults!$D:$D,E44))</f>
        <v>28</v>
      </c>
      <c r="L44" s="11">
        <f>IF(F44="","",SUMIFS(RaceResults!$E:$E,RaceResults!$A:$A,$A44,RaceResults!$D:$D,F44))</f>
        <v>34</v>
      </c>
      <c r="M44" s="11">
        <f t="shared" si="0"/>
        <v>95</v>
      </c>
    </row>
    <row r="45" spans="1:13" x14ac:dyDescent="0.3">
      <c r="A45" s="9">
        <v>5</v>
      </c>
      <c r="B45" s="9" t="s">
        <v>57</v>
      </c>
      <c r="C45" s="10" t="s">
        <v>26</v>
      </c>
      <c r="D45" s="3">
        <v>11</v>
      </c>
      <c r="E45" s="3">
        <v>12</v>
      </c>
      <c r="F45" s="3">
        <v>5</v>
      </c>
      <c r="G45" s="11">
        <f>IF(D45="","",SUMIFS(RaceResults!$C:$C,RaceResults!$A:$A,$A45,RaceResults!$D:$D,D45))</f>
        <v>1</v>
      </c>
      <c r="H45" s="11">
        <f>IF(E45="","",SUMIFS(RaceResults!$C:$C,RaceResults!$A:$A,$A45,RaceResults!$D:$D,E45))</f>
        <v>16</v>
      </c>
      <c r="I45" s="11">
        <f>IF(F45="","",SUMIFS(RaceResults!$C:$C,RaceResults!$A:$A,$A45,RaceResults!$D:$D,F45))</f>
        <v>7</v>
      </c>
      <c r="J45" s="11">
        <f>IF(D45="","",SUMIFS(RaceResults!$E:$E,RaceResults!$A:$A,$A45,RaceResults!$D:$D,D45))</f>
        <v>55</v>
      </c>
      <c r="K45" s="11">
        <f>IF(E45="","",SUMIFS(RaceResults!$E:$E,RaceResults!$A:$A,$A45,RaceResults!$D:$D,E45))</f>
        <v>21</v>
      </c>
      <c r="L45" s="11">
        <f>IF(F45="","",SUMIFS(RaceResults!$E:$E,RaceResults!$A:$A,$A45,RaceResults!$D:$D,F45))</f>
        <v>30</v>
      </c>
      <c r="M45" s="11">
        <f t="shared" si="0"/>
        <v>106</v>
      </c>
    </row>
    <row r="46" spans="1:13" x14ac:dyDescent="0.3">
      <c r="A46" s="9">
        <v>5</v>
      </c>
      <c r="B46" s="9" t="s">
        <v>57</v>
      </c>
      <c r="C46" s="10" t="s">
        <v>27</v>
      </c>
      <c r="D46" s="3">
        <v>5</v>
      </c>
      <c r="E46" s="3">
        <v>11</v>
      </c>
      <c r="F46" s="3">
        <v>20</v>
      </c>
      <c r="G46" s="11">
        <f>IF(D46="","",SUMIFS(RaceResults!$C:$C,RaceResults!$A:$A,$A46,RaceResults!$D:$D,D46))</f>
        <v>7</v>
      </c>
      <c r="H46" s="11">
        <f>IF(E46="","",SUMIFS(RaceResults!$C:$C,RaceResults!$A:$A,$A46,RaceResults!$D:$D,E46))</f>
        <v>1</v>
      </c>
      <c r="I46" s="11">
        <f>IF(F46="","",SUMIFS(RaceResults!$C:$C,RaceResults!$A:$A,$A46,RaceResults!$D:$D,F46))</f>
        <v>4</v>
      </c>
      <c r="J46" s="11">
        <f>IF(D46="","",SUMIFS(RaceResults!$E:$E,RaceResults!$A:$A,$A46,RaceResults!$D:$D,D46))</f>
        <v>30</v>
      </c>
      <c r="K46" s="11">
        <f>IF(E46="","",SUMIFS(RaceResults!$E:$E,RaceResults!$A:$A,$A46,RaceResults!$D:$D,E46))</f>
        <v>55</v>
      </c>
      <c r="L46" s="11">
        <f>IF(F46="","",SUMIFS(RaceResults!$E:$E,RaceResults!$A:$A,$A46,RaceResults!$D:$D,F46))</f>
        <v>33</v>
      </c>
      <c r="M46" s="11">
        <f t="shared" si="0"/>
        <v>118</v>
      </c>
    </row>
    <row r="47" spans="1:13" x14ac:dyDescent="0.3">
      <c r="A47" s="9">
        <v>5</v>
      </c>
      <c r="B47" s="9" t="s">
        <v>57</v>
      </c>
      <c r="C47" s="10" t="s">
        <v>28</v>
      </c>
      <c r="D47" s="3">
        <v>20</v>
      </c>
      <c r="E47" s="3">
        <v>45</v>
      </c>
      <c r="F47" s="3">
        <v>11</v>
      </c>
      <c r="G47" s="11">
        <f>IF(D47="","",SUMIFS(RaceResults!$C:$C,RaceResults!$A:$A,$A47,RaceResults!$D:$D,D47))</f>
        <v>4</v>
      </c>
      <c r="H47" s="11">
        <f>IF(E47="","",SUMIFS(RaceResults!$C:$C,RaceResults!$A:$A,$A47,RaceResults!$D:$D,E47))</f>
        <v>13</v>
      </c>
      <c r="I47" s="11">
        <f>IF(F47="","",SUMIFS(RaceResults!$C:$C,RaceResults!$A:$A,$A47,RaceResults!$D:$D,F47))</f>
        <v>1</v>
      </c>
      <c r="J47" s="11">
        <f>IF(D47="","",SUMIFS(RaceResults!$E:$E,RaceResults!$A:$A,$A47,RaceResults!$D:$D,D47))</f>
        <v>33</v>
      </c>
      <c r="K47" s="11">
        <f>IF(E47="","",SUMIFS(RaceResults!$E:$E,RaceResults!$A:$A,$A47,RaceResults!$D:$D,E47))</f>
        <v>24</v>
      </c>
      <c r="L47" s="11">
        <f>IF(F47="","",SUMIFS(RaceResults!$E:$E,RaceResults!$A:$A,$A47,RaceResults!$D:$D,F47))</f>
        <v>55</v>
      </c>
      <c r="M47" s="11">
        <f t="shared" si="0"/>
        <v>112</v>
      </c>
    </row>
    <row r="48" spans="1:13" x14ac:dyDescent="0.3">
      <c r="A48" s="9">
        <v>5</v>
      </c>
      <c r="B48" s="9" t="s">
        <v>57</v>
      </c>
      <c r="C48" s="10" t="s">
        <v>29</v>
      </c>
      <c r="D48" s="3"/>
      <c r="E48" s="3"/>
      <c r="F48" s="3"/>
      <c r="G48" s="11" t="str">
        <f>IF(D48="","",SUMIFS(RaceResults!$C:$C,RaceResults!$A:$A,$A48,RaceResults!$D:$D,D48))</f>
        <v/>
      </c>
      <c r="H48" s="11" t="str">
        <f>IF(E48="","",SUMIFS(RaceResults!$C:$C,RaceResults!$A:$A,$A48,RaceResults!$D:$D,E48))</f>
        <v/>
      </c>
      <c r="I48" s="11" t="str">
        <f>IF(F48="","",SUMIFS(RaceResults!$C:$C,RaceResults!$A:$A,$A48,RaceResults!$D:$D,F48))</f>
        <v/>
      </c>
      <c r="J48" s="11" t="str">
        <f>IF(D48="","",SUMIFS(RaceResults!$E:$E,RaceResults!$A:$A,$A48,RaceResults!$D:$D,D48))</f>
        <v/>
      </c>
      <c r="K48" s="11" t="str">
        <f>IF(E48="","",SUMIFS(RaceResults!$E:$E,RaceResults!$A:$A,$A48,RaceResults!$D:$D,E48))</f>
        <v/>
      </c>
      <c r="L48" s="11" t="str">
        <f>IF(F48="","",SUMIFS(RaceResults!$E:$E,RaceResults!$A:$A,$A48,RaceResults!$D:$D,F48))</f>
        <v/>
      </c>
      <c r="M48" s="11">
        <f t="shared" si="0"/>
        <v>0</v>
      </c>
    </row>
    <row r="49" spans="1:13" x14ac:dyDescent="0.3">
      <c r="A49" s="9">
        <v>5</v>
      </c>
      <c r="B49" s="9" t="s">
        <v>57</v>
      </c>
      <c r="C49" s="10" t="s">
        <v>30</v>
      </c>
      <c r="D49" s="3"/>
      <c r="E49" s="3"/>
      <c r="F49" s="3"/>
      <c r="G49" s="11" t="str">
        <f>IF(D49="","",SUMIFS(RaceResults!$C:$C,RaceResults!$A:$A,$A49,RaceResults!$D:$D,D49))</f>
        <v/>
      </c>
      <c r="H49" s="11" t="str">
        <f>IF(E49="","",SUMIFS(RaceResults!$C:$C,RaceResults!$A:$A,$A49,RaceResults!$D:$D,E49))</f>
        <v/>
      </c>
      <c r="I49" s="11" t="str">
        <f>IF(F49="","",SUMIFS(RaceResults!$C:$C,RaceResults!$A:$A,$A49,RaceResults!$D:$D,F49))</f>
        <v/>
      </c>
      <c r="J49" s="11" t="str">
        <f>IF(D49="","",SUMIFS(RaceResults!$E:$E,RaceResults!$A:$A,$A49,RaceResults!$D:$D,D49))</f>
        <v/>
      </c>
      <c r="K49" s="11" t="str">
        <f>IF(E49="","",SUMIFS(RaceResults!$E:$E,RaceResults!$A:$A,$A49,RaceResults!$D:$D,E49))</f>
        <v/>
      </c>
      <c r="L49" s="11" t="str">
        <f>IF(F49="","",SUMIFS(RaceResults!$E:$E,RaceResults!$A:$A,$A49,RaceResults!$D:$D,F49))</f>
        <v/>
      </c>
      <c r="M49" s="11">
        <f t="shared" si="0"/>
        <v>0</v>
      </c>
    </row>
    <row r="50" spans="1:13" x14ac:dyDescent="0.3">
      <c r="A50" s="9">
        <v>5</v>
      </c>
      <c r="B50" s="9" t="s">
        <v>57</v>
      </c>
      <c r="C50" s="10" t="s">
        <v>31</v>
      </c>
      <c r="D50" s="3"/>
      <c r="E50" s="3"/>
      <c r="F50" s="3"/>
      <c r="G50" s="11" t="str">
        <f>IF(D50="","",SUMIFS(RaceResults!$C:$C,RaceResults!$A:$A,$A50,RaceResults!$D:$D,D50))</f>
        <v/>
      </c>
      <c r="H50" s="11" t="str">
        <f>IF(E50="","",SUMIFS(RaceResults!$C:$C,RaceResults!$A:$A,$A50,RaceResults!$D:$D,E50))</f>
        <v/>
      </c>
      <c r="I50" s="11" t="str">
        <f>IF(F50="","",SUMIFS(RaceResults!$C:$C,RaceResults!$A:$A,$A50,RaceResults!$D:$D,F50))</f>
        <v/>
      </c>
      <c r="J50" s="11" t="str">
        <f>IF(D50="","",SUMIFS(RaceResults!$E:$E,RaceResults!$A:$A,$A50,RaceResults!$D:$D,D50))</f>
        <v/>
      </c>
      <c r="K50" s="11" t="str">
        <f>IF(E50="","",SUMIFS(RaceResults!$E:$E,RaceResults!$A:$A,$A50,RaceResults!$D:$D,E50))</f>
        <v/>
      </c>
      <c r="L50" s="11" t="str">
        <f>IF(F50="","",SUMIFS(RaceResults!$E:$E,RaceResults!$A:$A,$A50,RaceResults!$D:$D,F50))</f>
        <v/>
      </c>
      <c r="M50" s="11">
        <f t="shared" si="0"/>
        <v>0</v>
      </c>
    </row>
    <row r="51" spans="1:13" x14ac:dyDescent="0.3">
      <c r="A51" s="9">
        <v>5</v>
      </c>
      <c r="B51" s="9" t="s">
        <v>57</v>
      </c>
      <c r="C51" s="10" t="s">
        <v>32</v>
      </c>
      <c r="D51" s="3">
        <v>45</v>
      </c>
      <c r="E51" s="3">
        <v>23</v>
      </c>
      <c r="F51" s="3">
        <v>5</v>
      </c>
      <c r="G51" s="11">
        <f>IF(D51="","",SUMIFS(RaceResults!$C:$C,RaceResults!$A:$A,$A51,RaceResults!$D:$D,D51))</f>
        <v>13</v>
      </c>
      <c r="H51" s="11">
        <f>IF(E51="","",SUMIFS(RaceResults!$C:$C,RaceResults!$A:$A,$A51,RaceResults!$D:$D,E51))</f>
        <v>9</v>
      </c>
      <c r="I51" s="11">
        <f>IF(F51="","",SUMIFS(RaceResults!$C:$C,RaceResults!$A:$A,$A51,RaceResults!$D:$D,F51))</f>
        <v>7</v>
      </c>
      <c r="J51" s="11">
        <f>IF(D51="","",SUMIFS(RaceResults!$E:$E,RaceResults!$A:$A,$A51,RaceResults!$D:$D,D51))</f>
        <v>24</v>
      </c>
      <c r="K51" s="11">
        <f>IF(E51="","",SUMIFS(RaceResults!$E:$E,RaceResults!$A:$A,$A51,RaceResults!$D:$D,E51))</f>
        <v>28</v>
      </c>
      <c r="L51" s="11">
        <f>IF(F51="","",SUMIFS(RaceResults!$E:$E,RaceResults!$A:$A,$A51,RaceResults!$D:$D,F51))</f>
        <v>30</v>
      </c>
      <c r="M51" s="11">
        <f t="shared" si="0"/>
        <v>82</v>
      </c>
    </row>
    <row r="52" spans="1:13" x14ac:dyDescent="0.3">
      <c r="A52" s="9">
        <v>6</v>
      </c>
      <c r="B52" s="9" t="s">
        <v>59</v>
      </c>
      <c r="C52" s="10" t="s">
        <v>21</v>
      </c>
      <c r="D52" s="3">
        <v>5</v>
      </c>
      <c r="E52" s="3">
        <v>45</v>
      </c>
      <c r="F52" s="3">
        <v>12</v>
      </c>
      <c r="G52" s="11">
        <f>IF(D52="","",SUMIFS(RaceResults!$C:$C,RaceResults!$A:$A,$A52,RaceResults!$D:$D,D52))</f>
        <v>32</v>
      </c>
      <c r="H52" s="11">
        <f>IF(E52="","",SUMIFS(RaceResults!$C:$C,RaceResults!$A:$A,$A52,RaceResults!$D:$D,E52))</f>
        <v>1</v>
      </c>
      <c r="I52" s="11">
        <f>IF(F52="","",SUMIFS(RaceResults!$C:$C,RaceResults!$A:$A,$A52,RaceResults!$D:$D,F52))</f>
        <v>3</v>
      </c>
      <c r="J52" s="11">
        <f>IF(D52="","",SUMIFS(RaceResults!$E:$E,RaceResults!$A:$A,$A52,RaceResults!$D:$D,D52))</f>
        <v>5</v>
      </c>
      <c r="K52" s="11">
        <f>IF(E52="","",SUMIFS(RaceResults!$E:$E,RaceResults!$A:$A,$A52,RaceResults!$D:$D,E52))</f>
        <v>55</v>
      </c>
      <c r="L52" s="11">
        <f>IF(F52="","",SUMIFS(RaceResults!$E:$E,RaceResults!$A:$A,$A52,RaceResults!$D:$D,F52))</f>
        <v>34</v>
      </c>
      <c r="M52" s="11">
        <f t="shared" si="0"/>
        <v>94</v>
      </c>
    </row>
    <row r="53" spans="1:13" x14ac:dyDescent="0.3">
      <c r="A53" s="9">
        <v>6</v>
      </c>
      <c r="B53" s="9" t="s">
        <v>59</v>
      </c>
      <c r="C53" s="10" t="s">
        <v>22</v>
      </c>
      <c r="D53" s="3">
        <v>22</v>
      </c>
      <c r="E53" s="3">
        <v>11</v>
      </c>
      <c r="F53" s="3">
        <v>5</v>
      </c>
      <c r="G53" s="11">
        <f>IF(D53="","",SUMIFS(RaceResults!$C:$C,RaceResults!$A:$A,$A53,RaceResults!$D:$D,D53))</f>
        <v>33</v>
      </c>
      <c r="H53" s="11">
        <f>IF(E53="","",SUMIFS(RaceResults!$C:$C,RaceResults!$A:$A,$A53,RaceResults!$D:$D,E53))</f>
        <v>11</v>
      </c>
      <c r="I53" s="11">
        <f>IF(F53="","",SUMIFS(RaceResults!$C:$C,RaceResults!$A:$A,$A53,RaceResults!$D:$D,F53))</f>
        <v>32</v>
      </c>
      <c r="J53" s="11">
        <f>IF(D53="","",SUMIFS(RaceResults!$E:$E,RaceResults!$A:$A,$A53,RaceResults!$D:$D,D53))</f>
        <v>4</v>
      </c>
      <c r="K53" s="11">
        <f>IF(E53="","",SUMIFS(RaceResults!$E:$E,RaceResults!$A:$A,$A53,RaceResults!$D:$D,E53))</f>
        <v>26</v>
      </c>
      <c r="L53" s="11">
        <f>IF(F53="","",SUMIFS(RaceResults!$E:$E,RaceResults!$A:$A,$A53,RaceResults!$D:$D,F53))</f>
        <v>5</v>
      </c>
      <c r="M53" s="11">
        <f t="shared" si="0"/>
        <v>35</v>
      </c>
    </row>
    <row r="54" spans="1:13" x14ac:dyDescent="0.3">
      <c r="A54" s="9">
        <v>6</v>
      </c>
      <c r="B54" s="9" t="s">
        <v>59</v>
      </c>
      <c r="C54" s="10" t="s">
        <v>25</v>
      </c>
      <c r="D54" s="3">
        <v>9</v>
      </c>
      <c r="E54" s="3">
        <v>11</v>
      </c>
      <c r="F54" s="3">
        <v>12</v>
      </c>
      <c r="G54" s="11">
        <f>IF(D54="","",SUMIFS(RaceResults!$C:$C,RaceResults!$A:$A,$A54,RaceResults!$D:$D,D54))</f>
        <v>15</v>
      </c>
      <c r="H54" s="11">
        <f>IF(E54="","",SUMIFS(RaceResults!$C:$C,RaceResults!$A:$A,$A54,RaceResults!$D:$D,E54))</f>
        <v>11</v>
      </c>
      <c r="I54" s="11">
        <f>IF(F54="","",SUMIFS(RaceResults!$C:$C,RaceResults!$A:$A,$A54,RaceResults!$D:$D,F54))</f>
        <v>3</v>
      </c>
      <c r="J54" s="11">
        <f>IF(D54="","",SUMIFS(RaceResults!$E:$E,RaceResults!$A:$A,$A54,RaceResults!$D:$D,D54))</f>
        <v>22</v>
      </c>
      <c r="K54" s="11">
        <f>IF(E54="","",SUMIFS(RaceResults!$E:$E,RaceResults!$A:$A,$A54,RaceResults!$D:$D,E54))</f>
        <v>26</v>
      </c>
      <c r="L54" s="11">
        <f>IF(F54="","",SUMIFS(RaceResults!$E:$E,RaceResults!$A:$A,$A54,RaceResults!$D:$D,F54))</f>
        <v>34</v>
      </c>
      <c r="M54" s="11">
        <f t="shared" si="0"/>
        <v>82</v>
      </c>
    </row>
    <row r="55" spans="1:13" x14ac:dyDescent="0.3">
      <c r="A55" s="9">
        <v>6</v>
      </c>
      <c r="B55" s="9" t="s">
        <v>59</v>
      </c>
      <c r="C55" s="10" t="s">
        <v>26</v>
      </c>
      <c r="D55" s="3">
        <v>11</v>
      </c>
      <c r="E55" s="3">
        <v>12</v>
      </c>
      <c r="F55" s="3">
        <v>45</v>
      </c>
      <c r="G55" s="11">
        <f>IF(D55="","",SUMIFS(RaceResults!$C:$C,RaceResults!$A:$A,$A55,RaceResults!$D:$D,D55))</f>
        <v>11</v>
      </c>
      <c r="H55" s="11">
        <f>IF(E55="","",SUMIFS(RaceResults!$C:$C,RaceResults!$A:$A,$A55,RaceResults!$D:$D,E55))</f>
        <v>3</v>
      </c>
      <c r="I55" s="11">
        <f>IF(F55="","",SUMIFS(RaceResults!$C:$C,RaceResults!$A:$A,$A55,RaceResults!$D:$D,F55))</f>
        <v>1</v>
      </c>
      <c r="J55" s="11">
        <f>IF(D55="","",SUMIFS(RaceResults!$E:$E,RaceResults!$A:$A,$A55,RaceResults!$D:$D,D55))</f>
        <v>26</v>
      </c>
      <c r="K55" s="11">
        <f>IF(E55="","",SUMIFS(RaceResults!$E:$E,RaceResults!$A:$A,$A55,RaceResults!$D:$D,E55))</f>
        <v>34</v>
      </c>
      <c r="L55" s="11">
        <f>IF(F55="","",SUMIFS(RaceResults!$E:$E,RaceResults!$A:$A,$A55,RaceResults!$D:$D,F55))</f>
        <v>55</v>
      </c>
      <c r="M55" s="11">
        <f t="shared" si="0"/>
        <v>115</v>
      </c>
    </row>
    <row r="56" spans="1:13" x14ac:dyDescent="0.3">
      <c r="A56" s="9">
        <v>6</v>
      </c>
      <c r="B56" s="9" t="s">
        <v>59</v>
      </c>
      <c r="C56" s="10" t="s">
        <v>27</v>
      </c>
      <c r="D56" s="3">
        <v>5</v>
      </c>
      <c r="E56" s="3">
        <v>11</v>
      </c>
      <c r="F56" s="3">
        <v>24</v>
      </c>
      <c r="G56" s="11">
        <f>IF(D56="","",SUMIFS(RaceResults!$C:$C,RaceResults!$A:$A,$A56,RaceResults!$D:$D,D56))</f>
        <v>32</v>
      </c>
      <c r="H56" s="11">
        <f>IF(E56="","",SUMIFS(RaceResults!$C:$C,RaceResults!$A:$A,$A56,RaceResults!$D:$D,E56))</f>
        <v>11</v>
      </c>
      <c r="I56" s="11">
        <f>IF(F56="","",SUMIFS(RaceResults!$C:$C,RaceResults!$A:$A,$A56,RaceResults!$D:$D,F56))</f>
        <v>8</v>
      </c>
      <c r="J56" s="11">
        <f>IF(D56="","",SUMIFS(RaceResults!$E:$E,RaceResults!$A:$A,$A56,RaceResults!$D:$D,D56))</f>
        <v>5</v>
      </c>
      <c r="K56" s="11">
        <f>IF(E56="","",SUMIFS(RaceResults!$E:$E,RaceResults!$A:$A,$A56,RaceResults!$D:$D,E56))</f>
        <v>26</v>
      </c>
      <c r="L56" s="11">
        <f>IF(F56="","",SUMIFS(RaceResults!$E:$E,RaceResults!$A:$A,$A56,RaceResults!$D:$D,F56))</f>
        <v>29</v>
      </c>
      <c r="M56" s="11">
        <f t="shared" si="0"/>
        <v>60</v>
      </c>
    </row>
    <row r="57" spans="1:13" x14ac:dyDescent="0.3">
      <c r="A57" s="9">
        <v>6</v>
      </c>
      <c r="B57" s="9" t="s">
        <v>59</v>
      </c>
      <c r="C57" s="10" t="s">
        <v>28</v>
      </c>
      <c r="D57" s="3">
        <v>45</v>
      </c>
      <c r="E57" s="3">
        <v>11</v>
      </c>
      <c r="F57" s="3">
        <v>17</v>
      </c>
      <c r="G57" s="11">
        <f>IF(D57="","",SUMIFS(RaceResults!$C:$C,RaceResults!$A:$A,$A57,RaceResults!$D:$D,D57))</f>
        <v>1</v>
      </c>
      <c r="H57" s="11">
        <f>IF(E57="","",SUMIFS(RaceResults!$C:$C,RaceResults!$A:$A,$A57,RaceResults!$D:$D,E57))</f>
        <v>11</v>
      </c>
      <c r="I57" s="11">
        <f>IF(F57="","",SUMIFS(RaceResults!$C:$C,RaceResults!$A:$A,$A57,RaceResults!$D:$D,F57))</f>
        <v>9</v>
      </c>
      <c r="J57" s="11">
        <f>IF(D57="","",SUMIFS(RaceResults!$E:$E,RaceResults!$A:$A,$A57,RaceResults!$D:$D,D57))</f>
        <v>55</v>
      </c>
      <c r="K57" s="11">
        <f>IF(E57="","",SUMIFS(RaceResults!$E:$E,RaceResults!$A:$A,$A57,RaceResults!$D:$D,E57))</f>
        <v>26</v>
      </c>
      <c r="L57" s="11">
        <f>IF(F57="","",SUMIFS(RaceResults!$E:$E,RaceResults!$A:$A,$A57,RaceResults!$D:$D,F57))</f>
        <v>28</v>
      </c>
      <c r="M57" s="11">
        <f t="shared" si="0"/>
        <v>109</v>
      </c>
    </row>
    <row r="58" spans="1:13" x14ac:dyDescent="0.3">
      <c r="A58" s="9">
        <v>6</v>
      </c>
      <c r="B58" s="9" t="s">
        <v>59</v>
      </c>
      <c r="C58" s="10" t="s">
        <v>29</v>
      </c>
      <c r="D58" s="3"/>
      <c r="E58" s="3"/>
      <c r="F58" s="3"/>
      <c r="G58" s="11" t="str">
        <f>IF(D58="","",SUMIFS(RaceResults!$C:$C,RaceResults!$A:$A,$A58,RaceResults!$D:$D,D58))</f>
        <v/>
      </c>
      <c r="H58" s="11" t="str">
        <f>IF(E58="","",SUMIFS(RaceResults!$C:$C,RaceResults!$A:$A,$A58,RaceResults!$D:$D,E58))</f>
        <v/>
      </c>
      <c r="I58" s="11" t="str">
        <f>IF(F58="","",SUMIFS(RaceResults!$C:$C,RaceResults!$A:$A,$A58,RaceResults!$D:$D,F58))</f>
        <v/>
      </c>
      <c r="J58" s="11" t="str">
        <f>IF(D58="","",SUMIFS(RaceResults!$E:$E,RaceResults!$A:$A,$A58,RaceResults!$D:$D,D58))</f>
        <v/>
      </c>
      <c r="K58" s="11" t="str">
        <f>IF(E58="","",SUMIFS(RaceResults!$E:$E,RaceResults!$A:$A,$A58,RaceResults!$D:$D,E58))</f>
        <v/>
      </c>
      <c r="L58" s="11" t="str">
        <f>IF(F58="","",SUMIFS(RaceResults!$E:$E,RaceResults!$A:$A,$A58,RaceResults!$D:$D,F58))</f>
        <v/>
      </c>
      <c r="M58" s="11">
        <f t="shared" si="0"/>
        <v>0</v>
      </c>
    </row>
    <row r="59" spans="1:13" x14ac:dyDescent="0.3">
      <c r="A59" s="9">
        <v>6</v>
      </c>
      <c r="B59" s="9" t="s">
        <v>59</v>
      </c>
      <c r="C59" s="10" t="s">
        <v>30</v>
      </c>
      <c r="D59" s="3"/>
      <c r="E59" s="3"/>
      <c r="F59" s="3"/>
      <c r="G59" s="11" t="str">
        <f>IF(D59="","",SUMIFS(RaceResults!$C:$C,RaceResults!$A:$A,$A59,RaceResults!$D:$D,D59))</f>
        <v/>
      </c>
      <c r="H59" s="11" t="str">
        <f>IF(E59="","",SUMIFS(RaceResults!$C:$C,RaceResults!$A:$A,$A59,RaceResults!$D:$D,E59))</f>
        <v/>
      </c>
      <c r="I59" s="11" t="str">
        <f>IF(F59="","",SUMIFS(RaceResults!$C:$C,RaceResults!$A:$A,$A59,RaceResults!$D:$D,F59))</f>
        <v/>
      </c>
      <c r="J59" s="11" t="str">
        <f>IF(D59="","",SUMIFS(RaceResults!$E:$E,RaceResults!$A:$A,$A59,RaceResults!$D:$D,D59))</f>
        <v/>
      </c>
      <c r="K59" s="11" t="str">
        <f>IF(E59="","",SUMIFS(RaceResults!$E:$E,RaceResults!$A:$A,$A59,RaceResults!$D:$D,E59))</f>
        <v/>
      </c>
      <c r="L59" s="11" t="str">
        <f>IF(F59="","",SUMIFS(RaceResults!$E:$E,RaceResults!$A:$A,$A59,RaceResults!$D:$D,F59))</f>
        <v/>
      </c>
      <c r="M59" s="11">
        <f t="shared" si="0"/>
        <v>0</v>
      </c>
    </row>
    <row r="60" spans="1:13" x14ac:dyDescent="0.3">
      <c r="A60" s="9">
        <v>6</v>
      </c>
      <c r="B60" s="9" t="s">
        <v>59</v>
      </c>
      <c r="C60" s="10" t="s">
        <v>31</v>
      </c>
      <c r="D60" s="3">
        <v>45</v>
      </c>
      <c r="E60" s="3">
        <v>11</v>
      </c>
      <c r="F60" s="3">
        <v>5</v>
      </c>
      <c r="G60" s="11">
        <f>IF(D60="","",SUMIFS(RaceResults!$C:$C,RaceResults!$A:$A,$A60,RaceResults!$D:$D,D60))</f>
        <v>1</v>
      </c>
      <c r="H60" s="11">
        <f>IF(E60="","",SUMIFS(RaceResults!$C:$C,RaceResults!$A:$A,$A60,RaceResults!$D:$D,E60))</f>
        <v>11</v>
      </c>
      <c r="I60" s="11">
        <f>IF(F60="","",SUMIFS(RaceResults!$C:$C,RaceResults!$A:$A,$A60,RaceResults!$D:$D,F60))</f>
        <v>32</v>
      </c>
      <c r="J60" s="11">
        <f>IF(D60="","",SUMIFS(RaceResults!$E:$E,RaceResults!$A:$A,$A60,RaceResults!$D:$D,D60))</f>
        <v>55</v>
      </c>
      <c r="K60" s="11">
        <f>IF(E60="","",SUMIFS(RaceResults!$E:$E,RaceResults!$A:$A,$A60,RaceResults!$D:$D,E60))</f>
        <v>26</v>
      </c>
      <c r="L60" s="11">
        <f>IF(F60="","",SUMIFS(RaceResults!$E:$E,RaceResults!$A:$A,$A60,RaceResults!$D:$D,F60))</f>
        <v>5</v>
      </c>
      <c r="M60" s="11">
        <f t="shared" si="0"/>
        <v>86</v>
      </c>
    </row>
    <row r="61" spans="1:13" x14ac:dyDescent="0.3">
      <c r="A61" s="9">
        <v>6</v>
      </c>
      <c r="B61" s="9" t="s">
        <v>59</v>
      </c>
      <c r="C61" s="10" t="s">
        <v>32</v>
      </c>
      <c r="D61" s="3">
        <v>11</v>
      </c>
      <c r="E61" s="3">
        <v>54</v>
      </c>
      <c r="F61" s="3">
        <v>45</v>
      </c>
      <c r="G61" s="11">
        <f>IF(D61="","",SUMIFS(RaceResults!$C:$C,RaceResults!$A:$A,$A61,RaceResults!$D:$D,D61))</f>
        <v>11</v>
      </c>
      <c r="H61" s="11">
        <f>IF(E61="","",SUMIFS(RaceResults!$C:$C,RaceResults!$A:$A,$A61,RaceResults!$D:$D,E61))</f>
        <v>6</v>
      </c>
      <c r="I61" s="11">
        <f>IF(F61="","",SUMIFS(RaceResults!$C:$C,RaceResults!$A:$A,$A61,RaceResults!$D:$D,F61))</f>
        <v>1</v>
      </c>
      <c r="J61" s="11">
        <f>IF(D61="","",SUMIFS(RaceResults!$E:$E,RaceResults!$A:$A,$A61,RaceResults!$D:$D,D61))</f>
        <v>26</v>
      </c>
      <c r="K61" s="11">
        <f>IF(E61="","",SUMIFS(RaceResults!$E:$E,RaceResults!$A:$A,$A61,RaceResults!$D:$D,E61))</f>
        <v>31</v>
      </c>
      <c r="L61" s="11">
        <f>IF(F61="","",SUMIFS(RaceResults!$E:$E,RaceResults!$A:$A,$A61,RaceResults!$D:$D,F61))</f>
        <v>55</v>
      </c>
      <c r="M61" s="11">
        <f t="shared" si="0"/>
        <v>112</v>
      </c>
    </row>
    <row r="62" spans="1:13" x14ac:dyDescent="0.3">
      <c r="A62" s="9">
        <v>7</v>
      </c>
      <c r="B62" s="9" t="s">
        <v>61</v>
      </c>
      <c r="C62" s="10" t="s">
        <v>21</v>
      </c>
      <c r="D62" s="3">
        <v>5</v>
      </c>
      <c r="E62" s="3">
        <v>11</v>
      </c>
      <c r="F62" s="3">
        <v>77</v>
      </c>
      <c r="G62" s="11">
        <f>IF(D62="","",SUMIFS(RaceResults!$C:$C,RaceResults!$A:$A,$A62,RaceResults!$D:$D,D62))</f>
        <v>9</v>
      </c>
      <c r="H62" s="11">
        <f>IF(E62="","",SUMIFS(RaceResults!$C:$C,RaceResults!$A:$A,$A62,RaceResults!$D:$D,E62))</f>
        <v>2</v>
      </c>
      <c r="I62" s="11">
        <f>IF(F62="","",SUMIFS(RaceResults!$C:$C,RaceResults!$A:$A,$A62,RaceResults!$D:$D,F62))</f>
        <v>17</v>
      </c>
      <c r="J62" s="11">
        <f>IF(D62="","",SUMIFS(RaceResults!$E:$E,RaceResults!$A:$A,$A62,RaceResults!$D:$D,D62))</f>
        <v>28</v>
      </c>
      <c r="K62" s="11">
        <f>IF(E62="","",SUMIFS(RaceResults!$E:$E,RaceResults!$A:$A,$A62,RaceResults!$D:$D,E62))</f>
        <v>35</v>
      </c>
      <c r="L62" s="11">
        <f>IF(F62="","",SUMIFS(RaceResults!$E:$E,RaceResults!$A:$A,$A62,RaceResults!$D:$D,F62))</f>
        <v>20</v>
      </c>
      <c r="M62" s="11">
        <f t="shared" si="0"/>
        <v>83</v>
      </c>
    </row>
    <row r="63" spans="1:13" x14ac:dyDescent="0.3">
      <c r="A63" s="9">
        <v>7</v>
      </c>
      <c r="B63" s="9" t="s">
        <v>61</v>
      </c>
      <c r="C63" s="10" t="s">
        <v>22</v>
      </c>
      <c r="D63" s="3">
        <v>11</v>
      </c>
      <c r="E63" s="3">
        <v>24</v>
      </c>
      <c r="F63" s="3">
        <v>97</v>
      </c>
      <c r="G63" s="11">
        <f>IF(D63="","",SUMIFS(RaceResults!$C:$C,RaceResults!$A:$A,$A63,RaceResults!$D:$D,D63))</f>
        <v>2</v>
      </c>
      <c r="H63" s="11">
        <f>IF(E63="","",SUMIFS(RaceResults!$C:$C,RaceResults!$A:$A,$A63,RaceResults!$D:$D,E63))</f>
        <v>5</v>
      </c>
      <c r="I63" s="11">
        <f>IF(F63="","",SUMIFS(RaceResults!$C:$C,RaceResults!$A:$A,$A63,RaceResults!$D:$D,F63))</f>
        <v>11</v>
      </c>
      <c r="J63" s="11">
        <f>IF(D63="","",SUMIFS(RaceResults!$E:$E,RaceResults!$A:$A,$A63,RaceResults!$D:$D,D63))</f>
        <v>35</v>
      </c>
      <c r="K63" s="11">
        <f>IF(E63="","",SUMIFS(RaceResults!$E:$E,RaceResults!$A:$A,$A63,RaceResults!$D:$D,E63))</f>
        <v>32</v>
      </c>
      <c r="L63" s="11">
        <f>IF(F63="","",SUMIFS(RaceResults!$E:$E,RaceResults!$A:$A,$A63,RaceResults!$D:$D,F63))</f>
        <v>26</v>
      </c>
      <c r="M63" s="11">
        <f t="shared" si="0"/>
        <v>93</v>
      </c>
    </row>
    <row r="64" spans="1:13" x14ac:dyDescent="0.3">
      <c r="A64" s="9">
        <v>7</v>
      </c>
      <c r="B64" s="9" t="s">
        <v>61</v>
      </c>
      <c r="C64" s="10" t="s">
        <v>25</v>
      </c>
      <c r="D64" s="3">
        <v>11</v>
      </c>
      <c r="E64" s="3">
        <v>24</v>
      </c>
      <c r="F64" s="3">
        <v>9</v>
      </c>
      <c r="G64" s="11">
        <f>IF(D64="","",SUMIFS(RaceResults!$C:$C,RaceResults!$A:$A,$A64,RaceResults!$D:$D,D64))</f>
        <v>2</v>
      </c>
      <c r="H64" s="11">
        <f>IF(E64="","",SUMIFS(RaceResults!$C:$C,RaceResults!$A:$A,$A64,RaceResults!$D:$D,E64))</f>
        <v>5</v>
      </c>
      <c r="I64" s="11">
        <f>IF(F64="","",SUMIFS(RaceResults!$C:$C,RaceResults!$A:$A,$A64,RaceResults!$D:$D,F64))</f>
        <v>1</v>
      </c>
      <c r="J64" s="11">
        <f>IF(D64="","",SUMIFS(RaceResults!$E:$E,RaceResults!$A:$A,$A64,RaceResults!$D:$D,D64))</f>
        <v>35</v>
      </c>
      <c r="K64" s="11">
        <f>IF(E64="","",SUMIFS(RaceResults!$E:$E,RaceResults!$A:$A,$A64,RaceResults!$D:$D,E64))</f>
        <v>32</v>
      </c>
      <c r="L64" s="11">
        <f>IF(F64="","",SUMIFS(RaceResults!$E:$E,RaceResults!$A:$A,$A64,RaceResults!$D:$D,F64))</f>
        <v>55</v>
      </c>
      <c r="M64" s="11">
        <f t="shared" si="0"/>
        <v>122</v>
      </c>
    </row>
    <row r="65" spans="1:13" x14ac:dyDescent="0.3">
      <c r="A65" s="9">
        <v>7</v>
      </c>
      <c r="B65" s="9" t="s">
        <v>61</v>
      </c>
      <c r="C65" s="10" t="s">
        <v>26</v>
      </c>
      <c r="D65" s="3">
        <v>11</v>
      </c>
      <c r="E65" s="3">
        <v>12</v>
      </c>
      <c r="F65" s="3">
        <v>97</v>
      </c>
      <c r="G65" s="11">
        <f>IF(D65="","",SUMIFS(RaceResults!$C:$C,RaceResults!$A:$A,$A65,RaceResults!$D:$D,D65))</f>
        <v>2</v>
      </c>
      <c r="H65" s="11">
        <f>IF(E65="","",SUMIFS(RaceResults!$C:$C,RaceResults!$A:$A,$A65,RaceResults!$D:$D,E65))</f>
        <v>6</v>
      </c>
      <c r="I65" s="11">
        <f>IF(F65="","",SUMIFS(RaceResults!$C:$C,RaceResults!$A:$A,$A65,RaceResults!$D:$D,F65))</f>
        <v>11</v>
      </c>
      <c r="J65" s="11">
        <f>IF(D65="","",SUMIFS(RaceResults!$E:$E,RaceResults!$A:$A,$A65,RaceResults!$D:$D,D65))</f>
        <v>35</v>
      </c>
      <c r="K65" s="11">
        <f>IF(E65="","",SUMIFS(RaceResults!$E:$E,RaceResults!$A:$A,$A65,RaceResults!$D:$D,E65))</f>
        <v>31</v>
      </c>
      <c r="L65" s="11">
        <f>IF(F65="","",SUMIFS(RaceResults!$E:$E,RaceResults!$A:$A,$A65,RaceResults!$D:$D,F65))</f>
        <v>26</v>
      </c>
      <c r="M65" s="11">
        <f t="shared" si="0"/>
        <v>92</v>
      </c>
    </row>
    <row r="66" spans="1:13" x14ac:dyDescent="0.3">
      <c r="A66" s="9">
        <v>7</v>
      </c>
      <c r="B66" s="9" t="s">
        <v>61</v>
      </c>
      <c r="C66" s="10" t="s">
        <v>27</v>
      </c>
      <c r="D66" s="3">
        <v>11</v>
      </c>
      <c r="E66" s="3">
        <v>45</v>
      </c>
      <c r="F66" s="3">
        <v>9</v>
      </c>
      <c r="G66" s="11">
        <f>IF(D66="","",SUMIFS(RaceResults!$C:$C,RaceResults!$A:$A,$A66,RaceResults!$D:$D,D66))</f>
        <v>2</v>
      </c>
      <c r="H66" s="11">
        <f>IF(E66="","",SUMIFS(RaceResults!$C:$C,RaceResults!$A:$A,$A66,RaceResults!$D:$D,E66))</f>
        <v>15</v>
      </c>
      <c r="I66" s="11">
        <f>IF(F66="","",SUMIFS(RaceResults!$C:$C,RaceResults!$A:$A,$A66,RaceResults!$D:$D,F66))</f>
        <v>1</v>
      </c>
      <c r="J66" s="11">
        <f>IF(D66="","",SUMIFS(RaceResults!$E:$E,RaceResults!$A:$A,$A66,RaceResults!$D:$D,D66))</f>
        <v>35</v>
      </c>
      <c r="K66" s="11">
        <f>IF(E66="","",SUMIFS(RaceResults!$E:$E,RaceResults!$A:$A,$A66,RaceResults!$D:$D,E66))</f>
        <v>22</v>
      </c>
      <c r="L66" s="11">
        <f>IF(F66="","",SUMIFS(RaceResults!$E:$E,RaceResults!$A:$A,$A66,RaceResults!$D:$D,F66))</f>
        <v>55</v>
      </c>
      <c r="M66" s="11">
        <f t="shared" ref="M66:M129" si="1">SUM(J66:L66)</f>
        <v>112</v>
      </c>
    </row>
    <row r="67" spans="1:13" x14ac:dyDescent="0.3">
      <c r="A67" s="9">
        <v>7</v>
      </c>
      <c r="B67" s="9" t="s">
        <v>61</v>
      </c>
      <c r="C67" s="10" t="s">
        <v>28</v>
      </c>
      <c r="D67" s="3">
        <v>11</v>
      </c>
      <c r="E67" s="3">
        <v>12</v>
      </c>
      <c r="F67" s="3">
        <v>20</v>
      </c>
      <c r="G67" s="11">
        <f>IF(D67="","",SUMIFS(RaceResults!$C:$C,RaceResults!$A:$A,$A67,RaceResults!$D:$D,D67))</f>
        <v>2</v>
      </c>
      <c r="H67" s="11">
        <f>IF(E67="","",SUMIFS(RaceResults!$C:$C,RaceResults!$A:$A,$A67,RaceResults!$D:$D,E67))</f>
        <v>6</v>
      </c>
      <c r="I67" s="11">
        <f>IF(F67="","",SUMIFS(RaceResults!$C:$C,RaceResults!$A:$A,$A67,RaceResults!$D:$D,F67))</f>
        <v>7</v>
      </c>
      <c r="J67" s="11">
        <f>IF(D67="","",SUMIFS(RaceResults!$E:$E,RaceResults!$A:$A,$A67,RaceResults!$D:$D,D67))</f>
        <v>35</v>
      </c>
      <c r="K67" s="11">
        <f>IF(E67="","",SUMIFS(RaceResults!$E:$E,RaceResults!$A:$A,$A67,RaceResults!$D:$D,E67))</f>
        <v>31</v>
      </c>
      <c r="L67" s="11">
        <f>IF(F67="","",SUMIFS(RaceResults!$E:$E,RaceResults!$A:$A,$A67,RaceResults!$D:$D,F67))</f>
        <v>30</v>
      </c>
      <c r="M67" s="11">
        <f t="shared" si="1"/>
        <v>96</v>
      </c>
    </row>
    <row r="68" spans="1:13" x14ac:dyDescent="0.3">
      <c r="A68" s="9">
        <v>7</v>
      </c>
      <c r="B68" s="9" t="s">
        <v>61</v>
      </c>
      <c r="C68" s="10" t="s">
        <v>29</v>
      </c>
      <c r="D68" s="3">
        <v>24</v>
      </c>
      <c r="E68" s="3">
        <v>9</v>
      </c>
      <c r="F68" s="3">
        <v>5</v>
      </c>
      <c r="G68" s="11">
        <f>IF(D68="","",SUMIFS(RaceResults!$C:$C,RaceResults!$A:$A,$A68,RaceResults!$D:$D,D68))</f>
        <v>5</v>
      </c>
      <c r="H68" s="11">
        <f>IF(E68="","",SUMIFS(RaceResults!$C:$C,RaceResults!$A:$A,$A68,RaceResults!$D:$D,E68))</f>
        <v>1</v>
      </c>
      <c r="I68" s="11">
        <f>IF(F68="","",SUMIFS(RaceResults!$C:$C,RaceResults!$A:$A,$A68,RaceResults!$D:$D,F68))</f>
        <v>9</v>
      </c>
      <c r="J68" s="11">
        <f>IF(D68="","",SUMIFS(RaceResults!$E:$E,RaceResults!$A:$A,$A68,RaceResults!$D:$D,D68))</f>
        <v>32</v>
      </c>
      <c r="K68" s="11">
        <f>IF(E68="","",SUMIFS(RaceResults!$E:$E,RaceResults!$A:$A,$A68,RaceResults!$D:$D,E68))</f>
        <v>55</v>
      </c>
      <c r="L68" s="11">
        <f>IF(F68="","",SUMIFS(RaceResults!$E:$E,RaceResults!$A:$A,$A68,RaceResults!$D:$D,F68))</f>
        <v>28</v>
      </c>
      <c r="M68" s="11">
        <f t="shared" si="1"/>
        <v>115</v>
      </c>
    </row>
    <row r="69" spans="1:13" x14ac:dyDescent="0.3">
      <c r="A69" s="9">
        <v>7</v>
      </c>
      <c r="B69" s="9" t="s">
        <v>61</v>
      </c>
      <c r="C69" s="10" t="s">
        <v>30</v>
      </c>
      <c r="D69" s="3"/>
      <c r="E69" s="3"/>
      <c r="F69" s="3"/>
      <c r="G69" s="11" t="str">
        <f>IF(D69="","",SUMIFS(RaceResults!$C:$C,RaceResults!$A:$A,$A69,RaceResults!$D:$D,D69))</f>
        <v/>
      </c>
      <c r="H69" s="11" t="str">
        <f>IF(E69="","",SUMIFS(RaceResults!$C:$C,RaceResults!$A:$A,$A69,RaceResults!$D:$D,E69))</f>
        <v/>
      </c>
      <c r="I69" s="11" t="str">
        <f>IF(F69="","",SUMIFS(RaceResults!$C:$C,RaceResults!$A:$A,$A69,RaceResults!$D:$D,F69))</f>
        <v/>
      </c>
      <c r="J69" s="11" t="str">
        <f>IF(D69="","",SUMIFS(RaceResults!$E:$E,RaceResults!$A:$A,$A69,RaceResults!$D:$D,D69))</f>
        <v/>
      </c>
      <c r="K69" s="11" t="str">
        <f>IF(E69="","",SUMIFS(RaceResults!$E:$E,RaceResults!$A:$A,$A69,RaceResults!$D:$D,E69))</f>
        <v/>
      </c>
      <c r="L69" s="11" t="str">
        <f>IF(F69="","",SUMIFS(RaceResults!$E:$E,RaceResults!$A:$A,$A69,RaceResults!$D:$D,F69))</f>
        <v/>
      </c>
      <c r="M69" s="11">
        <f t="shared" si="1"/>
        <v>0</v>
      </c>
    </row>
    <row r="70" spans="1:13" x14ac:dyDescent="0.3">
      <c r="A70" s="9">
        <v>7</v>
      </c>
      <c r="B70" s="9" t="s">
        <v>61</v>
      </c>
      <c r="C70" s="10" t="s">
        <v>31</v>
      </c>
      <c r="D70" s="3">
        <v>24</v>
      </c>
      <c r="E70" s="3">
        <v>12</v>
      </c>
      <c r="F70" s="3">
        <v>11</v>
      </c>
      <c r="G70" s="11">
        <f>IF(D70="","",SUMIFS(RaceResults!$C:$C,RaceResults!$A:$A,$A70,RaceResults!$D:$D,D70))</f>
        <v>5</v>
      </c>
      <c r="H70" s="11">
        <f>IF(E70="","",SUMIFS(RaceResults!$C:$C,RaceResults!$A:$A,$A70,RaceResults!$D:$D,E70))</f>
        <v>6</v>
      </c>
      <c r="I70" s="11">
        <f>IF(F70="","",SUMIFS(RaceResults!$C:$C,RaceResults!$A:$A,$A70,RaceResults!$D:$D,F70))</f>
        <v>2</v>
      </c>
      <c r="J70" s="11">
        <f>IF(D70="","",SUMIFS(RaceResults!$E:$E,RaceResults!$A:$A,$A70,RaceResults!$D:$D,D70))</f>
        <v>32</v>
      </c>
      <c r="K70" s="11">
        <f>IF(E70="","",SUMIFS(RaceResults!$E:$E,RaceResults!$A:$A,$A70,RaceResults!$D:$D,E70))</f>
        <v>31</v>
      </c>
      <c r="L70" s="11">
        <f>IF(F70="","",SUMIFS(RaceResults!$E:$E,RaceResults!$A:$A,$A70,RaceResults!$D:$D,F70))</f>
        <v>35</v>
      </c>
      <c r="M70" s="11">
        <f t="shared" si="1"/>
        <v>98</v>
      </c>
    </row>
    <row r="71" spans="1:13" x14ac:dyDescent="0.3">
      <c r="A71" s="9">
        <v>7</v>
      </c>
      <c r="B71" s="9" t="s">
        <v>61</v>
      </c>
      <c r="C71" s="10" t="s">
        <v>32</v>
      </c>
      <c r="D71" s="3">
        <v>11</v>
      </c>
      <c r="E71" s="3">
        <v>23</v>
      </c>
      <c r="F71" s="3">
        <v>24</v>
      </c>
      <c r="G71" s="11">
        <f>IF(D71="","",SUMIFS(RaceResults!$C:$C,RaceResults!$A:$A,$A71,RaceResults!$D:$D,D71))</f>
        <v>2</v>
      </c>
      <c r="H71" s="11">
        <f>IF(E71="","",SUMIFS(RaceResults!$C:$C,RaceResults!$A:$A,$A71,RaceResults!$D:$D,E71))</f>
        <v>36</v>
      </c>
      <c r="I71" s="11">
        <f>IF(F71="","",SUMIFS(RaceResults!$C:$C,RaceResults!$A:$A,$A71,RaceResults!$D:$D,F71))</f>
        <v>5</v>
      </c>
      <c r="J71" s="11">
        <f>IF(D71="","",SUMIFS(RaceResults!$E:$E,RaceResults!$A:$A,$A71,RaceResults!$D:$D,D71))</f>
        <v>35</v>
      </c>
      <c r="K71" s="11">
        <f>IF(E71="","",SUMIFS(RaceResults!$E:$E,RaceResults!$A:$A,$A71,RaceResults!$D:$D,E71))</f>
        <v>1</v>
      </c>
      <c r="L71" s="11">
        <f>IF(F71="","",SUMIFS(RaceResults!$E:$E,RaceResults!$A:$A,$A71,RaceResults!$D:$D,F71))</f>
        <v>32</v>
      </c>
      <c r="M71" s="11">
        <f t="shared" si="1"/>
        <v>68</v>
      </c>
    </row>
    <row r="72" spans="1:13" x14ac:dyDescent="0.3">
      <c r="A72" s="9">
        <v>8</v>
      </c>
      <c r="B72" s="9" t="s">
        <v>63</v>
      </c>
      <c r="C72" s="10" t="s">
        <v>21</v>
      </c>
      <c r="D72" s="3">
        <v>5</v>
      </c>
      <c r="E72" s="3">
        <v>12</v>
      </c>
      <c r="F72" s="3">
        <v>45</v>
      </c>
      <c r="G72" s="11">
        <f>IF(D72="","",SUMIFS(RaceResults!$C:$C,RaceResults!$A:$A,$A72,RaceResults!$D:$D,D72))</f>
        <v>3</v>
      </c>
      <c r="H72" s="11">
        <f>IF(E72="","",SUMIFS(RaceResults!$C:$C,RaceResults!$A:$A,$A72,RaceResults!$D:$D,E72))</f>
        <v>2</v>
      </c>
      <c r="I72" s="11">
        <f>IF(F72="","",SUMIFS(RaceResults!$C:$C,RaceResults!$A:$A,$A72,RaceResults!$D:$D,F72))</f>
        <v>4</v>
      </c>
      <c r="J72" s="11">
        <f>IF(D72="","",SUMIFS(RaceResults!$E:$E,RaceResults!$A:$A,$A72,RaceResults!$D:$D,D72))</f>
        <v>34</v>
      </c>
      <c r="K72" s="11">
        <f>IF(E72="","",SUMIFS(RaceResults!$E:$E,RaceResults!$A:$A,$A72,RaceResults!$D:$D,E72))</f>
        <v>35</v>
      </c>
      <c r="L72" s="11">
        <f>IF(F72="","",SUMIFS(RaceResults!$E:$E,RaceResults!$A:$A,$A72,RaceResults!$D:$D,F72))</f>
        <v>33</v>
      </c>
      <c r="M72" s="11">
        <f t="shared" si="1"/>
        <v>102</v>
      </c>
    </row>
    <row r="73" spans="1:13" x14ac:dyDescent="0.3">
      <c r="A73" s="9">
        <v>8</v>
      </c>
      <c r="B73" s="9" t="s">
        <v>63</v>
      </c>
      <c r="C73" s="10" t="s">
        <v>22</v>
      </c>
      <c r="D73" s="3">
        <v>5</v>
      </c>
      <c r="E73" s="3">
        <v>45</v>
      </c>
      <c r="F73" s="3">
        <v>11</v>
      </c>
      <c r="G73" s="11">
        <f>IF(D73="","",SUMIFS(RaceResults!$C:$C,RaceResults!$A:$A,$A73,RaceResults!$D:$D,D73))</f>
        <v>3</v>
      </c>
      <c r="H73" s="11">
        <f>IF(E73="","",SUMIFS(RaceResults!$C:$C,RaceResults!$A:$A,$A73,RaceResults!$D:$D,E73))</f>
        <v>4</v>
      </c>
      <c r="I73" s="11">
        <f>IF(F73="","",SUMIFS(RaceResults!$C:$C,RaceResults!$A:$A,$A73,RaceResults!$D:$D,F73))</f>
        <v>9</v>
      </c>
      <c r="J73" s="11">
        <f>IF(D73="","",SUMIFS(RaceResults!$E:$E,RaceResults!$A:$A,$A73,RaceResults!$D:$D,D73))</f>
        <v>34</v>
      </c>
      <c r="K73" s="11">
        <f>IF(E73="","",SUMIFS(RaceResults!$E:$E,RaceResults!$A:$A,$A73,RaceResults!$D:$D,E73))</f>
        <v>33</v>
      </c>
      <c r="L73" s="11">
        <f>IF(F73="","",SUMIFS(RaceResults!$E:$E,RaceResults!$A:$A,$A73,RaceResults!$D:$D,F73))</f>
        <v>28</v>
      </c>
      <c r="M73" s="11">
        <f t="shared" si="1"/>
        <v>95</v>
      </c>
    </row>
    <row r="74" spans="1:13" x14ac:dyDescent="0.3">
      <c r="A74" s="9">
        <v>8</v>
      </c>
      <c r="B74" s="9" t="s">
        <v>63</v>
      </c>
      <c r="C74" s="10" t="s">
        <v>25</v>
      </c>
      <c r="D74" s="3">
        <v>12</v>
      </c>
      <c r="E74" s="3">
        <v>54</v>
      </c>
      <c r="F74" s="3">
        <v>17</v>
      </c>
      <c r="G74" s="11">
        <f>IF(D74="","",SUMIFS(RaceResults!$C:$C,RaceResults!$A:$A,$A74,RaceResults!$D:$D,D74))</f>
        <v>2</v>
      </c>
      <c r="H74" s="11">
        <f>IF(E74="","",SUMIFS(RaceResults!$C:$C,RaceResults!$A:$A,$A74,RaceResults!$D:$D,E74))</f>
        <v>1</v>
      </c>
      <c r="I74" s="11">
        <f>IF(F74="","",SUMIFS(RaceResults!$C:$C,RaceResults!$A:$A,$A74,RaceResults!$D:$D,F74))</f>
        <v>13</v>
      </c>
      <c r="J74" s="11">
        <f>IF(D74="","",SUMIFS(RaceResults!$E:$E,RaceResults!$A:$A,$A74,RaceResults!$D:$D,D74))</f>
        <v>35</v>
      </c>
      <c r="K74" s="11">
        <f>IF(E74="","",SUMIFS(RaceResults!$E:$E,RaceResults!$A:$A,$A74,RaceResults!$D:$D,E74))</f>
        <v>55</v>
      </c>
      <c r="L74" s="11">
        <f>IF(F74="","",SUMIFS(RaceResults!$E:$E,RaceResults!$A:$A,$A74,RaceResults!$D:$D,F74))</f>
        <v>24</v>
      </c>
      <c r="M74" s="11">
        <f t="shared" si="1"/>
        <v>114</v>
      </c>
    </row>
    <row r="75" spans="1:13" x14ac:dyDescent="0.3">
      <c r="A75" s="9">
        <v>8</v>
      </c>
      <c r="B75" s="9" t="s">
        <v>63</v>
      </c>
      <c r="C75" s="10" t="s">
        <v>26</v>
      </c>
      <c r="D75" s="3">
        <v>12</v>
      </c>
      <c r="E75" s="3">
        <v>54</v>
      </c>
      <c r="F75" s="3">
        <v>11</v>
      </c>
      <c r="G75" s="11">
        <f>IF(D75="","",SUMIFS(RaceResults!$C:$C,RaceResults!$A:$A,$A75,RaceResults!$D:$D,D75))</f>
        <v>2</v>
      </c>
      <c r="H75" s="11">
        <f>IF(E75="","",SUMIFS(RaceResults!$C:$C,RaceResults!$A:$A,$A75,RaceResults!$D:$D,E75))</f>
        <v>1</v>
      </c>
      <c r="I75" s="11">
        <f>IF(F75="","",SUMIFS(RaceResults!$C:$C,RaceResults!$A:$A,$A75,RaceResults!$D:$D,F75))</f>
        <v>9</v>
      </c>
      <c r="J75" s="11">
        <f>IF(D75="","",SUMIFS(RaceResults!$E:$E,RaceResults!$A:$A,$A75,RaceResults!$D:$D,D75))</f>
        <v>35</v>
      </c>
      <c r="K75" s="11">
        <f>IF(E75="","",SUMIFS(RaceResults!$E:$E,RaceResults!$A:$A,$A75,RaceResults!$D:$D,E75))</f>
        <v>55</v>
      </c>
      <c r="L75" s="11">
        <f>IF(F75="","",SUMIFS(RaceResults!$E:$E,RaceResults!$A:$A,$A75,RaceResults!$D:$D,F75))</f>
        <v>28</v>
      </c>
      <c r="M75" s="11">
        <f t="shared" si="1"/>
        <v>118</v>
      </c>
    </row>
    <row r="76" spans="1:13" x14ac:dyDescent="0.3">
      <c r="A76" s="9">
        <v>8</v>
      </c>
      <c r="B76" s="9" t="s">
        <v>63</v>
      </c>
      <c r="C76" s="10" t="s">
        <v>27</v>
      </c>
      <c r="D76" s="3">
        <v>5</v>
      </c>
      <c r="E76" s="3">
        <v>22</v>
      </c>
      <c r="F76" s="3">
        <v>20</v>
      </c>
      <c r="G76" s="11">
        <f>IF(D76="","",SUMIFS(RaceResults!$C:$C,RaceResults!$A:$A,$A76,RaceResults!$D:$D,D76))</f>
        <v>3</v>
      </c>
      <c r="H76" s="11">
        <f>IF(E76="","",SUMIFS(RaceResults!$C:$C,RaceResults!$A:$A,$A76,RaceResults!$D:$D,E76))</f>
        <v>7</v>
      </c>
      <c r="I76" s="11">
        <f>IF(F76="","",SUMIFS(RaceResults!$C:$C,RaceResults!$A:$A,$A76,RaceResults!$D:$D,F76))</f>
        <v>27</v>
      </c>
      <c r="J76" s="11">
        <f>IF(D76="","",SUMIFS(RaceResults!$E:$E,RaceResults!$A:$A,$A76,RaceResults!$D:$D,D76))</f>
        <v>34</v>
      </c>
      <c r="K76" s="11">
        <f>IF(E76="","",SUMIFS(RaceResults!$E:$E,RaceResults!$A:$A,$A76,RaceResults!$D:$D,E76))</f>
        <v>30</v>
      </c>
      <c r="L76" s="11">
        <f>IF(F76="","",SUMIFS(RaceResults!$E:$E,RaceResults!$A:$A,$A76,RaceResults!$D:$D,F76))</f>
        <v>10</v>
      </c>
      <c r="M76" s="11">
        <f t="shared" si="1"/>
        <v>74</v>
      </c>
    </row>
    <row r="77" spans="1:13" x14ac:dyDescent="0.3">
      <c r="A77" s="9">
        <v>8</v>
      </c>
      <c r="B77" s="9" t="s">
        <v>63</v>
      </c>
      <c r="C77" s="10" t="s">
        <v>28</v>
      </c>
      <c r="D77" s="3">
        <v>12</v>
      </c>
      <c r="E77" s="3">
        <v>45</v>
      </c>
      <c r="F77" s="3">
        <v>20</v>
      </c>
      <c r="G77" s="11">
        <f>IF(D77="","",SUMIFS(RaceResults!$C:$C,RaceResults!$A:$A,$A77,RaceResults!$D:$D,D77))</f>
        <v>2</v>
      </c>
      <c r="H77" s="11">
        <f>IF(E77="","",SUMIFS(RaceResults!$C:$C,RaceResults!$A:$A,$A77,RaceResults!$D:$D,E77))</f>
        <v>4</v>
      </c>
      <c r="I77" s="11">
        <f>IF(F77="","",SUMIFS(RaceResults!$C:$C,RaceResults!$A:$A,$A77,RaceResults!$D:$D,F77))</f>
        <v>27</v>
      </c>
      <c r="J77" s="11">
        <f>IF(D77="","",SUMIFS(RaceResults!$E:$E,RaceResults!$A:$A,$A77,RaceResults!$D:$D,D77))</f>
        <v>35</v>
      </c>
      <c r="K77" s="11">
        <f>IF(E77="","",SUMIFS(RaceResults!$E:$E,RaceResults!$A:$A,$A77,RaceResults!$D:$D,E77))</f>
        <v>33</v>
      </c>
      <c r="L77" s="11">
        <f>IF(F77="","",SUMIFS(RaceResults!$E:$E,RaceResults!$A:$A,$A77,RaceResults!$D:$D,F77))</f>
        <v>10</v>
      </c>
      <c r="M77" s="11">
        <f t="shared" si="1"/>
        <v>78</v>
      </c>
    </row>
    <row r="78" spans="1:13" x14ac:dyDescent="0.3">
      <c r="A78" s="9">
        <v>8</v>
      </c>
      <c r="B78" s="9" t="s">
        <v>63</v>
      </c>
      <c r="C78" s="10" t="s">
        <v>29</v>
      </c>
      <c r="D78" s="3"/>
      <c r="E78" s="3"/>
      <c r="F78" s="3"/>
      <c r="G78" s="11" t="str">
        <f>IF(D78="","",SUMIFS(RaceResults!$C:$C,RaceResults!$A:$A,$A78,RaceResults!$D:$D,D78))</f>
        <v/>
      </c>
      <c r="H78" s="11" t="str">
        <f>IF(E78="","",SUMIFS(RaceResults!$C:$C,RaceResults!$A:$A,$A78,RaceResults!$D:$D,E78))</f>
        <v/>
      </c>
      <c r="I78" s="11" t="str">
        <f>IF(F78="","",SUMIFS(RaceResults!$C:$C,RaceResults!$A:$A,$A78,RaceResults!$D:$D,F78))</f>
        <v/>
      </c>
      <c r="J78" s="11" t="str">
        <f>IF(D78="","",SUMIFS(RaceResults!$E:$E,RaceResults!$A:$A,$A78,RaceResults!$D:$D,D78))</f>
        <v/>
      </c>
      <c r="K78" s="11" t="str">
        <f>IF(E78="","",SUMIFS(RaceResults!$E:$E,RaceResults!$A:$A,$A78,RaceResults!$D:$D,E78))</f>
        <v/>
      </c>
      <c r="L78" s="11" t="str">
        <f>IF(F78="","",SUMIFS(RaceResults!$E:$E,RaceResults!$A:$A,$A78,RaceResults!$D:$D,F78))</f>
        <v/>
      </c>
      <c r="M78" s="11">
        <f t="shared" si="1"/>
        <v>0</v>
      </c>
    </row>
    <row r="79" spans="1:13" x14ac:dyDescent="0.3">
      <c r="A79" s="9">
        <v>8</v>
      </c>
      <c r="B79" s="9" t="s">
        <v>63</v>
      </c>
      <c r="C79" s="10" t="s">
        <v>30</v>
      </c>
      <c r="D79" s="3"/>
      <c r="E79" s="3"/>
      <c r="F79" s="3"/>
      <c r="G79" s="11" t="str">
        <f>IF(D79="","",SUMIFS(RaceResults!$C:$C,RaceResults!$A:$A,$A79,RaceResults!$D:$D,D79))</f>
        <v/>
      </c>
      <c r="H79" s="11" t="str">
        <f>IF(E79="","",SUMIFS(RaceResults!$C:$C,RaceResults!$A:$A,$A79,RaceResults!$D:$D,E79))</f>
        <v/>
      </c>
      <c r="I79" s="11" t="str">
        <f>IF(F79="","",SUMIFS(RaceResults!$C:$C,RaceResults!$A:$A,$A79,RaceResults!$D:$D,F79))</f>
        <v/>
      </c>
      <c r="J79" s="11" t="str">
        <f>IF(D79="","",SUMIFS(RaceResults!$E:$E,RaceResults!$A:$A,$A79,RaceResults!$D:$D,D79))</f>
        <v/>
      </c>
      <c r="K79" s="11" t="str">
        <f>IF(E79="","",SUMIFS(RaceResults!$E:$E,RaceResults!$A:$A,$A79,RaceResults!$D:$D,E79))</f>
        <v/>
      </c>
      <c r="L79" s="11" t="str">
        <f>IF(F79="","",SUMIFS(RaceResults!$E:$E,RaceResults!$A:$A,$A79,RaceResults!$D:$D,F79))</f>
        <v/>
      </c>
      <c r="M79" s="11">
        <f t="shared" si="1"/>
        <v>0</v>
      </c>
    </row>
    <row r="80" spans="1:13" x14ac:dyDescent="0.3">
      <c r="A80" s="9">
        <v>8</v>
      </c>
      <c r="B80" s="9" t="s">
        <v>63</v>
      </c>
      <c r="C80" s="10" t="s">
        <v>31</v>
      </c>
      <c r="D80" s="3">
        <v>5</v>
      </c>
      <c r="E80" s="3">
        <v>12</v>
      </c>
      <c r="F80" s="3">
        <v>11</v>
      </c>
      <c r="G80" s="11">
        <f>IF(D80="","",SUMIFS(RaceResults!$C:$C,RaceResults!$A:$A,$A80,RaceResults!$D:$D,D80))</f>
        <v>3</v>
      </c>
      <c r="H80" s="11">
        <f>IF(E80="","",SUMIFS(RaceResults!$C:$C,RaceResults!$A:$A,$A80,RaceResults!$D:$D,E80))</f>
        <v>2</v>
      </c>
      <c r="I80" s="11">
        <f>IF(F80="","",SUMIFS(RaceResults!$C:$C,RaceResults!$A:$A,$A80,RaceResults!$D:$D,F80))</f>
        <v>9</v>
      </c>
      <c r="J80" s="11">
        <f>IF(D80="","",SUMIFS(RaceResults!$E:$E,RaceResults!$A:$A,$A80,RaceResults!$D:$D,D80))</f>
        <v>34</v>
      </c>
      <c r="K80" s="11">
        <f>IF(E80="","",SUMIFS(RaceResults!$E:$E,RaceResults!$A:$A,$A80,RaceResults!$D:$D,E80))</f>
        <v>35</v>
      </c>
      <c r="L80" s="11">
        <f>IF(F80="","",SUMIFS(RaceResults!$E:$E,RaceResults!$A:$A,$A80,RaceResults!$D:$D,F80))</f>
        <v>28</v>
      </c>
      <c r="M80" s="11">
        <f t="shared" si="1"/>
        <v>97</v>
      </c>
    </row>
    <row r="81" spans="1:13" x14ac:dyDescent="0.3">
      <c r="A81" s="9">
        <v>8</v>
      </c>
      <c r="B81" s="9" t="s">
        <v>63</v>
      </c>
      <c r="C81" s="10" t="s">
        <v>32</v>
      </c>
      <c r="D81" s="3">
        <v>12</v>
      </c>
      <c r="E81" s="3">
        <v>54</v>
      </c>
      <c r="F81" s="3">
        <v>45</v>
      </c>
      <c r="G81" s="11">
        <f>IF(D81="","",SUMIFS(RaceResults!$C:$C,RaceResults!$A:$A,$A81,RaceResults!$D:$D,D81))</f>
        <v>2</v>
      </c>
      <c r="H81" s="11">
        <f>IF(E81="","",SUMIFS(RaceResults!$C:$C,RaceResults!$A:$A,$A81,RaceResults!$D:$D,E81))</f>
        <v>1</v>
      </c>
      <c r="I81" s="11">
        <f>IF(F81="","",SUMIFS(RaceResults!$C:$C,RaceResults!$A:$A,$A81,RaceResults!$D:$D,F81))</f>
        <v>4</v>
      </c>
      <c r="J81" s="11">
        <f>IF(D81="","",SUMIFS(RaceResults!$E:$E,RaceResults!$A:$A,$A81,RaceResults!$D:$D,D81))</f>
        <v>35</v>
      </c>
      <c r="K81" s="11">
        <f>IF(E81="","",SUMIFS(RaceResults!$E:$E,RaceResults!$A:$A,$A81,RaceResults!$D:$D,E81))</f>
        <v>55</v>
      </c>
      <c r="L81" s="11">
        <f>IF(F81="","",SUMIFS(RaceResults!$E:$E,RaceResults!$A:$A,$A81,RaceResults!$D:$D,F81))</f>
        <v>33</v>
      </c>
      <c r="M81" s="11">
        <f t="shared" si="1"/>
        <v>123</v>
      </c>
    </row>
    <row r="82" spans="1:13" x14ac:dyDescent="0.3">
      <c r="A82" s="9">
        <v>9</v>
      </c>
      <c r="B82" s="9" t="s">
        <v>65</v>
      </c>
      <c r="C82" s="10" t="s">
        <v>21</v>
      </c>
      <c r="D82" s="3">
        <v>5</v>
      </c>
      <c r="E82" s="3">
        <v>11</v>
      </c>
      <c r="F82" s="3">
        <v>45</v>
      </c>
      <c r="G82" s="11">
        <f>IF(D82="","",SUMIFS(RaceResults!$C:$C,RaceResults!$A:$A,$A82,RaceResults!$D:$D,D82))</f>
        <v>2</v>
      </c>
      <c r="H82" s="11">
        <f>IF(E82="","",SUMIFS(RaceResults!$C:$C,RaceResults!$A:$A,$A82,RaceResults!$D:$D,E82))</f>
        <v>4</v>
      </c>
      <c r="I82" s="11">
        <f>IF(F82="","",SUMIFS(RaceResults!$C:$C,RaceResults!$A:$A,$A82,RaceResults!$D:$D,F82))</f>
        <v>1</v>
      </c>
      <c r="J82" s="11">
        <f>IF(D82="","",SUMIFS(RaceResults!$E:$E,RaceResults!$A:$A,$A82,RaceResults!$D:$D,D82))</f>
        <v>35</v>
      </c>
      <c r="K82" s="11">
        <f>IF(E82="","",SUMIFS(RaceResults!$E:$E,RaceResults!$A:$A,$A82,RaceResults!$D:$D,E82))</f>
        <v>33</v>
      </c>
      <c r="L82" s="11">
        <f>IF(F82="","",SUMIFS(RaceResults!$E:$E,RaceResults!$A:$A,$A82,RaceResults!$D:$D,F82))</f>
        <v>55</v>
      </c>
      <c r="M82" s="11">
        <f t="shared" si="1"/>
        <v>123</v>
      </c>
    </row>
    <row r="83" spans="1:13" x14ac:dyDescent="0.3">
      <c r="A83" s="9">
        <v>9</v>
      </c>
      <c r="B83" s="9" t="s">
        <v>65</v>
      </c>
      <c r="C83" s="10" t="s">
        <v>22</v>
      </c>
      <c r="D83" s="3">
        <v>45</v>
      </c>
      <c r="E83" s="3">
        <v>11</v>
      </c>
      <c r="F83" s="3">
        <v>5</v>
      </c>
      <c r="G83" s="11">
        <f>IF(D83="","",SUMIFS(RaceResults!$C:$C,RaceResults!$A:$A,$A83,RaceResults!$D:$D,D83))</f>
        <v>1</v>
      </c>
      <c r="H83" s="11">
        <f>IF(E83="","",SUMIFS(RaceResults!$C:$C,RaceResults!$A:$A,$A83,RaceResults!$D:$D,E83))</f>
        <v>4</v>
      </c>
      <c r="I83" s="11">
        <f>IF(F83="","",SUMIFS(RaceResults!$C:$C,RaceResults!$A:$A,$A83,RaceResults!$D:$D,F83))</f>
        <v>2</v>
      </c>
      <c r="J83" s="11">
        <f>IF(D83="","",SUMIFS(RaceResults!$E:$E,RaceResults!$A:$A,$A83,RaceResults!$D:$D,D83))</f>
        <v>55</v>
      </c>
      <c r="K83" s="11">
        <f>IF(E83="","",SUMIFS(RaceResults!$E:$E,RaceResults!$A:$A,$A83,RaceResults!$D:$D,E83))</f>
        <v>33</v>
      </c>
      <c r="L83" s="11">
        <f>IF(F83="","",SUMIFS(RaceResults!$E:$E,RaceResults!$A:$A,$A83,RaceResults!$D:$D,F83))</f>
        <v>35</v>
      </c>
      <c r="M83" s="11">
        <f t="shared" si="1"/>
        <v>123</v>
      </c>
    </row>
    <row r="84" spans="1:13" x14ac:dyDescent="0.3">
      <c r="A84" s="9">
        <v>9</v>
      </c>
      <c r="B84" s="9" t="s">
        <v>65</v>
      </c>
      <c r="C84" s="10" t="s">
        <v>25</v>
      </c>
      <c r="D84" s="3">
        <v>12</v>
      </c>
      <c r="E84" s="3">
        <v>54</v>
      </c>
      <c r="F84" s="3">
        <v>5</v>
      </c>
      <c r="G84" s="11">
        <f>IF(D84="","",SUMIFS(RaceResults!$C:$C,RaceResults!$A:$A,$A84,RaceResults!$D:$D,D84))</f>
        <v>24</v>
      </c>
      <c r="H84" s="11">
        <f>IF(E84="","",SUMIFS(RaceResults!$C:$C,RaceResults!$A:$A,$A84,RaceResults!$D:$D,E84))</f>
        <v>9</v>
      </c>
      <c r="I84" s="11">
        <f>IF(F84="","",SUMIFS(RaceResults!$C:$C,RaceResults!$A:$A,$A84,RaceResults!$D:$D,F84))</f>
        <v>2</v>
      </c>
      <c r="J84" s="11">
        <f>IF(D84="","",SUMIFS(RaceResults!$E:$E,RaceResults!$A:$A,$A84,RaceResults!$D:$D,D84))</f>
        <v>13</v>
      </c>
      <c r="K84" s="11">
        <f>IF(E84="","",SUMIFS(RaceResults!$E:$E,RaceResults!$A:$A,$A84,RaceResults!$D:$D,E84))</f>
        <v>28</v>
      </c>
      <c r="L84" s="11">
        <f>IF(F84="","",SUMIFS(RaceResults!$E:$E,RaceResults!$A:$A,$A84,RaceResults!$D:$D,F84))</f>
        <v>35</v>
      </c>
      <c r="M84" s="11">
        <f t="shared" si="1"/>
        <v>76</v>
      </c>
    </row>
    <row r="85" spans="1:13" x14ac:dyDescent="0.3">
      <c r="A85" s="9">
        <v>9</v>
      </c>
      <c r="B85" s="9" t="s">
        <v>65</v>
      </c>
      <c r="C85" s="10" t="s">
        <v>26</v>
      </c>
      <c r="D85" s="3">
        <v>12</v>
      </c>
      <c r="E85" s="3">
        <v>5</v>
      </c>
      <c r="F85" s="3">
        <v>54</v>
      </c>
      <c r="G85" s="11">
        <f>IF(D85="","",SUMIFS(RaceResults!$C:$C,RaceResults!$A:$A,$A85,RaceResults!$D:$D,D85))</f>
        <v>24</v>
      </c>
      <c r="H85" s="11">
        <f>IF(E85="","",SUMIFS(RaceResults!$C:$C,RaceResults!$A:$A,$A85,RaceResults!$D:$D,E85))</f>
        <v>2</v>
      </c>
      <c r="I85" s="11">
        <f>IF(F85="","",SUMIFS(RaceResults!$C:$C,RaceResults!$A:$A,$A85,RaceResults!$D:$D,F85))</f>
        <v>9</v>
      </c>
      <c r="J85" s="11">
        <f>IF(D85="","",SUMIFS(RaceResults!$E:$E,RaceResults!$A:$A,$A85,RaceResults!$D:$D,D85))</f>
        <v>13</v>
      </c>
      <c r="K85" s="11">
        <f>IF(E85="","",SUMIFS(RaceResults!$E:$E,RaceResults!$A:$A,$A85,RaceResults!$D:$D,E85))</f>
        <v>35</v>
      </c>
      <c r="L85" s="11">
        <f>IF(F85="","",SUMIFS(RaceResults!$E:$E,RaceResults!$A:$A,$A85,RaceResults!$D:$D,F85))</f>
        <v>28</v>
      </c>
      <c r="M85" s="11">
        <f t="shared" si="1"/>
        <v>76</v>
      </c>
    </row>
    <row r="86" spans="1:13" x14ac:dyDescent="0.3">
      <c r="A86" s="9">
        <v>9</v>
      </c>
      <c r="B86" s="9" t="s">
        <v>65</v>
      </c>
      <c r="C86" s="10" t="s">
        <v>27</v>
      </c>
      <c r="D86" s="3">
        <v>5</v>
      </c>
      <c r="E86" s="3">
        <v>11</v>
      </c>
      <c r="F86" s="3">
        <v>20</v>
      </c>
      <c r="G86" s="11">
        <f>IF(D86="","",SUMIFS(RaceResults!$C:$C,RaceResults!$A:$A,$A86,RaceResults!$D:$D,D86))</f>
        <v>2</v>
      </c>
      <c r="H86" s="11">
        <f>IF(E86="","",SUMIFS(RaceResults!$C:$C,RaceResults!$A:$A,$A86,RaceResults!$D:$D,E86))</f>
        <v>4</v>
      </c>
      <c r="I86" s="11">
        <f>IF(F86="","",SUMIFS(RaceResults!$C:$C,RaceResults!$A:$A,$A86,RaceResults!$D:$D,F86))</f>
        <v>20</v>
      </c>
      <c r="J86" s="11">
        <f>IF(D86="","",SUMIFS(RaceResults!$E:$E,RaceResults!$A:$A,$A86,RaceResults!$D:$D,D86))</f>
        <v>35</v>
      </c>
      <c r="K86" s="11">
        <f>IF(E86="","",SUMIFS(RaceResults!$E:$E,RaceResults!$A:$A,$A86,RaceResults!$D:$D,E86))</f>
        <v>33</v>
      </c>
      <c r="L86" s="11">
        <f>IF(F86="","",SUMIFS(RaceResults!$E:$E,RaceResults!$A:$A,$A86,RaceResults!$D:$D,F86))</f>
        <v>17</v>
      </c>
      <c r="M86" s="11">
        <f t="shared" si="1"/>
        <v>85</v>
      </c>
    </row>
    <row r="87" spans="1:13" x14ac:dyDescent="0.3">
      <c r="A87" s="9">
        <v>9</v>
      </c>
      <c r="B87" s="9" t="s">
        <v>65</v>
      </c>
      <c r="C87" s="10" t="s">
        <v>28</v>
      </c>
      <c r="D87" s="3">
        <v>12</v>
      </c>
      <c r="E87" s="3">
        <v>5</v>
      </c>
      <c r="F87" s="3">
        <v>54</v>
      </c>
      <c r="G87" s="11">
        <f>IF(D87="","",SUMIFS(RaceResults!$C:$C,RaceResults!$A:$A,$A87,RaceResults!$D:$D,D87))</f>
        <v>24</v>
      </c>
      <c r="H87" s="11">
        <f>IF(E87="","",SUMIFS(RaceResults!$C:$C,RaceResults!$A:$A,$A87,RaceResults!$D:$D,E87))</f>
        <v>2</v>
      </c>
      <c r="I87" s="11">
        <f>IF(F87="","",SUMIFS(RaceResults!$C:$C,RaceResults!$A:$A,$A87,RaceResults!$D:$D,F87))</f>
        <v>9</v>
      </c>
      <c r="J87" s="11">
        <f>IF(D87="","",SUMIFS(RaceResults!$E:$E,RaceResults!$A:$A,$A87,RaceResults!$D:$D,D87))</f>
        <v>13</v>
      </c>
      <c r="K87" s="11">
        <f>IF(E87="","",SUMIFS(RaceResults!$E:$E,RaceResults!$A:$A,$A87,RaceResults!$D:$D,E87))</f>
        <v>35</v>
      </c>
      <c r="L87" s="11">
        <f>IF(F87="","",SUMIFS(RaceResults!$E:$E,RaceResults!$A:$A,$A87,RaceResults!$D:$D,F87))</f>
        <v>28</v>
      </c>
      <c r="M87" s="11">
        <f t="shared" si="1"/>
        <v>76</v>
      </c>
    </row>
    <row r="88" spans="1:13" x14ac:dyDescent="0.3">
      <c r="A88" s="9">
        <v>9</v>
      </c>
      <c r="B88" s="9" t="s">
        <v>65</v>
      </c>
      <c r="C88" s="10" t="s">
        <v>29</v>
      </c>
      <c r="D88" s="3">
        <v>5</v>
      </c>
      <c r="E88" s="3">
        <v>9</v>
      </c>
      <c r="F88" s="3">
        <v>24</v>
      </c>
      <c r="G88" s="11">
        <f>IF(D88="","",SUMIFS(RaceResults!$C:$C,RaceResults!$A:$A,$A88,RaceResults!$D:$D,D88))</f>
        <v>2</v>
      </c>
      <c r="H88" s="11">
        <f>IF(E88="","",SUMIFS(RaceResults!$C:$C,RaceResults!$A:$A,$A88,RaceResults!$D:$D,E88))</f>
        <v>8</v>
      </c>
      <c r="I88" s="11">
        <f>IF(F88="","",SUMIFS(RaceResults!$C:$C,RaceResults!$A:$A,$A88,RaceResults!$D:$D,F88))</f>
        <v>7</v>
      </c>
      <c r="J88" s="11">
        <f>IF(D88="","",SUMIFS(RaceResults!$E:$E,RaceResults!$A:$A,$A88,RaceResults!$D:$D,D88))</f>
        <v>35</v>
      </c>
      <c r="K88" s="11">
        <f>IF(E88="","",SUMIFS(RaceResults!$E:$E,RaceResults!$A:$A,$A88,RaceResults!$D:$D,E88))</f>
        <v>29</v>
      </c>
      <c r="L88" s="11">
        <f>IF(F88="","",SUMIFS(RaceResults!$E:$E,RaceResults!$A:$A,$A88,RaceResults!$D:$D,F88))</f>
        <v>30</v>
      </c>
      <c r="M88" s="11">
        <f t="shared" si="1"/>
        <v>94</v>
      </c>
    </row>
    <row r="89" spans="1:13" x14ac:dyDescent="0.3">
      <c r="A89" s="9">
        <v>9</v>
      </c>
      <c r="B89" s="9" t="s">
        <v>65</v>
      </c>
      <c r="C89" s="10" t="s">
        <v>30</v>
      </c>
      <c r="D89" s="3"/>
      <c r="E89" s="3"/>
      <c r="F89" s="3"/>
      <c r="G89" s="11" t="str">
        <f>IF(D89="","",SUMIFS(RaceResults!$C:$C,RaceResults!$A:$A,$A89,RaceResults!$D:$D,D89))</f>
        <v/>
      </c>
      <c r="H89" s="11" t="str">
        <f>IF(E89="","",SUMIFS(RaceResults!$C:$C,RaceResults!$A:$A,$A89,RaceResults!$D:$D,E89))</f>
        <v/>
      </c>
      <c r="I89" s="11" t="str">
        <f>IF(F89="","",SUMIFS(RaceResults!$C:$C,RaceResults!$A:$A,$A89,RaceResults!$D:$D,F89))</f>
        <v/>
      </c>
      <c r="J89" s="11" t="str">
        <f>IF(D89="","",SUMIFS(RaceResults!$E:$E,RaceResults!$A:$A,$A89,RaceResults!$D:$D,D89))</f>
        <v/>
      </c>
      <c r="K89" s="11" t="str">
        <f>IF(E89="","",SUMIFS(RaceResults!$E:$E,RaceResults!$A:$A,$A89,RaceResults!$D:$D,E89))</f>
        <v/>
      </c>
      <c r="L89" s="11" t="str">
        <f>IF(F89="","",SUMIFS(RaceResults!$E:$E,RaceResults!$A:$A,$A89,RaceResults!$D:$D,F89))</f>
        <v/>
      </c>
      <c r="M89" s="11">
        <f t="shared" si="1"/>
        <v>0</v>
      </c>
    </row>
    <row r="90" spans="1:13" x14ac:dyDescent="0.3">
      <c r="A90" s="9">
        <v>9</v>
      </c>
      <c r="B90" s="9" t="s">
        <v>65</v>
      </c>
      <c r="C90" s="10" t="s">
        <v>31</v>
      </c>
      <c r="D90" s="3">
        <v>5</v>
      </c>
      <c r="E90" s="3">
        <v>12</v>
      </c>
      <c r="F90" s="3">
        <v>54</v>
      </c>
      <c r="G90" s="11">
        <f>IF(D90="","",SUMIFS(RaceResults!$C:$C,RaceResults!$A:$A,$A90,RaceResults!$D:$D,D90))</f>
        <v>2</v>
      </c>
      <c r="H90" s="11">
        <f>IF(E90="","",SUMIFS(RaceResults!$C:$C,RaceResults!$A:$A,$A90,RaceResults!$D:$D,E90))</f>
        <v>24</v>
      </c>
      <c r="I90" s="11">
        <f>IF(F90="","",SUMIFS(RaceResults!$C:$C,RaceResults!$A:$A,$A90,RaceResults!$D:$D,F90))</f>
        <v>9</v>
      </c>
      <c r="J90" s="11">
        <f>IF(D90="","",SUMIFS(RaceResults!$E:$E,RaceResults!$A:$A,$A90,RaceResults!$D:$D,D90))</f>
        <v>35</v>
      </c>
      <c r="K90" s="11">
        <f>IF(E90="","",SUMIFS(RaceResults!$E:$E,RaceResults!$A:$A,$A90,RaceResults!$D:$D,E90))</f>
        <v>13</v>
      </c>
      <c r="L90" s="11">
        <f>IF(F90="","",SUMIFS(RaceResults!$E:$E,RaceResults!$A:$A,$A90,RaceResults!$D:$D,F90))</f>
        <v>28</v>
      </c>
      <c r="M90" s="11">
        <f t="shared" si="1"/>
        <v>76</v>
      </c>
    </row>
    <row r="91" spans="1:13" x14ac:dyDescent="0.3">
      <c r="A91" s="9">
        <v>9</v>
      </c>
      <c r="B91" s="9" t="s">
        <v>65</v>
      </c>
      <c r="C91" s="10" t="s">
        <v>32</v>
      </c>
      <c r="D91" s="3">
        <v>11</v>
      </c>
      <c r="E91" s="3">
        <v>54</v>
      </c>
      <c r="F91" s="3">
        <v>12</v>
      </c>
      <c r="G91" s="11">
        <f>IF(D91="","",SUMIFS(RaceResults!$C:$C,RaceResults!$A:$A,$A91,RaceResults!$D:$D,D91))</f>
        <v>4</v>
      </c>
      <c r="H91" s="11">
        <f>IF(E91="","",SUMIFS(RaceResults!$C:$C,RaceResults!$A:$A,$A91,RaceResults!$D:$D,E91))</f>
        <v>9</v>
      </c>
      <c r="I91" s="11">
        <f>IF(F91="","",SUMIFS(RaceResults!$C:$C,RaceResults!$A:$A,$A91,RaceResults!$D:$D,F91))</f>
        <v>24</v>
      </c>
      <c r="J91" s="11">
        <f>IF(D91="","",SUMIFS(RaceResults!$E:$E,RaceResults!$A:$A,$A91,RaceResults!$D:$D,D91))</f>
        <v>33</v>
      </c>
      <c r="K91" s="11">
        <f>IF(E91="","",SUMIFS(RaceResults!$E:$E,RaceResults!$A:$A,$A91,RaceResults!$D:$D,E91))</f>
        <v>28</v>
      </c>
      <c r="L91" s="11">
        <f>IF(F91="","",SUMIFS(RaceResults!$E:$E,RaceResults!$A:$A,$A91,RaceResults!$D:$D,F91))</f>
        <v>13</v>
      </c>
      <c r="M91" s="11">
        <f t="shared" si="1"/>
        <v>74</v>
      </c>
    </row>
    <row r="92" spans="1:13" x14ac:dyDescent="0.3">
      <c r="A92" s="9">
        <v>10</v>
      </c>
      <c r="B92" s="9" t="s">
        <v>67</v>
      </c>
      <c r="C92" s="10" t="s">
        <v>21</v>
      </c>
      <c r="D92" s="3">
        <v>5</v>
      </c>
      <c r="E92" s="3">
        <v>12</v>
      </c>
      <c r="F92" s="3">
        <v>45</v>
      </c>
      <c r="G92" s="11">
        <f>IF(D92="","",SUMIFS(RaceResults!$C:$C,RaceResults!$A:$A,$A92,RaceResults!$D:$D,D92))</f>
        <v>40</v>
      </c>
      <c r="H92" s="11">
        <f>IF(E92="","",SUMIFS(RaceResults!$C:$C,RaceResults!$A:$A,$A92,RaceResults!$D:$D,E92))</f>
        <v>37</v>
      </c>
      <c r="I92" s="11">
        <f>IF(F92="","",SUMIFS(RaceResults!$C:$C,RaceResults!$A:$A,$A92,RaceResults!$D:$D,F92))</f>
        <v>14</v>
      </c>
      <c r="J92" s="11">
        <f>IF(D92="","",SUMIFS(RaceResults!$E:$E,RaceResults!$A:$A,$A92,RaceResults!$D:$D,D92))</f>
        <v>1</v>
      </c>
      <c r="K92" s="11">
        <f>IF(E92="","",SUMIFS(RaceResults!$E:$E,RaceResults!$A:$A,$A92,RaceResults!$D:$D,E92))</f>
        <v>1</v>
      </c>
      <c r="L92" s="11">
        <f>IF(F92="","",SUMIFS(RaceResults!$E:$E,RaceResults!$A:$A,$A92,RaceResults!$D:$D,F92))</f>
        <v>23</v>
      </c>
      <c r="M92" s="11">
        <f t="shared" si="1"/>
        <v>25</v>
      </c>
    </row>
    <row r="93" spans="1:13" x14ac:dyDescent="0.3">
      <c r="A93" s="9">
        <v>10</v>
      </c>
      <c r="B93" s="9" t="s">
        <v>67</v>
      </c>
      <c r="C93" s="10" t="s">
        <v>22</v>
      </c>
      <c r="D93" s="3">
        <v>45</v>
      </c>
      <c r="E93" s="3">
        <v>11</v>
      </c>
      <c r="F93" s="3">
        <v>12</v>
      </c>
      <c r="G93" s="11">
        <f>IF(D93="","",SUMIFS(RaceResults!$C:$C,RaceResults!$A:$A,$A93,RaceResults!$D:$D,D93))</f>
        <v>14</v>
      </c>
      <c r="H93" s="11">
        <f>IF(E93="","",SUMIFS(RaceResults!$C:$C,RaceResults!$A:$A,$A93,RaceResults!$D:$D,E93))</f>
        <v>15</v>
      </c>
      <c r="I93" s="11">
        <f>IF(F93="","",SUMIFS(RaceResults!$C:$C,RaceResults!$A:$A,$A93,RaceResults!$D:$D,F93))</f>
        <v>37</v>
      </c>
      <c r="J93" s="11">
        <f>IF(D93="","",SUMIFS(RaceResults!$E:$E,RaceResults!$A:$A,$A93,RaceResults!$D:$D,D93))</f>
        <v>23</v>
      </c>
      <c r="K93" s="11">
        <f>IF(E93="","",SUMIFS(RaceResults!$E:$E,RaceResults!$A:$A,$A93,RaceResults!$D:$D,E93))</f>
        <v>22</v>
      </c>
      <c r="L93" s="11">
        <f>IF(F93="","",SUMIFS(RaceResults!$E:$E,RaceResults!$A:$A,$A93,RaceResults!$D:$D,F93))</f>
        <v>1</v>
      </c>
      <c r="M93" s="11">
        <f t="shared" si="1"/>
        <v>46</v>
      </c>
    </row>
    <row r="94" spans="1:13" x14ac:dyDescent="0.3">
      <c r="A94" s="9">
        <v>10</v>
      </c>
      <c r="B94" s="9" t="s">
        <v>67</v>
      </c>
      <c r="C94" s="10" t="s">
        <v>25</v>
      </c>
      <c r="D94" s="3">
        <v>5</v>
      </c>
      <c r="E94" s="3">
        <v>23</v>
      </c>
      <c r="F94" s="3">
        <v>24</v>
      </c>
      <c r="G94" s="11">
        <f>IF(D94="","",SUMIFS(RaceResults!$C:$C,RaceResults!$A:$A,$A94,RaceResults!$D:$D,D94))</f>
        <v>40</v>
      </c>
      <c r="H94" s="11">
        <f>IF(E94="","",SUMIFS(RaceResults!$C:$C,RaceResults!$A:$A,$A94,RaceResults!$D:$D,E94))</f>
        <v>36</v>
      </c>
      <c r="I94" s="11">
        <f>IF(F94="","",SUMIFS(RaceResults!$C:$C,RaceResults!$A:$A,$A94,RaceResults!$D:$D,F94))</f>
        <v>35</v>
      </c>
      <c r="J94" s="11">
        <f>IF(D94="","",SUMIFS(RaceResults!$E:$E,RaceResults!$A:$A,$A94,RaceResults!$D:$D,D94))</f>
        <v>1</v>
      </c>
      <c r="K94" s="11">
        <f>IF(E94="","",SUMIFS(RaceResults!$E:$E,RaceResults!$A:$A,$A94,RaceResults!$D:$D,E94))</f>
        <v>1</v>
      </c>
      <c r="L94" s="11">
        <f>IF(F94="","",SUMIFS(RaceResults!$E:$E,RaceResults!$A:$A,$A94,RaceResults!$D:$D,F94))</f>
        <v>2</v>
      </c>
      <c r="M94" s="11">
        <f t="shared" si="1"/>
        <v>4</v>
      </c>
    </row>
    <row r="95" spans="1:13" x14ac:dyDescent="0.3">
      <c r="A95" s="9">
        <v>10</v>
      </c>
      <c r="B95" s="9" t="s">
        <v>67</v>
      </c>
      <c r="C95" s="10" t="s">
        <v>26</v>
      </c>
      <c r="D95" s="3">
        <v>5</v>
      </c>
      <c r="E95" s="3">
        <v>45</v>
      </c>
      <c r="F95" s="3">
        <v>12</v>
      </c>
      <c r="G95" s="11">
        <f>IF(D95="","",SUMIFS(RaceResults!$C:$C,RaceResults!$A:$A,$A95,RaceResults!$D:$D,D95))</f>
        <v>40</v>
      </c>
      <c r="H95" s="11">
        <f>IF(E95="","",SUMIFS(RaceResults!$C:$C,RaceResults!$A:$A,$A95,RaceResults!$D:$D,E95))</f>
        <v>14</v>
      </c>
      <c r="I95" s="11">
        <f>IF(F95="","",SUMIFS(RaceResults!$C:$C,RaceResults!$A:$A,$A95,RaceResults!$D:$D,F95))</f>
        <v>37</v>
      </c>
      <c r="J95" s="11">
        <f>IF(D95="","",SUMIFS(RaceResults!$E:$E,RaceResults!$A:$A,$A95,RaceResults!$D:$D,D95))</f>
        <v>1</v>
      </c>
      <c r="K95" s="11">
        <f>IF(E95="","",SUMIFS(RaceResults!$E:$E,RaceResults!$A:$A,$A95,RaceResults!$D:$D,E95))</f>
        <v>23</v>
      </c>
      <c r="L95" s="11">
        <f>IF(F95="","",SUMIFS(RaceResults!$E:$E,RaceResults!$A:$A,$A95,RaceResults!$D:$D,F95))</f>
        <v>1</v>
      </c>
      <c r="M95" s="11">
        <f t="shared" si="1"/>
        <v>25</v>
      </c>
    </row>
    <row r="96" spans="1:13" x14ac:dyDescent="0.3">
      <c r="A96" s="9">
        <v>10</v>
      </c>
      <c r="B96" s="9" t="s">
        <v>67</v>
      </c>
      <c r="C96" s="10" t="s">
        <v>27</v>
      </c>
      <c r="D96" s="3">
        <v>22</v>
      </c>
      <c r="E96" s="3">
        <v>5</v>
      </c>
      <c r="F96" s="3">
        <v>24</v>
      </c>
      <c r="G96" s="11">
        <f>IF(D96="","",SUMIFS(RaceResults!$C:$C,RaceResults!$A:$A,$A96,RaceResults!$D:$D,D96))</f>
        <v>39</v>
      </c>
      <c r="H96" s="11">
        <f>IF(E96="","",SUMIFS(RaceResults!$C:$C,RaceResults!$A:$A,$A96,RaceResults!$D:$D,E96))</f>
        <v>40</v>
      </c>
      <c r="I96" s="11">
        <f>IF(F96="","",SUMIFS(RaceResults!$C:$C,RaceResults!$A:$A,$A96,RaceResults!$D:$D,F96))</f>
        <v>35</v>
      </c>
      <c r="J96" s="11">
        <f>IF(D96="","",SUMIFS(RaceResults!$E:$E,RaceResults!$A:$A,$A96,RaceResults!$D:$D,D96))</f>
        <v>1</v>
      </c>
      <c r="K96" s="11">
        <f>IF(E96="","",SUMIFS(RaceResults!$E:$E,RaceResults!$A:$A,$A96,RaceResults!$D:$D,E96))</f>
        <v>1</v>
      </c>
      <c r="L96" s="11">
        <f>IF(F96="","",SUMIFS(RaceResults!$E:$E,RaceResults!$A:$A,$A96,RaceResults!$D:$D,F96))</f>
        <v>2</v>
      </c>
      <c r="M96" s="11">
        <f t="shared" si="1"/>
        <v>4</v>
      </c>
    </row>
    <row r="97" spans="1:13" x14ac:dyDescent="0.3">
      <c r="A97" s="9">
        <v>10</v>
      </c>
      <c r="B97" s="9" t="s">
        <v>67</v>
      </c>
      <c r="C97" s="10" t="s">
        <v>28</v>
      </c>
      <c r="D97" s="3">
        <v>45</v>
      </c>
      <c r="E97" s="3">
        <v>23</v>
      </c>
      <c r="F97" s="3">
        <v>24</v>
      </c>
      <c r="G97" s="11">
        <f>IF(D97="","",SUMIFS(RaceResults!$C:$C,RaceResults!$A:$A,$A97,RaceResults!$D:$D,D97))</f>
        <v>14</v>
      </c>
      <c r="H97" s="11">
        <f>IF(E97="","",SUMIFS(RaceResults!$C:$C,RaceResults!$A:$A,$A97,RaceResults!$D:$D,E97))</f>
        <v>36</v>
      </c>
      <c r="I97" s="11">
        <f>IF(F97="","",SUMIFS(RaceResults!$C:$C,RaceResults!$A:$A,$A97,RaceResults!$D:$D,F97))</f>
        <v>35</v>
      </c>
      <c r="J97" s="11">
        <f>IF(D97="","",SUMIFS(RaceResults!$E:$E,RaceResults!$A:$A,$A97,RaceResults!$D:$D,D97))</f>
        <v>23</v>
      </c>
      <c r="K97" s="11">
        <f>IF(E97="","",SUMIFS(RaceResults!$E:$E,RaceResults!$A:$A,$A97,RaceResults!$D:$D,E97))</f>
        <v>1</v>
      </c>
      <c r="L97" s="11">
        <f>IF(F97="","",SUMIFS(RaceResults!$E:$E,RaceResults!$A:$A,$A97,RaceResults!$D:$D,F97))</f>
        <v>2</v>
      </c>
      <c r="M97" s="11">
        <f t="shared" si="1"/>
        <v>26</v>
      </c>
    </row>
    <row r="98" spans="1:13" x14ac:dyDescent="0.3">
      <c r="A98" s="9">
        <v>10</v>
      </c>
      <c r="B98" s="9" t="s">
        <v>67</v>
      </c>
      <c r="C98" s="10" t="s">
        <v>29</v>
      </c>
      <c r="D98" s="3">
        <v>5</v>
      </c>
      <c r="E98" s="3">
        <v>24</v>
      </c>
      <c r="F98" s="3">
        <v>9</v>
      </c>
      <c r="G98" s="11">
        <f>IF(D98="","",SUMIFS(RaceResults!$C:$C,RaceResults!$A:$A,$A98,RaceResults!$D:$D,D98))</f>
        <v>40</v>
      </c>
      <c r="H98" s="11">
        <f>IF(E98="","",SUMIFS(RaceResults!$C:$C,RaceResults!$A:$A,$A98,RaceResults!$D:$D,E98))</f>
        <v>35</v>
      </c>
      <c r="I98" s="11">
        <f>IF(F98="","",SUMIFS(RaceResults!$C:$C,RaceResults!$A:$A,$A98,RaceResults!$D:$D,F98))</f>
        <v>4</v>
      </c>
      <c r="J98" s="11">
        <f>IF(D98="","",SUMIFS(RaceResults!$E:$E,RaceResults!$A:$A,$A98,RaceResults!$D:$D,D98))</f>
        <v>1</v>
      </c>
      <c r="K98" s="11">
        <f>IF(E98="","",SUMIFS(RaceResults!$E:$E,RaceResults!$A:$A,$A98,RaceResults!$D:$D,E98))</f>
        <v>2</v>
      </c>
      <c r="L98" s="11">
        <f>IF(F98="","",SUMIFS(RaceResults!$E:$E,RaceResults!$A:$A,$A98,RaceResults!$D:$D,F98))</f>
        <v>33</v>
      </c>
      <c r="M98" s="11">
        <f t="shared" si="1"/>
        <v>36</v>
      </c>
    </row>
    <row r="99" spans="1:13" x14ac:dyDescent="0.3">
      <c r="A99" s="9">
        <v>10</v>
      </c>
      <c r="B99" s="9" t="s">
        <v>67</v>
      </c>
      <c r="C99" s="10" t="s">
        <v>30</v>
      </c>
      <c r="D99" s="3"/>
      <c r="E99" s="3"/>
      <c r="F99" s="3"/>
      <c r="G99" s="11" t="str">
        <f>IF(D99="","",SUMIFS(RaceResults!$C:$C,RaceResults!$A:$A,$A99,RaceResults!$D:$D,D99))</f>
        <v/>
      </c>
      <c r="H99" s="11" t="str">
        <f>IF(E99="","",SUMIFS(RaceResults!$C:$C,RaceResults!$A:$A,$A99,RaceResults!$D:$D,E99))</f>
        <v/>
      </c>
      <c r="I99" s="11" t="str">
        <f>IF(F99="","",SUMIFS(RaceResults!$C:$C,RaceResults!$A:$A,$A99,RaceResults!$D:$D,F99))</f>
        <v/>
      </c>
      <c r="J99" s="11" t="str">
        <f>IF(D99="","",SUMIFS(RaceResults!$E:$E,RaceResults!$A:$A,$A99,RaceResults!$D:$D,D99))</f>
        <v/>
      </c>
      <c r="K99" s="11" t="str">
        <f>IF(E99="","",SUMIFS(RaceResults!$E:$E,RaceResults!$A:$A,$A99,RaceResults!$D:$D,E99))</f>
        <v/>
      </c>
      <c r="L99" s="11" t="str">
        <f>IF(F99="","",SUMIFS(RaceResults!$E:$E,RaceResults!$A:$A,$A99,RaceResults!$D:$D,F99))</f>
        <v/>
      </c>
      <c r="M99" s="11">
        <f t="shared" si="1"/>
        <v>0</v>
      </c>
    </row>
    <row r="100" spans="1:13" x14ac:dyDescent="0.3">
      <c r="A100" s="9">
        <v>10</v>
      </c>
      <c r="B100" s="9" t="s">
        <v>67</v>
      </c>
      <c r="C100" s="10" t="s">
        <v>31</v>
      </c>
      <c r="D100" s="3">
        <v>12</v>
      </c>
      <c r="E100" s="3">
        <v>22</v>
      </c>
      <c r="F100" s="3">
        <v>6</v>
      </c>
      <c r="G100" s="11">
        <f>IF(D100="","",SUMIFS(RaceResults!$C:$C,RaceResults!$A:$A,$A100,RaceResults!$D:$D,D100))</f>
        <v>37</v>
      </c>
      <c r="H100" s="11">
        <f>IF(E100="","",SUMIFS(RaceResults!$C:$C,RaceResults!$A:$A,$A100,RaceResults!$D:$D,E100))</f>
        <v>39</v>
      </c>
      <c r="I100" s="11">
        <f>IF(F100="","",SUMIFS(RaceResults!$C:$C,RaceResults!$A:$A,$A100,RaceResults!$D:$D,F100))</f>
        <v>31</v>
      </c>
      <c r="J100" s="11">
        <f>IF(D100="","",SUMIFS(RaceResults!$E:$E,RaceResults!$A:$A,$A100,RaceResults!$D:$D,D100))</f>
        <v>1</v>
      </c>
      <c r="K100" s="11">
        <f>IF(E100="","",SUMIFS(RaceResults!$E:$E,RaceResults!$A:$A,$A100,RaceResults!$D:$D,E100))</f>
        <v>1</v>
      </c>
      <c r="L100" s="11">
        <f>IF(F100="","",SUMIFS(RaceResults!$E:$E,RaceResults!$A:$A,$A100,RaceResults!$D:$D,F100))</f>
        <v>6</v>
      </c>
      <c r="M100" s="11">
        <f t="shared" si="1"/>
        <v>8</v>
      </c>
    </row>
    <row r="101" spans="1:13" x14ac:dyDescent="0.3">
      <c r="A101" s="9">
        <v>10</v>
      </c>
      <c r="B101" s="9" t="s">
        <v>67</v>
      </c>
      <c r="C101" s="10" t="s">
        <v>32</v>
      </c>
      <c r="D101" s="3">
        <v>5</v>
      </c>
      <c r="E101" s="3">
        <v>23</v>
      </c>
      <c r="F101" s="3">
        <v>54</v>
      </c>
      <c r="G101" s="11">
        <f>IF(D101="","",SUMIFS(RaceResults!$C:$C,RaceResults!$A:$A,$A101,RaceResults!$D:$D,D101))</f>
        <v>40</v>
      </c>
      <c r="H101" s="11">
        <f>IF(E101="","",SUMIFS(RaceResults!$C:$C,RaceResults!$A:$A,$A101,RaceResults!$D:$D,E101))</f>
        <v>36</v>
      </c>
      <c r="I101" s="11">
        <f>IF(F101="","",SUMIFS(RaceResults!$C:$C,RaceResults!$A:$A,$A101,RaceResults!$D:$D,F101))</f>
        <v>34</v>
      </c>
      <c r="J101" s="11">
        <f>IF(D101="","",SUMIFS(RaceResults!$E:$E,RaceResults!$A:$A,$A101,RaceResults!$D:$D,D101))</f>
        <v>1</v>
      </c>
      <c r="K101" s="11">
        <f>IF(E101="","",SUMIFS(RaceResults!$E:$E,RaceResults!$A:$A,$A101,RaceResults!$D:$D,E101))</f>
        <v>1</v>
      </c>
      <c r="L101" s="11">
        <f>IF(F101="","",SUMIFS(RaceResults!$E:$E,RaceResults!$A:$A,$A101,RaceResults!$D:$D,F101))</f>
        <v>3</v>
      </c>
      <c r="M101" s="11">
        <f t="shared" si="1"/>
        <v>5</v>
      </c>
    </row>
    <row r="102" spans="1:13" x14ac:dyDescent="0.3">
      <c r="A102" s="9">
        <v>11</v>
      </c>
      <c r="B102" s="9" t="s">
        <v>69</v>
      </c>
      <c r="C102" s="10" t="s">
        <v>21</v>
      </c>
      <c r="D102" s="3">
        <v>5</v>
      </c>
      <c r="E102" s="3">
        <v>77</v>
      </c>
      <c r="F102" s="3">
        <v>11</v>
      </c>
      <c r="G102" s="11">
        <f>IF(D102="","",SUMIFS(RaceResults!$C:$C,RaceResults!$A:$A,$A102,RaceResults!$D:$D,D102))</f>
        <v>34</v>
      </c>
      <c r="H102" s="11">
        <f>IF(E102="","",SUMIFS(RaceResults!$C:$C,RaceResults!$A:$A,$A102,RaceResults!$D:$D,E102))</f>
        <v>7</v>
      </c>
      <c r="I102" s="11">
        <f>IF(F102="","",SUMIFS(RaceResults!$C:$C,RaceResults!$A:$A,$A102,RaceResults!$D:$D,F102))</f>
        <v>2</v>
      </c>
      <c r="J102" s="11">
        <f>IF(D102="","",SUMIFS(RaceResults!$E:$E,RaceResults!$A:$A,$A102,RaceResults!$D:$D,D102))</f>
        <v>3</v>
      </c>
      <c r="K102" s="11">
        <f>IF(E102="","",SUMIFS(RaceResults!$E:$E,RaceResults!$A:$A,$A102,RaceResults!$D:$D,E102))</f>
        <v>30</v>
      </c>
      <c r="L102" s="11">
        <f>IF(F102="","",SUMIFS(RaceResults!$E:$E,RaceResults!$A:$A,$A102,RaceResults!$D:$D,F102))</f>
        <v>35</v>
      </c>
      <c r="M102" s="11">
        <f t="shared" si="1"/>
        <v>68</v>
      </c>
    </row>
    <row r="103" spans="1:13" x14ac:dyDescent="0.3">
      <c r="A103" s="9">
        <v>11</v>
      </c>
      <c r="B103" s="9" t="s">
        <v>69</v>
      </c>
      <c r="C103" s="10" t="s">
        <v>22</v>
      </c>
      <c r="D103" s="3">
        <v>11</v>
      </c>
      <c r="E103" s="3">
        <v>7</v>
      </c>
      <c r="F103" s="3">
        <v>45</v>
      </c>
      <c r="G103" s="11">
        <f>IF(D103="","",SUMIFS(RaceResults!$C:$C,RaceResults!$A:$A,$A103,RaceResults!$D:$D,D103))</f>
        <v>2</v>
      </c>
      <c r="H103" s="11">
        <f>IF(E103="","",SUMIFS(RaceResults!$C:$C,RaceResults!$A:$A,$A103,RaceResults!$D:$D,E103))</f>
        <v>6</v>
      </c>
      <c r="I103" s="11">
        <f>IF(F103="","",SUMIFS(RaceResults!$C:$C,RaceResults!$A:$A,$A103,RaceResults!$D:$D,F103))</f>
        <v>4</v>
      </c>
      <c r="J103" s="11">
        <f>IF(D103="","",SUMIFS(RaceResults!$E:$E,RaceResults!$A:$A,$A103,RaceResults!$D:$D,D103))</f>
        <v>35</v>
      </c>
      <c r="K103" s="11">
        <f>IF(E103="","",SUMIFS(RaceResults!$E:$E,RaceResults!$A:$A,$A103,RaceResults!$D:$D,E103))</f>
        <v>31</v>
      </c>
      <c r="L103" s="11">
        <f>IF(F103="","",SUMIFS(RaceResults!$E:$E,RaceResults!$A:$A,$A103,RaceResults!$D:$D,F103))</f>
        <v>33</v>
      </c>
      <c r="M103" s="11">
        <f t="shared" si="1"/>
        <v>99</v>
      </c>
    </row>
    <row r="104" spans="1:13" x14ac:dyDescent="0.3">
      <c r="A104" s="9">
        <v>11</v>
      </c>
      <c r="B104" s="9" t="s">
        <v>69</v>
      </c>
      <c r="C104" s="10" t="s">
        <v>25</v>
      </c>
      <c r="D104" s="3">
        <v>17</v>
      </c>
      <c r="E104" s="3">
        <v>19</v>
      </c>
      <c r="F104" s="3">
        <v>20</v>
      </c>
      <c r="G104" s="11">
        <f>IF(D104="","",SUMIFS(RaceResults!$C:$C,RaceResults!$A:$A,$A104,RaceResults!$D:$D,D104))</f>
        <v>5</v>
      </c>
      <c r="H104" s="11">
        <f>IF(E104="","",SUMIFS(RaceResults!$C:$C,RaceResults!$A:$A,$A104,RaceResults!$D:$D,E104))</f>
        <v>23</v>
      </c>
      <c r="I104" s="11">
        <f>IF(F104="","",SUMIFS(RaceResults!$C:$C,RaceResults!$A:$A,$A104,RaceResults!$D:$D,F104))</f>
        <v>38</v>
      </c>
      <c r="J104" s="11">
        <f>IF(D104="","",SUMIFS(RaceResults!$E:$E,RaceResults!$A:$A,$A104,RaceResults!$D:$D,D104))</f>
        <v>32</v>
      </c>
      <c r="K104" s="11">
        <f>IF(E104="","",SUMIFS(RaceResults!$E:$E,RaceResults!$A:$A,$A104,RaceResults!$D:$D,E104))</f>
        <v>14</v>
      </c>
      <c r="L104" s="11">
        <f>IF(F104="","",SUMIFS(RaceResults!$E:$E,RaceResults!$A:$A,$A104,RaceResults!$D:$D,F104))</f>
        <v>1</v>
      </c>
      <c r="M104" s="11">
        <f t="shared" si="1"/>
        <v>47</v>
      </c>
    </row>
    <row r="105" spans="1:13" x14ac:dyDescent="0.3">
      <c r="A105" s="9">
        <v>11</v>
      </c>
      <c r="B105" s="9" t="s">
        <v>69</v>
      </c>
      <c r="C105" s="10" t="s">
        <v>26</v>
      </c>
      <c r="D105" s="3">
        <v>11</v>
      </c>
      <c r="E105" s="3">
        <v>77</v>
      </c>
      <c r="F105" s="3">
        <v>12</v>
      </c>
      <c r="G105" s="11">
        <f>IF(D105="","",SUMIFS(RaceResults!$C:$C,RaceResults!$A:$A,$A105,RaceResults!$D:$D,D105))</f>
        <v>2</v>
      </c>
      <c r="H105" s="11">
        <f>IF(E105="","",SUMIFS(RaceResults!$C:$C,RaceResults!$A:$A,$A105,RaceResults!$D:$D,E105))</f>
        <v>7</v>
      </c>
      <c r="I105" s="11">
        <f>IF(F105="","",SUMIFS(RaceResults!$C:$C,RaceResults!$A:$A,$A105,RaceResults!$D:$D,F105))</f>
        <v>10</v>
      </c>
      <c r="J105" s="11">
        <f>IF(D105="","",SUMIFS(RaceResults!$E:$E,RaceResults!$A:$A,$A105,RaceResults!$D:$D,D105))</f>
        <v>35</v>
      </c>
      <c r="K105" s="11">
        <f>IF(E105="","",SUMIFS(RaceResults!$E:$E,RaceResults!$A:$A,$A105,RaceResults!$D:$D,E105))</f>
        <v>30</v>
      </c>
      <c r="L105" s="11">
        <f>IF(F105="","",SUMIFS(RaceResults!$E:$E,RaceResults!$A:$A,$A105,RaceResults!$D:$D,F105))</f>
        <v>27</v>
      </c>
      <c r="M105" s="11">
        <f t="shared" si="1"/>
        <v>92</v>
      </c>
    </row>
    <row r="106" spans="1:13" x14ac:dyDescent="0.3">
      <c r="A106" s="9">
        <v>11</v>
      </c>
      <c r="B106" s="9" t="s">
        <v>69</v>
      </c>
      <c r="C106" s="10" t="s">
        <v>27</v>
      </c>
      <c r="D106" s="3">
        <v>20</v>
      </c>
      <c r="E106" s="3">
        <v>11</v>
      </c>
      <c r="F106" s="3">
        <v>22</v>
      </c>
      <c r="G106" s="11">
        <f>IF(D106="","",SUMIFS(RaceResults!$C:$C,RaceResults!$A:$A,$A106,RaceResults!$D:$D,D106))</f>
        <v>38</v>
      </c>
      <c r="H106" s="11">
        <f>IF(E106="","",SUMIFS(RaceResults!$C:$C,RaceResults!$A:$A,$A106,RaceResults!$D:$D,E106))</f>
        <v>2</v>
      </c>
      <c r="I106" s="11">
        <f>IF(F106="","",SUMIFS(RaceResults!$C:$C,RaceResults!$A:$A,$A106,RaceResults!$D:$D,F106))</f>
        <v>37</v>
      </c>
      <c r="J106" s="11">
        <f>IF(D106="","",SUMIFS(RaceResults!$E:$E,RaceResults!$A:$A,$A106,RaceResults!$D:$D,D106))</f>
        <v>1</v>
      </c>
      <c r="K106" s="11">
        <f>IF(E106="","",SUMIFS(RaceResults!$E:$E,RaceResults!$A:$A,$A106,RaceResults!$D:$D,E106))</f>
        <v>35</v>
      </c>
      <c r="L106" s="11">
        <f>IF(F106="","",SUMIFS(RaceResults!$E:$E,RaceResults!$A:$A,$A106,RaceResults!$D:$D,F106))</f>
        <v>1</v>
      </c>
      <c r="M106" s="11">
        <f t="shared" si="1"/>
        <v>37</v>
      </c>
    </row>
    <row r="107" spans="1:13" x14ac:dyDescent="0.3">
      <c r="A107" s="9">
        <v>11</v>
      </c>
      <c r="B107" s="9" t="s">
        <v>69</v>
      </c>
      <c r="C107" s="10" t="s">
        <v>28</v>
      </c>
      <c r="D107" s="3">
        <v>19</v>
      </c>
      <c r="E107" s="3">
        <v>77</v>
      </c>
      <c r="F107" s="3">
        <v>45</v>
      </c>
      <c r="G107" s="11">
        <f>IF(D107="","",SUMIFS(RaceResults!$C:$C,RaceResults!$A:$A,$A107,RaceResults!$D:$D,D107))</f>
        <v>23</v>
      </c>
      <c r="H107" s="11">
        <f>IF(E107="","",SUMIFS(RaceResults!$C:$C,RaceResults!$A:$A,$A107,RaceResults!$D:$D,E107))</f>
        <v>7</v>
      </c>
      <c r="I107" s="11">
        <f>IF(F107="","",SUMIFS(RaceResults!$C:$C,RaceResults!$A:$A,$A107,RaceResults!$D:$D,F107))</f>
        <v>4</v>
      </c>
      <c r="J107" s="11">
        <f>IF(D107="","",SUMIFS(RaceResults!$E:$E,RaceResults!$A:$A,$A107,RaceResults!$D:$D,D107))</f>
        <v>14</v>
      </c>
      <c r="K107" s="11">
        <f>IF(E107="","",SUMIFS(RaceResults!$E:$E,RaceResults!$A:$A,$A107,RaceResults!$D:$D,E107))</f>
        <v>30</v>
      </c>
      <c r="L107" s="11">
        <f>IF(F107="","",SUMIFS(RaceResults!$E:$E,RaceResults!$A:$A,$A107,RaceResults!$D:$D,F107))</f>
        <v>33</v>
      </c>
      <c r="M107" s="11">
        <f t="shared" si="1"/>
        <v>77</v>
      </c>
    </row>
    <row r="108" spans="1:13" x14ac:dyDescent="0.3">
      <c r="A108" s="9">
        <v>11</v>
      </c>
      <c r="B108" s="9" t="s">
        <v>69</v>
      </c>
      <c r="C108" s="10" t="s">
        <v>29</v>
      </c>
      <c r="D108" s="3">
        <v>48</v>
      </c>
      <c r="E108" s="3">
        <v>5</v>
      </c>
      <c r="F108" s="3">
        <v>9</v>
      </c>
      <c r="G108" s="11">
        <f>IF(D108="","",SUMIFS(RaceResults!$C:$C,RaceResults!$A:$A,$A108,RaceResults!$D:$D,D108))</f>
        <v>3</v>
      </c>
      <c r="H108" s="11">
        <f>IF(E108="","",SUMIFS(RaceResults!$C:$C,RaceResults!$A:$A,$A108,RaceResults!$D:$D,E108))</f>
        <v>34</v>
      </c>
      <c r="I108" s="11">
        <f>IF(F108="","",SUMIFS(RaceResults!$C:$C,RaceResults!$A:$A,$A108,RaceResults!$D:$D,F108))</f>
        <v>1</v>
      </c>
      <c r="J108" s="11">
        <f>IF(D108="","",SUMIFS(RaceResults!$E:$E,RaceResults!$A:$A,$A108,RaceResults!$D:$D,D108))</f>
        <v>34</v>
      </c>
      <c r="K108" s="11">
        <f>IF(E108="","",SUMIFS(RaceResults!$E:$E,RaceResults!$A:$A,$A108,RaceResults!$D:$D,E108))</f>
        <v>3</v>
      </c>
      <c r="L108" s="11">
        <f>IF(F108="","",SUMIFS(RaceResults!$E:$E,RaceResults!$A:$A,$A108,RaceResults!$D:$D,F108))</f>
        <v>55</v>
      </c>
      <c r="M108" s="11">
        <f t="shared" si="1"/>
        <v>92</v>
      </c>
    </row>
    <row r="109" spans="1:13" x14ac:dyDescent="0.3">
      <c r="A109" s="9">
        <v>11</v>
      </c>
      <c r="B109" s="9" t="s">
        <v>69</v>
      </c>
      <c r="C109" s="10" t="s">
        <v>30</v>
      </c>
      <c r="D109" s="3"/>
      <c r="E109" s="3"/>
      <c r="F109" s="3"/>
      <c r="G109" s="11" t="str">
        <f>IF(D109="","",SUMIFS(RaceResults!$C:$C,RaceResults!$A:$A,$A109,RaceResults!$D:$D,D109))</f>
        <v/>
      </c>
      <c r="H109" s="11" t="str">
        <f>IF(E109="","",SUMIFS(RaceResults!$C:$C,RaceResults!$A:$A,$A109,RaceResults!$D:$D,E109))</f>
        <v/>
      </c>
      <c r="I109" s="11" t="str">
        <f>IF(F109="","",SUMIFS(RaceResults!$C:$C,RaceResults!$A:$A,$A109,RaceResults!$D:$D,F109))</f>
        <v/>
      </c>
      <c r="J109" s="11" t="str">
        <f>IF(D109="","",SUMIFS(RaceResults!$E:$E,RaceResults!$A:$A,$A109,RaceResults!$D:$D,D109))</f>
        <v/>
      </c>
      <c r="K109" s="11" t="str">
        <f>IF(E109="","",SUMIFS(RaceResults!$E:$E,RaceResults!$A:$A,$A109,RaceResults!$D:$D,E109))</f>
        <v/>
      </c>
      <c r="L109" s="11" t="str">
        <f>IF(F109="","",SUMIFS(RaceResults!$E:$E,RaceResults!$A:$A,$A109,RaceResults!$D:$D,F109))</f>
        <v/>
      </c>
      <c r="M109" s="11">
        <f t="shared" si="1"/>
        <v>0</v>
      </c>
    </row>
    <row r="110" spans="1:13" x14ac:dyDescent="0.3">
      <c r="A110" s="9">
        <v>11</v>
      </c>
      <c r="B110" s="9" t="s">
        <v>69</v>
      </c>
      <c r="C110" s="10" t="s">
        <v>31</v>
      </c>
      <c r="D110" s="3">
        <v>5</v>
      </c>
      <c r="E110" s="3">
        <v>11</v>
      </c>
      <c r="F110" s="3">
        <v>77</v>
      </c>
      <c r="G110" s="11">
        <f>IF(D110="","",SUMIFS(RaceResults!$C:$C,RaceResults!$A:$A,$A110,RaceResults!$D:$D,D110))</f>
        <v>34</v>
      </c>
      <c r="H110" s="11">
        <f>IF(E110="","",SUMIFS(RaceResults!$C:$C,RaceResults!$A:$A,$A110,RaceResults!$D:$D,E110))</f>
        <v>2</v>
      </c>
      <c r="I110" s="11">
        <f>IF(F110="","",SUMIFS(RaceResults!$C:$C,RaceResults!$A:$A,$A110,RaceResults!$D:$D,F110))</f>
        <v>7</v>
      </c>
      <c r="J110" s="11">
        <f>IF(D110="","",SUMIFS(RaceResults!$E:$E,RaceResults!$A:$A,$A110,RaceResults!$D:$D,D110))</f>
        <v>3</v>
      </c>
      <c r="K110" s="11">
        <f>IF(E110="","",SUMIFS(RaceResults!$E:$E,RaceResults!$A:$A,$A110,RaceResults!$D:$D,E110))</f>
        <v>35</v>
      </c>
      <c r="L110" s="11">
        <f>IF(F110="","",SUMIFS(RaceResults!$E:$E,RaceResults!$A:$A,$A110,RaceResults!$D:$D,F110))</f>
        <v>30</v>
      </c>
      <c r="M110" s="11">
        <f t="shared" si="1"/>
        <v>68</v>
      </c>
    </row>
    <row r="111" spans="1:13" x14ac:dyDescent="0.3">
      <c r="A111" s="9">
        <v>11</v>
      </c>
      <c r="B111" s="9" t="s">
        <v>69</v>
      </c>
      <c r="C111" s="10" t="s">
        <v>32</v>
      </c>
      <c r="D111" s="3">
        <v>11</v>
      </c>
      <c r="E111" s="3">
        <v>8</v>
      </c>
      <c r="F111" s="3">
        <v>54</v>
      </c>
      <c r="G111" s="11">
        <f>IF(D111="","",SUMIFS(RaceResults!$C:$C,RaceResults!$A:$A,$A111,RaceResults!$D:$D,D111))</f>
        <v>2</v>
      </c>
      <c r="H111" s="11">
        <f>IF(E111="","",SUMIFS(RaceResults!$C:$C,RaceResults!$A:$A,$A111,RaceResults!$D:$D,E111))</f>
        <v>20</v>
      </c>
      <c r="I111" s="11">
        <f>IF(F111="","",SUMIFS(RaceResults!$C:$C,RaceResults!$A:$A,$A111,RaceResults!$D:$D,F111))</f>
        <v>36</v>
      </c>
      <c r="J111" s="11">
        <f>IF(D111="","",SUMIFS(RaceResults!$E:$E,RaceResults!$A:$A,$A111,RaceResults!$D:$D,D111))</f>
        <v>35</v>
      </c>
      <c r="K111" s="11">
        <f>IF(E111="","",SUMIFS(RaceResults!$E:$E,RaceResults!$A:$A,$A111,RaceResults!$D:$D,E111))</f>
        <v>17</v>
      </c>
      <c r="L111" s="11">
        <f>IF(F111="","",SUMIFS(RaceResults!$E:$E,RaceResults!$A:$A,$A111,RaceResults!$D:$D,F111))</f>
        <v>1</v>
      </c>
      <c r="M111" s="11">
        <f t="shared" si="1"/>
        <v>53</v>
      </c>
    </row>
    <row r="112" spans="1:13" x14ac:dyDescent="0.3">
      <c r="A112" s="9">
        <v>12</v>
      </c>
      <c r="B112" s="9" t="s">
        <v>71</v>
      </c>
      <c r="C112" s="10" t="s">
        <v>21</v>
      </c>
      <c r="D112" s="3">
        <v>97</v>
      </c>
      <c r="E112" s="3">
        <v>12</v>
      </c>
      <c r="F112" s="3">
        <v>2</v>
      </c>
      <c r="G112" s="11">
        <f>IF(D112="","",SUMIFS(RaceResults!$C:$C,RaceResults!$A:$A,$A112,RaceResults!$D:$D,D112))</f>
        <v>1</v>
      </c>
      <c r="H112" s="11">
        <f>IF(E112="","",SUMIFS(RaceResults!$C:$C,RaceResults!$A:$A,$A112,RaceResults!$D:$D,E112))</f>
        <v>11</v>
      </c>
      <c r="I112" s="11">
        <f>IF(F112="","",SUMIFS(RaceResults!$C:$C,RaceResults!$A:$A,$A112,RaceResults!$D:$D,F112))</f>
        <v>9</v>
      </c>
      <c r="J112" s="11">
        <f>IF(D112="","",SUMIFS(RaceResults!$E:$E,RaceResults!$A:$A,$A112,RaceResults!$D:$D,D112))</f>
        <v>55</v>
      </c>
      <c r="K112" s="11">
        <f>IF(E112="","",SUMIFS(RaceResults!$E:$E,RaceResults!$A:$A,$A112,RaceResults!$D:$D,E112))</f>
        <v>26</v>
      </c>
      <c r="L112" s="11">
        <f>IF(F112="","",SUMIFS(RaceResults!$E:$E,RaceResults!$A:$A,$A112,RaceResults!$D:$D,F112))</f>
        <v>28</v>
      </c>
      <c r="M112" s="11">
        <f t="shared" si="1"/>
        <v>109</v>
      </c>
    </row>
    <row r="113" spans="1:13" x14ac:dyDescent="0.3">
      <c r="A113" s="9">
        <v>12</v>
      </c>
      <c r="B113" s="9" t="s">
        <v>71</v>
      </c>
      <c r="C113" s="10" t="s">
        <v>22</v>
      </c>
      <c r="D113" s="3">
        <v>97</v>
      </c>
      <c r="E113" s="3">
        <v>1</v>
      </c>
      <c r="F113" s="3">
        <v>12</v>
      </c>
      <c r="G113" s="11">
        <f>IF(D113="","",SUMIFS(RaceResults!$C:$C,RaceResults!$A:$A,$A113,RaceResults!$D:$D,D113))</f>
        <v>1</v>
      </c>
      <c r="H113" s="11">
        <f>IF(E113="","",SUMIFS(RaceResults!$C:$C,RaceResults!$A:$A,$A113,RaceResults!$D:$D,E113))</f>
        <v>27</v>
      </c>
      <c r="I113" s="11">
        <f>IF(F113="","",SUMIFS(RaceResults!$C:$C,RaceResults!$A:$A,$A113,RaceResults!$D:$D,F113))</f>
        <v>11</v>
      </c>
      <c r="J113" s="11">
        <f>IF(D113="","",SUMIFS(RaceResults!$E:$E,RaceResults!$A:$A,$A113,RaceResults!$D:$D,D113))</f>
        <v>55</v>
      </c>
      <c r="K113" s="11">
        <f>IF(E113="","",SUMIFS(RaceResults!$E:$E,RaceResults!$A:$A,$A113,RaceResults!$D:$D,E113))</f>
        <v>10</v>
      </c>
      <c r="L113" s="11">
        <f>IF(F113="","",SUMIFS(RaceResults!$E:$E,RaceResults!$A:$A,$A113,RaceResults!$D:$D,F113))</f>
        <v>26</v>
      </c>
      <c r="M113" s="11">
        <f t="shared" si="1"/>
        <v>91</v>
      </c>
    </row>
    <row r="114" spans="1:13" x14ac:dyDescent="0.3">
      <c r="A114" s="9">
        <v>12</v>
      </c>
      <c r="B114" s="9" t="s">
        <v>71</v>
      </c>
      <c r="C114" s="10" t="s">
        <v>25</v>
      </c>
      <c r="D114" s="3">
        <v>97</v>
      </c>
      <c r="E114" s="3">
        <v>20</v>
      </c>
      <c r="F114" s="3">
        <v>17</v>
      </c>
      <c r="G114" s="11">
        <f>IF(D114="","",SUMIFS(RaceResults!$C:$C,RaceResults!$A:$A,$A114,RaceResults!$D:$D,D114))</f>
        <v>1</v>
      </c>
      <c r="H114" s="11">
        <f>IF(E114="","",SUMIFS(RaceResults!$C:$C,RaceResults!$A:$A,$A114,RaceResults!$D:$D,E114))</f>
        <v>21</v>
      </c>
      <c r="I114" s="11">
        <f>IF(F114="","",SUMIFS(RaceResults!$C:$C,RaceResults!$A:$A,$A114,RaceResults!$D:$D,F114))</f>
        <v>12</v>
      </c>
      <c r="J114" s="11">
        <f>IF(D114="","",SUMIFS(RaceResults!$E:$E,RaceResults!$A:$A,$A114,RaceResults!$D:$D,D114))</f>
        <v>55</v>
      </c>
      <c r="K114" s="11">
        <f>IF(E114="","",SUMIFS(RaceResults!$E:$E,RaceResults!$A:$A,$A114,RaceResults!$D:$D,E114))</f>
        <v>16</v>
      </c>
      <c r="L114" s="11">
        <f>IF(F114="","",SUMIFS(RaceResults!$E:$E,RaceResults!$A:$A,$A114,RaceResults!$D:$D,F114))</f>
        <v>25</v>
      </c>
      <c r="M114" s="11">
        <f t="shared" si="1"/>
        <v>96</v>
      </c>
    </row>
    <row r="115" spans="1:13" x14ac:dyDescent="0.3">
      <c r="A115" s="9">
        <v>12</v>
      </c>
      <c r="B115" s="9" t="s">
        <v>71</v>
      </c>
      <c r="C115" s="10" t="s">
        <v>26</v>
      </c>
      <c r="D115" s="3">
        <v>97</v>
      </c>
      <c r="E115" s="3">
        <v>12</v>
      </c>
      <c r="F115" s="3">
        <v>20</v>
      </c>
      <c r="G115" s="11">
        <f>IF(D115="","",SUMIFS(RaceResults!$C:$C,RaceResults!$A:$A,$A115,RaceResults!$D:$D,D115))</f>
        <v>1</v>
      </c>
      <c r="H115" s="11">
        <f>IF(E115="","",SUMIFS(RaceResults!$C:$C,RaceResults!$A:$A,$A115,RaceResults!$D:$D,E115))</f>
        <v>11</v>
      </c>
      <c r="I115" s="11">
        <f>IF(F115="","",SUMIFS(RaceResults!$C:$C,RaceResults!$A:$A,$A115,RaceResults!$D:$D,F115))</f>
        <v>21</v>
      </c>
      <c r="J115" s="11">
        <f>IF(D115="","",SUMIFS(RaceResults!$E:$E,RaceResults!$A:$A,$A115,RaceResults!$D:$D,D115))</f>
        <v>55</v>
      </c>
      <c r="K115" s="11">
        <f>IF(E115="","",SUMIFS(RaceResults!$E:$E,RaceResults!$A:$A,$A115,RaceResults!$D:$D,E115))</f>
        <v>26</v>
      </c>
      <c r="L115" s="11">
        <f>IF(F115="","",SUMIFS(RaceResults!$E:$E,RaceResults!$A:$A,$A115,RaceResults!$D:$D,F115))</f>
        <v>16</v>
      </c>
      <c r="M115" s="11">
        <f t="shared" si="1"/>
        <v>97</v>
      </c>
    </row>
    <row r="116" spans="1:13" x14ac:dyDescent="0.3">
      <c r="A116" s="9">
        <v>12</v>
      </c>
      <c r="B116" s="9" t="s">
        <v>71</v>
      </c>
      <c r="C116" s="10" t="s">
        <v>27</v>
      </c>
      <c r="D116" s="3">
        <v>22</v>
      </c>
      <c r="E116" s="3">
        <v>2</v>
      </c>
      <c r="F116" s="3">
        <v>20</v>
      </c>
      <c r="G116" s="11">
        <f>IF(D116="","",SUMIFS(RaceResults!$C:$C,RaceResults!$A:$A,$A116,RaceResults!$D:$D,D116))</f>
        <v>38</v>
      </c>
      <c r="H116" s="11">
        <f>IF(E116="","",SUMIFS(RaceResults!$C:$C,RaceResults!$A:$A,$A116,RaceResults!$D:$D,E116))</f>
        <v>9</v>
      </c>
      <c r="I116" s="11">
        <f>IF(F116="","",SUMIFS(RaceResults!$C:$C,RaceResults!$A:$A,$A116,RaceResults!$D:$D,F116))</f>
        <v>21</v>
      </c>
      <c r="J116" s="11">
        <f>IF(D116="","",SUMIFS(RaceResults!$E:$E,RaceResults!$A:$A,$A116,RaceResults!$D:$D,D116))</f>
        <v>1</v>
      </c>
      <c r="K116" s="11">
        <f>IF(E116="","",SUMIFS(RaceResults!$E:$E,RaceResults!$A:$A,$A116,RaceResults!$D:$D,E116))</f>
        <v>28</v>
      </c>
      <c r="L116" s="11">
        <f>IF(F116="","",SUMIFS(RaceResults!$E:$E,RaceResults!$A:$A,$A116,RaceResults!$D:$D,F116))</f>
        <v>16</v>
      </c>
      <c r="M116" s="11">
        <f t="shared" si="1"/>
        <v>45</v>
      </c>
    </row>
    <row r="117" spans="1:13" x14ac:dyDescent="0.3">
      <c r="A117" s="9">
        <v>12</v>
      </c>
      <c r="B117" s="9" t="s">
        <v>71</v>
      </c>
      <c r="C117" s="10" t="s">
        <v>28</v>
      </c>
      <c r="D117" s="3">
        <v>97</v>
      </c>
      <c r="E117" s="3">
        <v>20</v>
      </c>
      <c r="F117" s="3">
        <v>45</v>
      </c>
      <c r="G117" s="11">
        <f>IF(D117="","",SUMIFS(RaceResults!$C:$C,RaceResults!$A:$A,$A117,RaceResults!$D:$D,D117))</f>
        <v>1</v>
      </c>
      <c r="H117" s="11">
        <f>IF(E117="","",SUMIFS(RaceResults!$C:$C,RaceResults!$A:$A,$A117,RaceResults!$D:$D,E117))</f>
        <v>21</v>
      </c>
      <c r="I117" s="11">
        <f>IF(F117="","",SUMIFS(RaceResults!$C:$C,RaceResults!$A:$A,$A117,RaceResults!$D:$D,F117))</f>
        <v>5</v>
      </c>
      <c r="J117" s="11">
        <f>IF(D117="","",SUMIFS(RaceResults!$E:$E,RaceResults!$A:$A,$A117,RaceResults!$D:$D,D117))</f>
        <v>55</v>
      </c>
      <c r="K117" s="11">
        <f>IF(E117="","",SUMIFS(RaceResults!$E:$E,RaceResults!$A:$A,$A117,RaceResults!$D:$D,E117))</f>
        <v>16</v>
      </c>
      <c r="L117" s="11">
        <f>IF(F117="","",SUMIFS(RaceResults!$E:$E,RaceResults!$A:$A,$A117,RaceResults!$D:$D,F117))</f>
        <v>32</v>
      </c>
      <c r="M117" s="11">
        <f t="shared" si="1"/>
        <v>103</v>
      </c>
    </row>
    <row r="118" spans="1:13" x14ac:dyDescent="0.3">
      <c r="A118" s="9">
        <v>12</v>
      </c>
      <c r="B118" s="9" t="s">
        <v>71</v>
      </c>
      <c r="C118" s="10" t="s">
        <v>29</v>
      </c>
      <c r="D118" s="3">
        <v>24</v>
      </c>
      <c r="E118" s="3">
        <v>5</v>
      </c>
      <c r="F118" s="3">
        <v>9</v>
      </c>
      <c r="G118" s="11">
        <f>IF(D118="","",SUMIFS(RaceResults!$C:$C,RaceResults!$A:$A,$A118,RaceResults!$D:$D,D118))</f>
        <v>36</v>
      </c>
      <c r="H118" s="11">
        <f>IF(E118="","",SUMIFS(RaceResults!$C:$C,RaceResults!$A:$A,$A118,RaceResults!$D:$D,E118))</f>
        <v>23</v>
      </c>
      <c r="I118" s="11">
        <f>IF(F118="","",SUMIFS(RaceResults!$C:$C,RaceResults!$A:$A,$A118,RaceResults!$D:$D,F118))</f>
        <v>24</v>
      </c>
      <c r="J118" s="11">
        <f>IF(D118="","",SUMIFS(RaceResults!$E:$E,RaceResults!$A:$A,$A118,RaceResults!$D:$D,D118))</f>
        <v>1</v>
      </c>
      <c r="K118" s="11">
        <f>IF(E118="","",SUMIFS(RaceResults!$E:$E,RaceResults!$A:$A,$A118,RaceResults!$D:$D,E118))</f>
        <v>14</v>
      </c>
      <c r="L118" s="11">
        <f>IF(F118="","",SUMIFS(RaceResults!$E:$E,RaceResults!$A:$A,$A118,RaceResults!$D:$D,F118))</f>
        <v>13</v>
      </c>
      <c r="M118" s="11">
        <f t="shared" si="1"/>
        <v>28</v>
      </c>
    </row>
    <row r="119" spans="1:13" x14ac:dyDescent="0.3">
      <c r="A119" s="9">
        <v>12</v>
      </c>
      <c r="B119" s="9" t="s">
        <v>71</v>
      </c>
      <c r="C119" s="10" t="s">
        <v>30</v>
      </c>
      <c r="D119" s="3"/>
      <c r="E119" s="3"/>
      <c r="F119" s="3"/>
      <c r="G119" s="11" t="str">
        <f>IF(D119="","",SUMIFS(RaceResults!$C:$C,RaceResults!$A:$A,$A119,RaceResults!$D:$D,D119))</f>
        <v/>
      </c>
      <c r="H119" s="11" t="str">
        <f>IF(E119="","",SUMIFS(RaceResults!$C:$C,RaceResults!$A:$A,$A119,RaceResults!$D:$D,E119))</f>
        <v/>
      </c>
      <c r="I119" s="11" t="str">
        <f>IF(F119="","",SUMIFS(RaceResults!$C:$C,RaceResults!$A:$A,$A119,RaceResults!$D:$D,F119))</f>
        <v/>
      </c>
      <c r="J119" s="11" t="str">
        <f>IF(D119="","",SUMIFS(RaceResults!$E:$E,RaceResults!$A:$A,$A119,RaceResults!$D:$D,D119))</f>
        <v/>
      </c>
      <c r="K119" s="11" t="str">
        <f>IF(E119="","",SUMIFS(RaceResults!$E:$E,RaceResults!$A:$A,$A119,RaceResults!$D:$D,E119))</f>
        <v/>
      </c>
      <c r="L119" s="11" t="str">
        <f>IF(F119="","",SUMIFS(RaceResults!$E:$E,RaceResults!$A:$A,$A119,RaceResults!$D:$D,F119))</f>
        <v/>
      </c>
      <c r="M119" s="11">
        <f t="shared" si="1"/>
        <v>0</v>
      </c>
    </row>
    <row r="120" spans="1:13" x14ac:dyDescent="0.3">
      <c r="A120" s="9">
        <v>12</v>
      </c>
      <c r="B120" s="9" t="s">
        <v>71</v>
      </c>
      <c r="C120" s="10" t="s">
        <v>31</v>
      </c>
      <c r="D120" s="3">
        <v>5</v>
      </c>
      <c r="E120" s="3">
        <v>97</v>
      </c>
      <c r="F120" s="3">
        <v>9</v>
      </c>
      <c r="G120" s="11">
        <f>IF(D120="","",SUMIFS(RaceResults!$C:$C,RaceResults!$A:$A,$A120,RaceResults!$D:$D,D120))</f>
        <v>23</v>
      </c>
      <c r="H120" s="11">
        <f>IF(E120="","",SUMIFS(RaceResults!$C:$C,RaceResults!$A:$A,$A120,RaceResults!$D:$D,E120))</f>
        <v>1</v>
      </c>
      <c r="I120" s="11">
        <f>IF(F120="","",SUMIFS(RaceResults!$C:$C,RaceResults!$A:$A,$A120,RaceResults!$D:$D,F120))</f>
        <v>24</v>
      </c>
      <c r="J120" s="11">
        <f>IF(D120="","",SUMIFS(RaceResults!$E:$E,RaceResults!$A:$A,$A120,RaceResults!$D:$D,D120))</f>
        <v>14</v>
      </c>
      <c r="K120" s="11">
        <f>IF(E120="","",SUMIFS(RaceResults!$E:$E,RaceResults!$A:$A,$A120,RaceResults!$D:$D,E120))</f>
        <v>55</v>
      </c>
      <c r="L120" s="11">
        <f>IF(F120="","",SUMIFS(RaceResults!$E:$E,RaceResults!$A:$A,$A120,RaceResults!$D:$D,F120))</f>
        <v>13</v>
      </c>
      <c r="M120" s="11">
        <f t="shared" si="1"/>
        <v>82</v>
      </c>
    </row>
    <row r="121" spans="1:13" x14ac:dyDescent="0.3">
      <c r="A121" s="9">
        <v>12</v>
      </c>
      <c r="B121" s="9" t="s">
        <v>71</v>
      </c>
      <c r="C121" s="10" t="s">
        <v>32</v>
      </c>
      <c r="D121" s="3">
        <v>1</v>
      </c>
      <c r="E121" s="3">
        <v>22</v>
      </c>
      <c r="F121" s="3">
        <v>20</v>
      </c>
      <c r="G121" s="11">
        <f>IF(D121="","",SUMIFS(RaceResults!$C:$C,RaceResults!$A:$A,$A121,RaceResults!$D:$D,D121))</f>
        <v>27</v>
      </c>
      <c r="H121" s="11">
        <f>IF(E121="","",SUMIFS(RaceResults!$C:$C,RaceResults!$A:$A,$A121,RaceResults!$D:$D,E121))</f>
        <v>38</v>
      </c>
      <c r="I121" s="11">
        <f>IF(F121="","",SUMIFS(RaceResults!$C:$C,RaceResults!$A:$A,$A121,RaceResults!$D:$D,F121))</f>
        <v>21</v>
      </c>
      <c r="J121" s="11">
        <f>IF(D121="","",SUMIFS(RaceResults!$E:$E,RaceResults!$A:$A,$A121,RaceResults!$D:$D,D121))</f>
        <v>10</v>
      </c>
      <c r="K121" s="11">
        <f>IF(E121="","",SUMIFS(RaceResults!$E:$E,RaceResults!$A:$A,$A121,RaceResults!$D:$D,E121))</f>
        <v>1</v>
      </c>
      <c r="L121" s="11">
        <f>IF(F121="","",SUMIFS(RaceResults!$E:$E,RaceResults!$A:$A,$A121,RaceResults!$D:$D,F121))</f>
        <v>16</v>
      </c>
      <c r="M121" s="11">
        <f t="shared" si="1"/>
        <v>27</v>
      </c>
    </row>
    <row r="122" spans="1:13" x14ac:dyDescent="0.3">
      <c r="A122" s="9">
        <v>13</v>
      </c>
      <c r="B122" s="9" t="s">
        <v>73</v>
      </c>
      <c r="C122" s="10" t="s">
        <v>21</v>
      </c>
      <c r="D122" s="3">
        <v>45</v>
      </c>
      <c r="E122" s="3">
        <v>12</v>
      </c>
      <c r="F122" s="3">
        <v>1</v>
      </c>
      <c r="G122" s="11">
        <f>IF(D122="","",SUMIFS(RaceResults!$C:$C,RaceResults!$A:$A,$A122,RaceResults!$D:$D,D122))</f>
        <v>0</v>
      </c>
      <c r="H122" s="11">
        <f>IF(E122="","",SUMIFS(RaceResults!$C:$C,RaceResults!$A:$A,$A122,RaceResults!$D:$D,E122))</f>
        <v>0</v>
      </c>
      <c r="I122" s="11">
        <f>IF(F122="","",SUMIFS(RaceResults!$C:$C,RaceResults!$A:$A,$A122,RaceResults!$D:$D,F122))</f>
        <v>0</v>
      </c>
      <c r="J122" s="11">
        <f>IF(D122="","",SUMIFS(RaceResults!$E:$E,RaceResults!$A:$A,$A122,RaceResults!$D:$D,D122))</f>
        <v>0</v>
      </c>
      <c r="K122" s="11">
        <f>IF(E122="","",SUMIFS(RaceResults!$E:$E,RaceResults!$A:$A,$A122,RaceResults!$D:$D,E122))</f>
        <v>0</v>
      </c>
      <c r="L122" s="11">
        <f>IF(F122="","",SUMIFS(RaceResults!$E:$E,RaceResults!$A:$A,$A122,RaceResults!$D:$D,F122))</f>
        <v>0</v>
      </c>
      <c r="M122" s="11">
        <f t="shared" si="1"/>
        <v>0</v>
      </c>
    </row>
    <row r="123" spans="1:13" x14ac:dyDescent="0.3">
      <c r="A123" s="9">
        <v>13</v>
      </c>
      <c r="B123" s="9" t="s">
        <v>73</v>
      </c>
      <c r="C123" s="10" t="s">
        <v>22</v>
      </c>
      <c r="D123" s="3">
        <v>45</v>
      </c>
      <c r="E123" s="3">
        <v>11</v>
      </c>
      <c r="F123" s="3">
        <v>5</v>
      </c>
      <c r="G123" s="11">
        <f>IF(D123="","",SUMIFS(RaceResults!$C:$C,RaceResults!$A:$A,$A123,RaceResults!$D:$D,D123))</f>
        <v>0</v>
      </c>
      <c r="H123" s="11">
        <f>IF(E123="","",SUMIFS(RaceResults!$C:$C,RaceResults!$A:$A,$A123,RaceResults!$D:$D,E123))</f>
        <v>0</v>
      </c>
      <c r="I123" s="11">
        <f>IF(F123="","",SUMIFS(RaceResults!$C:$C,RaceResults!$A:$A,$A123,RaceResults!$D:$D,F123))</f>
        <v>0</v>
      </c>
      <c r="J123" s="11">
        <f>IF(D123="","",SUMIFS(RaceResults!$E:$E,RaceResults!$A:$A,$A123,RaceResults!$D:$D,D123))</f>
        <v>0</v>
      </c>
      <c r="K123" s="11">
        <f>IF(E123="","",SUMIFS(RaceResults!$E:$E,RaceResults!$A:$A,$A123,RaceResults!$D:$D,E123))</f>
        <v>0</v>
      </c>
      <c r="L123" s="11">
        <f>IF(F123="","",SUMIFS(RaceResults!$E:$E,RaceResults!$A:$A,$A123,RaceResults!$D:$D,F123))</f>
        <v>0</v>
      </c>
      <c r="M123" s="11">
        <f t="shared" si="1"/>
        <v>0</v>
      </c>
    </row>
    <row r="124" spans="1:13" x14ac:dyDescent="0.3">
      <c r="A124" s="9">
        <v>13</v>
      </c>
      <c r="B124" s="9" t="s">
        <v>73</v>
      </c>
      <c r="C124" s="10" t="s">
        <v>25</v>
      </c>
      <c r="D124" s="3">
        <v>11</v>
      </c>
      <c r="E124" s="3">
        <v>1</v>
      </c>
      <c r="F124" s="3">
        <v>24</v>
      </c>
      <c r="G124" s="11">
        <f>IF(D124="","",SUMIFS(RaceResults!$C:$C,RaceResults!$A:$A,$A124,RaceResults!$D:$D,D124))</f>
        <v>0</v>
      </c>
      <c r="H124" s="11">
        <f>IF(E124="","",SUMIFS(RaceResults!$C:$C,RaceResults!$A:$A,$A124,RaceResults!$D:$D,E124))</f>
        <v>0</v>
      </c>
      <c r="I124" s="11">
        <f>IF(F124="","",SUMIFS(RaceResults!$C:$C,RaceResults!$A:$A,$A124,RaceResults!$D:$D,F124))</f>
        <v>0</v>
      </c>
      <c r="J124" s="11">
        <f>IF(D124="","",SUMIFS(RaceResults!$E:$E,RaceResults!$A:$A,$A124,RaceResults!$D:$D,D124))</f>
        <v>0</v>
      </c>
      <c r="K124" s="11">
        <f>IF(E124="","",SUMIFS(RaceResults!$E:$E,RaceResults!$A:$A,$A124,RaceResults!$D:$D,E124))</f>
        <v>0</v>
      </c>
      <c r="L124" s="11">
        <f>IF(F124="","",SUMIFS(RaceResults!$E:$E,RaceResults!$A:$A,$A124,RaceResults!$D:$D,F124))</f>
        <v>0</v>
      </c>
      <c r="M124" s="11">
        <f t="shared" si="1"/>
        <v>0</v>
      </c>
    </row>
    <row r="125" spans="1:13" x14ac:dyDescent="0.3">
      <c r="A125" s="9">
        <v>13</v>
      </c>
      <c r="B125" s="9" t="s">
        <v>73</v>
      </c>
      <c r="C125" s="10" t="s">
        <v>26</v>
      </c>
      <c r="D125" s="3">
        <v>11</v>
      </c>
      <c r="E125" s="3">
        <v>45</v>
      </c>
      <c r="F125" s="3">
        <v>12</v>
      </c>
      <c r="G125" s="11">
        <f>IF(D125="","",SUMIFS(RaceResults!$C:$C,RaceResults!$A:$A,$A125,RaceResults!$D:$D,D125))</f>
        <v>0</v>
      </c>
      <c r="H125" s="11">
        <f>IF(E125="","",SUMIFS(RaceResults!$C:$C,RaceResults!$A:$A,$A125,RaceResults!$D:$D,E125))</f>
        <v>0</v>
      </c>
      <c r="I125" s="11">
        <f>IF(F125="","",SUMIFS(RaceResults!$C:$C,RaceResults!$A:$A,$A125,RaceResults!$D:$D,F125))</f>
        <v>0</v>
      </c>
      <c r="J125" s="11">
        <f>IF(D125="","",SUMIFS(RaceResults!$E:$E,RaceResults!$A:$A,$A125,RaceResults!$D:$D,D125))</f>
        <v>0</v>
      </c>
      <c r="K125" s="11">
        <f>IF(E125="","",SUMIFS(RaceResults!$E:$E,RaceResults!$A:$A,$A125,RaceResults!$D:$D,E125))</f>
        <v>0</v>
      </c>
      <c r="L125" s="11">
        <f>IF(F125="","",SUMIFS(RaceResults!$E:$E,RaceResults!$A:$A,$A125,RaceResults!$D:$D,F125))</f>
        <v>0</v>
      </c>
      <c r="M125" s="11">
        <f t="shared" si="1"/>
        <v>0</v>
      </c>
    </row>
    <row r="126" spans="1:13" x14ac:dyDescent="0.3">
      <c r="A126" s="9">
        <v>13</v>
      </c>
      <c r="B126" s="9" t="s">
        <v>73</v>
      </c>
      <c r="C126" s="10" t="s">
        <v>27</v>
      </c>
      <c r="D126" s="3">
        <v>45</v>
      </c>
      <c r="E126" s="3">
        <v>12</v>
      </c>
      <c r="F126" s="3">
        <v>2</v>
      </c>
      <c r="G126" s="11">
        <f>IF(D126="","",SUMIFS(RaceResults!$C:$C,RaceResults!$A:$A,$A126,RaceResults!$D:$D,D126))</f>
        <v>0</v>
      </c>
      <c r="H126" s="11">
        <f>IF(E126="","",SUMIFS(RaceResults!$C:$C,RaceResults!$A:$A,$A126,RaceResults!$D:$D,E126))</f>
        <v>0</v>
      </c>
      <c r="I126" s="11">
        <f>IF(F126="","",SUMIFS(RaceResults!$C:$C,RaceResults!$A:$A,$A126,RaceResults!$D:$D,F126))</f>
        <v>0</v>
      </c>
      <c r="J126" s="11">
        <f>IF(D126="","",SUMIFS(RaceResults!$E:$E,RaceResults!$A:$A,$A126,RaceResults!$D:$D,D126))</f>
        <v>0</v>
      </c>
      <c r="K126" s="11">
        <f>IF(E126="","",SUMIFS(RaceResults!$E:$E,RaceResults!$A:$A,$A126,RaceResults!$D:$D,E126))</f>
        <v>0</v>
      </c>
      <c r="L126" s="11">
        <f>IF(F126="","",SUMIFS(RaceResults!$E:$E,RaceResults!$A:$A,$A126,RaceResults!$D:$D,F126))</f>
        <v>0</v>
      </c>
      <c r="M126" s="11">
        <f t="shared" si="1"/>
        <v>0</v>
      </c>
    </row>
    <row r="127" spans="1:13" x14ac:dyDescent="0.3">
      <c r="A127" s="9">
        <v>13</v>
      </c>
      <c r="B127" s="9" t="s">
        <v>73</v>
      </c>
      <c r="C127" s="10" t="s">
        <v>28</v>
      </c>
      <c r="D127" s="3">
        <v>23</v>
      </c>
      <c r="E127" s="3">
        <v>5</v>
      </c>
      <c r="F127" s="3">
        <v>11</v>
      </c>
      <c r="G127" s="11">
        <f>IF(D127="","",SUMIFS(RaceResults!$C:$C,RaceResults!$A:$A,$A127,RaceResults!$D:$D,D127))</f>
        <v>0</v>
      </c>
      <c r="H127" s="11">
        <f>IF(E127="","",SUMIFS(RaceResults!$C:$C,RaceResults!$A:$A,$A127,RaceResults!$D:$D,E127))</f>
        <v>0</v>
      </c>
      <c r="I127" s="11">
        <f>IF(F127="","",SUMIFS(RaceResults!$C:$C,RaceResults!$A:$A,$A127,RaceResults!$D:$D,F127))</f>
        <v>0</v>
      </c>
      <c r="J127" s="11">
        <f>IF(D127="","",SUMIFS(RaceResults!$E:$E,RaceResults!$A:$A,$A127,RaceResults!$D:$D,D127))</f>
        <v>0</v>
      </c>
      <c r="K127" s="11">
        <f>IF(E127="","",SUMIFS(RaceResults!$E:$E,RaceResults!$A:$A,$A127,RaceResults!$D:$D,E127))</f>
        <v>0</v>
      </c>
      <c r="L127" s="11">
        <f>IF(F127="","",SUMIFS(RaceResults!$E:$E,RaceResults!$A:$A,$A127,RaceResults!$D:$D,F127))</f>
        <v>0</v>
      </c>
      <c r="M127" s="11">
        <f t="shared" si="1"/>
        <v>0</v>
      </c>
    </row>
    <row r="128" spans="1:13" x14ac:dyDescent="0.3">
      <c r="A128" s="9">
        <v>13</v>
      </c>
      <c r="B128" s="9" t="s">
        <v>73</v>
      </c>
      <c r="C128" s="10" t="s">
        <v>29</v>
      </c>
      <c r="D128" s="3">
        <v>9</v>
      </c>
      <c r="E128" s="3">
        <v>5</v>
      </c>
      <c r="F128" s="3">
        <v>48</v>
      </c>
      <c r="G128" s="11">
        <f>IF(D128="","",SUMIFS(RaceResults!$C:$C,RaceResults!$A:$A,$A128,RaceResults!$D:$D,D128))</f>
        <v>0</v>
      </c>
      <c r="H128" s="11">
        <f>IF(E128="","",SUMIFS(RaceResults!$C:$C,RaceResults!$A:$A,$A128,RaceResults!$D:$D,E128))</f>
        <v>0</v>
      </c>
      <c r="I128" s="11">
        <f>IF(F128="","",SUMIFS(RaceResults!$C:$C,RaceResults!$A:$A,$A128,RaceResults!$D:$D,F128))</f>
        <v>0</v>
      </c>
      <c r="J128" s="11">
        <f>IF(D128="","",SUMIFS(RaceResults!$E:$E,RaceResults!$A:$A,$A128,RaceResults!$D:$D,D128))</f>
        <v>0</v>
      </c>
      <c r="K128" s="11">
        <f>IF(E128="","",SUMIFS(RaceResults!$E:$E,RaceResults!$A:$A,$A128,RaceResults!$D:$D,E128))</f>
        <v>0</v>
      </c>
      <c r="L128" s="11">
        <f>IF(F128="","",SUMIFS(RaceResults!$E:$E,RaceResults!$A:$A,$A128,RaceResults!$D:$D,F128))</f>
        <v>0</v>
      </c>
      <c r="M128" s="11">
        <f t="shared" si="1"/>
        <v>0</v>
      </c>
    </row>
    <row r="129" spans="1:13" x14ac:dyDescent="0.3">
      <c r="A129" s="9">
        <v>13</v>
      </c>
      <c r="B129" s="9" t="s">
        <v>73</v>
      </c>
      <c r="C129" s="10" t="s">
        <v>30</v>
      </c>
      <c r="D129" s="3"/>
      <c r="E129" s="3"/>
      <c r="F129" s="3"/>
      <c r="G129" s="11" t="str">
        <f>IF(D129="","",SUMIFS(RaceResults!$C:$C,RaceResults!$A:$A,$A129,RaceResults!$D:$D,D129))</f>
        <v/>
      </c>
      <c r="H129" s="11" t="str">
        <f>IF(E129="","",SUMIFS(RaceResults!$C:$C,RaceResults!$A:$A,$A129,RaceResults!$D:$D,E129))</f>
        <v/>
      </c>
      <c r="I129" s="11" t="str">
        <f>IF(F129="","",SUMIFS(RaceResults!$C:$C,RaceResults!$A:$A,$A129,RaceResults!$D:$D,F129))</f>
        <v/>
      </c>
      <c r="J129" s="11" t="str">
        <f>IF(D129="","",SUMIFS(RaceResults!$E:$E,RaceResults!$A:$A,$A129,RaceResults!$D:$D,D129))</f>
        <v/>
      </c>
      <c r="K129" s="11" t="str">
        <f>IF(E129="","",SUMIFS(RaceResults!$E:$E,RaceResults!$A:$A,$A129,RaceResults!$D:$D,E129))</f>
        <v/>
      </c>
      <c r="L129" s="11" t="str">
        <f>IF(F129="","",SUMIFS(RaceResults!$E:$E,RaceResults!$A:$A,$A129,RaceResults!$D:$D,F129))</f>
        <v/>
      </c>
      <c r="M129" s="11">
        <f t="shared" si="1"/>
        <v>0</v>
      </c>
    </row>
    <row r="130" spans="1:13" x14ac:dyDescent="0.3">
      <c r="A130" s="9">
        <v>13</v>
      </c>
      <c r="B130" s="9" t="s">
        <v>73</v>
      </c>
      <c r="C130" s="10" t="s">
        <v>31</v>
      </c>
      <c r="D130" s="3">
        <v>5</v>
      </c>
      <c r="E130" s="3">
        <v>11</v>
      </c>
      <c r="F130" s="3">
        <v>12</v>
      </c>
      <c r="G130" s="11">
        <f>IF(D130="","",SUMIFS(RaceResults!$C:$C,RaceResults!$A:$A,$A130,RaceResults!$D:$D,D130))</f>
        <v>0</v>
      </c>
      <c r="H130" s="11">
        <f>IF(E130="","",SUMIFS(RaceResults!$C:$C,RaceResults!$A:$A,$A130,RaceResults!$D:$D,E130))</f>
        <v>0</v>
      </c>
      <c r="I130" s="11">
        <f>IF(F130="","",SUMIFS(RaceResults!$C:$C,RaceResults!$A:$A,$A130,RaceResults!$D:$D,F130))</f>
        <v>0</v>
      </c>
      <c r="J130" s="11">
        <f>IF(D130="","",SUMIFS(RaceResults!$E:$E,RaceResults!$A:$A,$A130,RaceResults!$D:$D,D130))</f>
        <v>0</v>
      </c>
      <c r="K130" s="11">
        <f>IF(E130="","",SUMIFS(RaceResults!$E:$E,RaceResults!$A:$A,$A130,RaceResults!$D:$D,E130))</f>
        <v>0</v>
      </c>
      <c r="L130" s="11">
        <f>IF(F130="","",SUMIFS(RaceResults!$E:$E,RaceResults!$A:$A,$A130,RaceResults!$D:$D,F130))</f>
        <v>0</v>
      </c>
      <c r="M130" s="11">
        <f t="shared" ref="M130:M193" si="2">SUM(J130:L130)</f>
        <v>0</v>
      </c>
    </row>
    <row r="131" spans="1:13" x14ac:dyDescent="0.3">
      <c r="A131" s="9">
        <v>13</v>
      </c>
      <c r="B131" s="9" t="s">
        <v>73</v>
      </c>
      <c r="C131" s="10" t="s">
        <v>32</v>
      </c>
      <c r="D131" s="3">
        <v>54</v>
      </c>
      <c r="E131" s="3">
        <v>45</v>
      </c>
      <c r="F131" s="3">
        <v>19</v>
      </c>
      <c r="G131" s="11">
        <f>IF(D131="","",SUMIFS(RaceResults!$C:$C,RaceResults!$A:$A,$A131,RaceResults!$D:$D,D131))</f>
        <v>0</v>
      </c>
      <c r="H131" s="11">
        <f>IF(E131="","",SUMIFS(RaceResults!$C:$C,RaceResults!$A:$A,$A131,RaceResults!$D:$D,E131))</f>
        <v>0</v>
      </c>
      <c r="I131" s="11">
        <f>IF(F131="","",SUMIFS(RaceResults!$C:$C,RaceResults!$A:$A,$A131,RaceResults!$D:$D,F131))</f>
        <v>0</v>
      </c>
      <c r="J131" s="11">
        <f>IF(D131="","",SUMIFS(RaceResults!$E:$E,RaceResults!$A:$A,$A131,RaceResults!$D:$D,D131))</f>
        <v>0</v>
      </c>
      <c r="K131" s="11">
        <f>IF(E131="","",SUMIFS(RaceResults!$E:$E,RaceResults!$A:$A,$A131,RaceResults!$D:$D,E131))</f>
        <v>0</v>
      </c>
      <c r="L131" s="11">
        <f>IF(F131="","",SUMIFS(RaceResults!$E:$E,RaceResults!$A:$A,$A131,RaceResults!$D:$D,F131))</f>
        <v>0</v>
      </c>
      <c r="M131" s="11">
        <f t="shared" si="2"/>
        <v>0</v>
      </c>
    </row>
    <row r="132" spans="1:13" x14ac:dyDescent="0.3">
      <c r="A132" s="9">
        <v>14</v>
      </c>
      <c r="B132" s="9" t="s">
        <v>76</v>
      </c>
      <c r="C132" s="10" t="s">
        <v>21</v>
      </c>
      <c r="D132" s="3"/>
      <c r="E132" s="3"/>
      <c r="F132" s="3"/>
      <c r="G132" s="11" t="str">
        <f>IF(D132="","",SUMIFS(RaceResults!$C:$C,RaceResults!$A:$A,$A132,RaceResults!$D:$D,D132))</f>
        <v/>
      </c>
      <c r="H132" s="11" t="str">
        <f>IF(E132="","",SUMIFS(RaceResults!$C:$C,RaceResults!$A:$A,$A132,RaceResults!$D:$D,E132))</f>
        <v/>
      </c>
      <c r="I132" s="11" t="str">
        <f>IF(F132="","",SUMIFS(RaceResults!$C:$C,RaceResults!$A:$A,$A132,RaceResults!$D:$D,F132))</f>
        <v/>
      </c>
      <c r="J132" s="11" t="str">
        <f>IF(D132="","",SUMIFS(RaceResults!$E:$E,RaceResults!$A:$A,$A132,RaceResults!$D:$D,D132))</f>
        <v/>
      </c>
      <c r="K132" s="11" t="str">
        <f>IF(E132="","",SUMIFS(RaceResults!$E:$E,RaceResults!$A:$A,$A132,RaceResults!$D:$D,E132))</f>
        <v/>
      </c>
      <c r="L132" s="11" t="str">
        <f>IF(F132="","",SUMIFS(RaceResults!$E:$E,RaceResults!$A:$A,$A132,RaceResults!$D:$D,F132))</f>
        <v/>
      </c>
      <c r="M132" s="11">
        <f t="shared" si="2"/>
        <v>0</v>
      </c>
    </row>
    <row r="133" spans="1:13" x14ac:dyDescent="0.3">
      <c r="A133" s="9">
        <v>14</v>
      </c>
      <c r="B133" s="9" t="s">
        <v>76</v>
      </c>
      <c r="C133" s="10" t="s">
        <v>22</v>
      </c>
      <c r="D133" s="3"/>
      <c r="E133" s="3"/>
      <c r="F133" s="3"/>
      <c r="G133" s="11" t="str">
        <f>IF(D133="","",SUMIFS(RaceResults!$C:$C,RaceResults!$A:$A,$A133,RaceResults!$D:$D,D133))</f>
        <v/>
      </c>
      <c r="H133" s="11" t="str">
        <f>IF(E133="","",SUMIFS(RaceResults!$C:$C,RaceResults!$A:$A,$A133,RaceResults!$D:$D,E133))</f>
        <v/>
      </c>
      <c r="I133" s="11" t="str">
        <f>IF(F133="","",SUMIFS(RaceResults!$C:$C,RaceResults!$A:$A,$A133,RaceResults!$D:$D,F133))</f>
        <v/>
      </c>
      <c r="J133" s="11" t="str">
        <f>IF(D133="","",SUMIFS(RaceResults!$E:$E,RaceResults!$A:$A,$A133,RaceResults!$D:$D,D133))</f>
        <v/>
      </c>
      <c r="K133" s="11" t="str">
        <f>IF(E133="","",SUMIFS(RaceResults!$E:$E,RaceResults!$A:$A,$A133,RaceResults!$D:$D,E133))</f>
        <v/>
      </c>
      <c r="L133" s="11" t="str">
        <f>IF(F133="","",SUMIFS(RaceResults!$E:$E,RaceResults!$A:$A,$A133,RaceResults!$D:$D,F133))</f>
        <v/>
      </c>
      <c r="M133" s="11">
        <f t="shared" si="2"/>
        <v>0</v>
      </c>
    </row>
    <row r="134" spans="1:13" x14ac:dyDescent="0.3">
      <c r="A134" s="9">
        <v>14</v>
      </c>
      <c r="B134" s="9" t="s">
        <v>76</v>
      </c>
      <c r="C134" s="10" t="s">
        <v>25</v>
      </c>
      <c r="D134" s="3"/>
      <c r="E134" s="3"/>
      <c r="F134" s="3"/>
      <c r="G134" s="11" t="str">
        <f>IF(D134="","",SUMIFS(RaceResults!$C:$C,RaceResults!$A:$A,$A134,RaceResults!$D:$D,D134))</f>
        <v/>
      </c>
      <c r="H134" s="11" t="str">
        <f>IF(E134="","",SUMIFS(RaceResults!$C:$C,RaceResults!$A:$A,$A134,RaceResults!$D:$D,E134))</f>
        <v/>
      </c>
      <c r="I134" s="11" t="str">
        <f>IF(F134="","",SUMIFS(RaceResults!$C:$C,RaceResults!$A:$A,$A134,RaceResults!$D:$D,F134))</f>
        <v/>
      </c>
      <c r="J134" s="11" t="str">
        <f>IF(D134="","",SUMIFS(RaceResults!$E:$E,RaceResults!$A:$A,$A134,RaceResults!$D:$D,D134))</f>
        <v/>
      </c>
      <c r="K134" s="11" t="str">
        <f>IF(E134="","",SUMIFS(RaceResults!$E:$E,RaceResults!$A:$A,$A134,RaceResults!$D:$D,E134))</f>
        <v/>
      </c>
      <c r="L134" s="11" t="str">
        <f>IF(F134="","",SUMIFS(RaceResults!$E:$E,RaceResults!$A:$A,$A134,RaceResults!$D:$D,F134))</f>
        <v/>
      </c>
      <c r="M134" s="11">
        <f t="shared" si="2"/>
        <v>0</v>
      </c>
    </row>
    <row r="135" spans="1:13" x14ac:dyDescent="0.3">
      <c r="A135" s="9">
        <v>14</v>
      </c>
      <c r="B135" s="9" t="s">
        <v>76</v>
      </c>
      <c r="C135" s="10" t="s">
        <v>26</v>
      </c>
      <c r="D135" s="3"/>
      <c r="E135" s="3"/>
      <c r="F135" s="3"/>
      <c r="G135" s="11" t="str">
        <f>IF(D135="","",SUMIFS(RaceResults!$C:$C,RaceResults!$A:$A,$A135,RaceResults!$D:$D,D135))</f>
        <v/>
      </c>
      <c r="H135" s="11" t="str">
        <f>IF(E135="","",SUMIFS(RaceResults!$C:$C,RaceResults!$A:$A,$A135,RaceResults!$D:$D,E135))</f>
        <v/>
      </c>
      <c r="I135" s="11" t="str">
        <f>IF(F135="","",SUMIFS(RaceResults!$C:$C,RaceResults!$A:$A,$A135,RaceResults!$D:$D,F135))</f>
        <v/>
      </c>
      <c r="J135" s="11" t="str">
        <f>IF(D135="","",SUMIFS(RaceResults!$E:$E,RaceResults!$A:$A,$A135,RaceResults!$D:$D,D135))</f>
        <v/>
      </c>
      <c r="K135" s="11" t="str">
        <f>IF(E135="","",SUMIFS(RaceResults!$E:$E,RaceResults!$A:$A,$A135,RaceResults!$D:$D,E135))</f>
        <v/>
      </c>
      <c r="L135" s="11" t="str">
        <f>IF(F135="","",SUMIFS(RaceResults!$E:$E,RaceResults!$A:$A,$A135,RaceResults!$D:$D,F135))</f>
        <v/>
      </c>
      <c r="M135" s="11">
        <f t="shared" si="2"/>
        <v>0</v>
      </c>
    </row>
    <row r="136" spans="1:13" x14ac:dyDescent="0.3">
      <c r="A136" s="9">
        <v>14</v>
      </c>
      <c r="B136" s="9" t="s">
        <v>76</v>
      </c>
      <c r="C136" s="10" t="s">
        <v>27</v>
      </c>
      <c r="D136" s="3"/>
      <c r="E136" s="3"/>
      <c r="F136" s="3"/>
      <c r="G136" s="11" t="str">
        <f>IF(D136="","",SUMIFS(RaceResults!$C:$C,RaceResults!$A:$A,$A136,RaceResults!$D:$D,D136))</f>
        <v/>
      </c>
      <c r="H136" s="11" t="str">
        <f>IF(E136="","",SUMIFS(RaceResults!$C:$C,RaceResults!$A:$A,$A136,RaceResults!$D:$D,E136))</f>
        <v/>
      </c>
      <c r="I136" s="11" t="str">
        <f>IF(F136="","",SUMIFS(RaceResults!$C:$C,RaceResults!$A:$A,$A136,RaceResults!$D:$D,F136))</f>
        <v/>
      </c>
      <c r="J136" s="11" t="str">
        <f>IF(D136="","",SUMIFS(RaceResults!$E:$E,RaceResults!$A:$A,$A136,RaceResults!$D:$D,D136))</f>
        <v/>
      </c>
      <c r="K136" s="11" t="str">
        <f>IF(E136="","",SUMIFS(RaceResults!$E:$E,RaceResults!$A:$A,$A136,RaceResults!$D:$D,E136))</f>
        <v/>
      </c>
      <c r="L136" s="11" t="str">
        <f>IF(F136="","",SUMIFS(RaceResults!$E:$E,RaceResults!$A:$A,$A136,RaceResults!$D:$D,F136))</f>
        <v/>
      </c>
      <c r="M136" s="11">
        <f t="shared" si="2"/>
        <v>0</v>
      </c>
    </row>
    <row r="137" spans="1:13" x14ac:dyDescent="0.3">
      <c r="A137" s="9">
        <v>14</v>
      </c>
      <c r="B137" s="9" t="s">
        <v>76</v>
      </c>
      <c r="C137" s="10" t="s">
        <v>28</v>
      </c>
      <c r="D137" s="3"/>
      <c r="E137" s="3"/>
      <c r="F137" s="3"/>
      <c r="G137" s="11" t="str">
        <f>IF(D137="","",SUMIFS(RaceResults!$C:$C,RaceResults!$A:$A,$A137,RaceResults!$D:$D,D137))</f>
        <v/>
      </c>
      <c r="H137" s="11" t="str">
        <f>IF(E137="","",SUMIFS(RaceResults!$C:$C,RaceResults!$A:$A,$A137,RaceResults!$D:$D,E137))</f>
        <v/>
      </c>
      <c r="I137" s="11" t="str">
        <f>IF(F137="","",SUMIFS(RaceResults!$C:$C,RaceResults!$A:$A,$A137,RaceResults!$D:$D,F137))</f>
        <v/>
      </c>
      <c r="J137" s="11" t="str">
        <f>IF(D137="","",SUMIFS(RaceResults!$E:$E,RaceResults!$A:$A,$A137,RaceResults!$D:$D,D137))</f>
        <v/>
      </c>
      <c r="K137" s="11" t="str">
        <f>IF(E137="","",SUMIFS(RaceResults!$E:$E,RaceResults!$A:$A,$A137,RaceResults!$D:$D,E137))</f>
        <v/>
      </c>
      <c r="L137" s="11" t="str">
        <f>IF(F137="","",SUMIFS(RaceResults!$E:$E,RaceResults!$A:$A,$A137,RaceResults!$D:$D,F137))</f>
        <v/>
      </c>
      <c r="M137" s="11">
        <f t="shared" si="2"/>
        <v>0</v>
      </c>
    </row>
    <row r="138" spans="1:13" x14ac:dyDescent="0.3">
      <c r="A138" s="9">
        <v>14</v>
      </c>
      <c r="B138" s="9" t="s">
        <v>76</v>
      </c>
      <c r="C138" s="10" t="s">
        <v>29</v>
      </c>
      <c r="D138" s="3"/>
      <c r="E138" s="3"/>
      <c r="F138" s="3"/>
      <c r="G138" s="11" t="str">
        <f>IF(D138="","",SUMIFS(RaceResults!$C:$C,RaceResults!$A:$A,$A138,RaceResults!$D:$D,D138))</f>
        <v/>
      </c>
      <c r="H138" s="11" t="str">
        <f>IF(E138="","",SUMIFS(RaceResults!$C:$C,RaceResults!$A:$A,$A138,RaceResults!$D:$D,E138))</f>
        <v/>
      </c>
      <c r="I138" s="11" t="str">
        <f>IF(F138="","",SUMIFS(RaceResults!$C:$C,RaceResults!$A:$A,$A138,RaceResults!$D:$D,F138))</f>
        <v/>
      </c>
      <c r="J138" s="11" t="str">
        <f>IF(D138="","",SUMIFS(RaceResults!$E:$E,RaceResults!$A:$A,$A138,RaceResults!$D:$D,D138))</f>
        <v/>
      </c>
      <c r="K138" s="11" t="str">
        <f>IF(E138="","",SUMIFS(RaceResults!$E:$E,RaceResults!$A:$A,$A138,RaceResults!$D:$D,E138))</f>
        <v/>
      </c>
      <c r="L138" s="11" t="str">
        <f>IF(F138="","",SUMIFS(RaceResults!$E:$E,RaceResults!$A:$A,$A138,RaceResults!$D:$D,F138))</f>
        <v/>
      </c>
      <c r="M138" s="11">
        <f t="shared" si="2"/>
        <v>0</v>
      </c>
    </row>
    <row r="139" spans="1:13" x14ac:dyDescent="0.3">
      <c r="A139" s="9">
        <v>14</v>
      </c>
      <c r="B139" s="9" t="s">
        <v>76</v>
      </c>
      <c r="C139" s="10" t="s">
        <v>30</v>
      </c>
      <c r="D139" s="3"/>
      <c r="E139" s="3"/>
      <c r="F139" s="3"/>
      <c r="G139" s="11" t="str">
        <f>IF(D139="","",SUMIFS(RaceResults!$C:$C,RaceResults!$A:$A,$A139,RaceResults!$D:$D,D139))</f>
        <v/>
      </c>
      <c r="H139" s="11" t="str">
        <f>IF(E139="","",SUMIFS(RaceResults!$C:$C,RaceResults!$A:$A,$A139,RaceResults!$D:$D,E139))</f>
        <v/>
      </c>
      <c r="I139" s="11" t="str">
        <f>IF(F139="","",SUMIFS(RaceResults!$C:$C,RaceResults!$A:$A,$A139,RaceResults!$D:$D,F139))</f>
        <v/>
      </c>
      <c r="J139" s="11" t="str">
        <f>IF(D139="","",SUMIFS(RaceResults!$E:$E,RaceResults!$A:$A,$A139,RaceResults!$D:$D,D139))</f>
        <v/>
      </c>
      <c r="K139" s="11" t="str">
        <f>IF(E139="","",SUMIFS(RaceResults!$E:$E,RaceResults!$A:$A,$A139,RaceResults!$D:$D,E139))</f>
        <v/>
      </c>
      <c r="L139" s="11" t="str">
        <f>IF(F139="","",SUMIFS(RaceResults!$E:$E,RaceResults!$A:$A,$A139,RaceResults!$D:$D,F139))</f>
        <v/>
      </c>
      <c r="M139" s="11">
        <f t="shared" si="2"/>
        <v>0</v>
      </c>
    </row>
    <row r="140" spans="1:13" x14ac:dyDescent="0.3">
      <c r="A140" s="9">
        <v>14</v>
      </c>
      <c r="B140" s="9" t="s">
        <v>76</v>
      </c>
      <c r="C140" s="10" t="s">
        <v>31</v>
      </c>
      <c r="D140" s="3"/>
      <c r="E140" s="3"/>
      <c r="F140" s="3"/>
      <c r="G140" s="11" t="str">
        <f>IF(D140="","",SUMIFS(RaceResults!$C:$C,RaceResults!$A:$A,$A140,RaceResults!$D:$D,D140))</f>
        <v/>
      </c>
      <c r="H140" s="11" t="str">
        <f>IF(E140="","",SUMIFS(RaceResults!$C:$C,RaceResults!$A:$A,$A140,RaceResults!$D:$D,E140))</f>
        <v/>
      </c>
      <c r="I140" s="11" t="str">
        <f>IF(F140="","",SUMIFS(RaceResults!$C:$C,RaceResults!$A:$A,$A140,RaceResults!$D:$D,F140))</f>
        <v/>
      </c>
      <c r="J140" s="11" t="str">
        <f>IF(D140="","",SUMIFS(RaceResults!$E:$E,RaceResults!$A:$A,$A140,RaceResults!$D:$D,D140))</f>
        <v/>
      </c>
      <c r="K140" s="11" t="str">
        <f>IF(E140="","",SUMIFS(RaceResults!$E:$E,RaceResults!$A:$A,$A140,RaceResults!$D:$D,E140))</f>
        <v/>
      </c>
      <c r="L140" s="11" t="str">
        <f>IF(F140="","",SUMIFS(RaceResults!$E:$E,RaceResults!$A:$A,$A140,RaceResults!$D:$D,F140))</f>
        <v/>
      </c>
      <c r="M140" s="11">
        <f t="shared" si="2"/>
        <v>0</v>
      </c>
    </row>
    <row r="141" spans="1:13" x14ac:dyDescent="0.3">
      <c r="A141" s="9">
        <v>14</v>
      </c>
      <c r="B141" s="9" t="s">
        <v>76</v>
      </c>
      <c r="C141" s="10" t="s">
        <v>32</v>
      </c>
      <c r="D141" s="3"/>
      <c r="E141" s="3"/>
      <c r="F141" s="3"/>
      <c r="G141" s="11" t="str">
        <f>IF(D141="","",SUMIFS(RaceResults!$C:$C,RaceResults!$A:$A,$A141,RaceResults!$D:$D,D141))</f>
        <v/>
      </c>
      <c r="H141" s="11" t="str">
        <f>IF(E141="","",SUMIFS(RaceResults!$C:$C,RaceResults!$A:$A,$A141,RaceResults!$D:$D,E141))</f>
        <v/>
      </c>
      <c r="I141" s="11" t="str">
        <f>IF(F141="","",SUMIFS(RaceResults!$C:$C,RaceResults!$A:$A,$A141,RaceResults!$D:$D,F141))</f>
        <v/>
      </c>
      <c r="J141" s="11" t="str">
        <f>IF(D141="","",SUMIFS(RaceResults!$E:$E,RaceResults!$A:$A,$A141,RaceResults!$D:$D,D141))</f>
        <v/>
      </c>
      <c r="K141" s="11" t="str">
        <f>IF(E141="","",SUMIFS(RaceResults!$E:$E,RaceResults!$A:$A,$A141,RaceResults!$D:$D,E141))</f>
        <v/>
      </c>
      <c r="L141" s="11" t="str">
        <f>IF(F141="","",SUMIFS(RaceResults!$E:$E,RaceResults!$A:$A,$A141,RaceResults!$D:$D,F141))</f>
        <v/>
      </c>
      <c r="M141" s="11">
        <f t="shared" si="2"/>
        <v>0</v>
      </c>
    </row>
    <row r="142" spans="1:13" x14ac:dyDescent="0.3">
      <c r="A142" s="9">
        <v>15</v>
      </c>
      <c r="B142" s="9" t="s">
        <v>78</v>
      </c>
      <c r="C142" s="10" t="s">
        <v>21</v>
      </c>
      <c r="D142" s="3"/>
      <c r="E142" s="3"/>
      <c r="F142" s="3"/>
      <c r="G142" s="11" t="str">
        <f>IF(D142="","",SUMIFS(RaceResults!$C:$C,RaceResults!$A:$A,$A142,RaceResults!$D:$D,D142))</f>
        <v/>
      </c>
      <c r="H142" s="11" t="str">
        <f>IF(E142="","",SUMIFS(RaceResults!$C:$C,RaceResults!$A:$A,$A142,RaceResults!$D:$D,E142))</f>
        <v/>
      </c>
      <c r="I142" s="11" t="str">
        <f>IF(F142="","",SUMIFS(RaceResults!$C:$C,RaceResults!$A:$A,$A142,RaceResults!$D:$D,F142))</f>
        <v/>
      </c>
      <c r="J142" s="11" t="str">
        <f>IF(D142="","",SUMIFS(RaceResults!$E:$E,RaceResults!$A:$A,$A142,RaceResults!$D:$D,D142))</f>
        <v/>
      </c>
      <c r="K142" s="11" t="str">
        <f>IF(E142="","",SUMIFS(RaceResults!$E:$E,RaceResults!$A:$A,$A142,RaceResults!$D:$D,E142))</f>
        <v/>
      </c>
      <c r="L142" s="11" t="str">
        <f>IF(F142="","",SUMIFS(RaceResults!$E:$E,RaceResults!$A:$A,$A142,RaceResults!$D:$D,F142))</f>
        <v/>
      </c>
      <c r="M142" s="11">
        <f t="shared" si="2"/>
        <v>0</v>
      </c>
    </row>
    <row r="143" spans="1:13" x14ac:dyDescent="0.3">
      <c r="A143" s="9">
        <v>15</v>
      </c>
      <c r="B143" s="9" t="s">
        <v>78</v>
      </c>
      <c r="C143" s="10" t="s">
        <v>22</v>
      </c>
      <c r="D143" s="3"/>
      <c r="E143" s="3"/>
      <c r="F143" s="3"/>
      <c r="G143" s="11" t="str">
        <f>IF(D143="","",SUMIFS(RaceResults!$C:$C,RaceResults!$A:$A,$A143,RaceResults!$D:$D,D143))</f>
        <v/>
      </c>
      <c r="H143" s="11" t="str">
        <f>IF(E143="","",SUMIFS(RaceResults!$C:$C,RaceResults!$A:$A,$A143,RaceResults!$D:$D,E143))</f>
        <v/>
      </c>
      <c r="I143" s="11" t="str">
        <f>IF(F143="","",SUMIFS(RaceResults!$C:$C,RaceResults!$A:$A,$A143,RaceResults!$D:$D,F143))</f>
        <v/>
      </c>
      <c r="J143" s="11" t="str">
        <f>IF(D143="","",SUMIFS(RaceResults!$E:$E,RaceResults!$A:$A,$A143,RaceResults!$D:$D,D143))</f>
        <v/>
      </c>
      <c r="K143" s="11" t="str">
        <f>IF(E143="","",SUMIFS(RaceResults!$E:$E,RaceResults!$A:$A,$A143,RaceResults!$D:$D,E143))</f>
        <v/>
      </c>
      <c r="L143" s="11" t="str">
        <f>IF(F143="","",SUMIFS(RaceResults!$E:$E,RaceResults!$A:$A,$A143,RaceResults!$D:$D,F143))</f>
        <v/>
      </c>
      <c r="M143" s="11">
        <f t="shared" si="2"/>
        <v>0</v>
      </c>
    </row>
    <row r="144" spans="1:13" x14ac:dyDescent="0.3">
      <c r="A144" s="9">
        <v>15</v>
      </c>
      <c r="B144" s="9" t="s">
        <v>78</v>
      </c>
      <c r="C144" s="10" t="s">
        <v>25</v>
      </c>
      <c r="D144" s="3"/>
      <c r="E144" s="3"/>
      <c r="F144" s="3"/>
      <c r="G144" s="11" t="str">
        <f>IF(D144="","",SUMIFS(RaceResults!$C:$C,RaceResults!$A:$A,$A144,RaceResults!$D:$D,D144))</f>
        <v/>
      </c>
      <c r="H144" s="11" t="str">
        <f>IF(E144="","",SUMIFS(RaceResults!$C:$C,RaceResults!$A:$A,$A144,RaceResults!$D:$D,E144))</f>
        <v/>
      </c>
      <c r="I144" s="11" t="str">
        <f>IF(F144="","",SUMIFS(RaceResults!$C:$C,RaceResults!$A:$A,$A144,RaceResults!$D:$D,F144))</f>
        <v/>
      </c>
      <c r="J144" s="11" t="str">
        <f>IF(D144="","",SUMIFS(RaceResults!$E:$E,RaceResults!$A:$A,$A144,RaceResults!$D:$D,D144))</f>
        <v/>
      </c>
      <c r="K144" s="11" t="str">
        <f>IF(E144="","",SUMIFS(RaceResults!$E:$E,RaceResults!$A:$A,$A144,RaceResults!$D:$D,E144))</f>
        <v/>
      </c>
      <c r="L144" s="11" t="str">
        <f>IF(F144="","",SUMIFS(RaceResults!$E:$E,RaceResults!$A:$A,$A144,RaceResults!$D:$D,F144))</f>
        <v/>
      </c>
      <c r="M144" s="11">
        <f t="shared" si="2"/>
        <v>0</v>
      </c>
    </row>
    <row r="145" spans="1:13" x14ac:dyDescent="0.3">
      <c r="A145" s="9">
        <v>15</v>
      </c>
      <c r="B145" s="9" t="s">
        <v>78</v>
      </c>
      <c r="C145" s="10" t="s">
        <v>26</v>
      </c>
      <c r="D145" s="3"/>
      <c r="E145" s="3"/>
      <c r="F145" s="3"/>
      <c r="G145" s="11" t="str">
        <f>IF(D145="","",SUMIFS(RaceResults!$C:$C,RaceResults!$A:$A,$A145,RaceResults!$D:$D,D145))</f>
        <v/>
      </c>
      <c r="H145" s="11" t="str">
        <f>IF(E145="","",SUMIFS(RaceResults!$C:$C,RaceResults!$A:$A,$A145,RaceResults!$D:$D,E145))</f>
        <v/>
      </c>
      <c r="I145" s="11" t="str">
        <f>IF(F145="","",SUMIFS(RaceResults!$C:$C,RaceResults!$A:$A,$A145,RaceResults!$D:$D,F145))</f>
        <v/>
      </c>
      <c r="J145" s="11" t="str">
        <f>IF(D145="","",SUMIFS(RaceResults!$E:$E,RaceResults!$A:$A,$A145,RaceResults!$D:$D,D145))</f>
        <v/>
      </c>
      <c r="K145" s="11" t="str">
        <f>IF(E145="","",SUMIFS(RaceResults!$E:$E,RaceResults!$A:$A,$A145,RaceResults!$D:$D,E145))</f>
        <v/>
      </c>
      <c r="L145" s="11" t="str">
        <f>IF(F145="","",SUMIFS(RaceResults!$E:$E,RaceResults!$A:$A,$A145,RaceResults!$D:$D,F145))</f>
        <v/>
      </c>
      <c r="M145" s="11">
        <f t="shared" si="2"/>
        <v>0</v>
      </c>
    </row>
    <row r="146" spans="1:13" x14ac:dyDescent="0.3">
      <c r="A146" s="9">
        <v>15</v>
      </c>
      <c r="B146" s="9" t="s">
        <v>78</v>
      </c>
      <c r="C146" s="10" t="s">
        <v>27</v>
      </c>
      <c r="D146" s="3"/>
      <c r="E146" s="3"/>
      <c r="F146" s="3"/>
      <c r="G146" s="11" t="str">
        <f>IF(D146="","",SUMIFS(RaceResults!$C:$C,RaceResults!$A:$A,$A146,RaceResults!$D:$D,D146))</f>
        <v/>
      </c>
      <c r="H146" s="11" t="str">
        <f>IF(E146="","",SUMIFS(RaceResults!$C:$C,RaceResults!$A:$A,$A146,RaceResults!$D:$D,E146))</f>
        <v/>
      </c>
      <c r="I146" s="11" t="str">
        <f>IF(F146="","",SUMIFS(RaceResults!$C:$C,RaceResults!$A:$A,$A146,RaceResults!$D:$D,F146))</f>
        <v/>
      </c>
      <c r="J146" s="11" t="str">
        <f>IF(D146="","",SUMIFS(RaceResults!$E:$E,RaceResults!$A:$A,$A146,RaceResults!$D:$D,D146))</f>
        <v/>
      </c>
      <c r="K146" s="11" t="str">
        <f>IF(E146="","",SUMIFS(RaceResults!$E:$E,RaceResults!$A:$A,$A146,RaceResults!$D:$D,E146))</f>
        <v/>
      </c>
      <c r="L146" s="11" t="str">
        <f>IF(F146="","",SUMIFS(RaceResults!$E:$E,RaceResults!$A:$A,$A146,RaceResults!$D:$D,F146))</f>
        <v/>
      </c>
      <c r="M146" s="11">
        <f t="shared" si="2"/>
        <v>0</v>
      </c>
    </row>
    <row r="147" spans="1:13" x14ac:dyDescent="0.3">
      <c r="A147" s="9">
        <v>15</v>
      </c>
      <c r="B147" s="9" t="s">
        <v>78</v>
      </c>
      <c r="C147" s="10" t="s">
        <v>28</v>
      </c>
      <c r="D147" s="3"/>
      <c r="E147" s="3"/>
      <c r="F147" s="3"/>
      <c r="G147" s="11" t="str">
        <f>IF(D147="","",SUMIFS(RaceResults!$C:$C,RaceResults!$A:$A,$A147,RaceResults!$D:$D,D147))</f>
        <v/>
      </c>
      <c r="H147" s="11" t="str">
        <f>IF(E147="","",SUMIFS(RaceResults!$C:$C,RaceResults!$A:$A,$A147,RaceResults!$D:$D,E147))</f>
        <v/>
      </c>
      <c r="I147" s="11" t="str">
        <f>IF(F147="","",SUMIFS(RaceResults!$C:$C,RaceResults!$A:$A,$A147,RaceResults!$D:$D,F147))</f>
        <v/>
      </c>
      <c r="J147" s="11" t="str">
        <f>IF(D147="","",SUMIFS(RaceResults!$E:$E,RaceResults!$A:$A,$A147,RaceResults!$D:$D,D147))</f>
        <v/>
      </c>
      <c r="K147" s="11" t="str">
        <f>IF(E147="","",SUMIFS(RaceResults!$E:$E,RaceResults!$A:$A,$A147,RaceResults!$D:$D,E147))</f>
        <v/>
      </c>
      <c r="L147" s="11" t="str">
        <f>IF(F147="","",SUMIFS(RaceResults!$E:$E,RaceResults!$A:$A,$A147,RaceResults!$D:$D,F147))</f>
        <v/>
      </c>
      <c r="M147" s="11">
        <f t="shared" si="2"/>
        <v>0</v>
      </c>
    </row>
    <row r="148" spans="1:13" x14ac:dyDescent="0.3">
      <c r="A148" s="9">
        <v>15</v>
      </c>
      <c r="B148" s="9" t="s">
        <v>78</v>
      </c>
      <c r="C148" s="10" t="s">
        <v>29</v>
      </c>
      <c r="D148" s="3"/>
      <c r="E148" s="3"/>
      <c r="F148" s="3"/>
      <c r="G148" s="11" t="str">
        <f>IF(D148="","",SUMIFS(RaceResults!$C:$C,RaceResults!$A:$A,$A148,RaceResults!$D:$D,D148))</f>
        <v/>
      </c>
      <c r="H148" s="11" t="str">
        <f>IF(E148="","",SUMIFS(RaceResults!$C:$C,RaceResults!$A:$A,$A148,RaceResults!$D:$D,E148))</f>
        <v/>
      </c>
      <c r="I148" s="11" t="str">
        <f>IF(F148="","",SUMIFS(RaceResults!$C:$C,RaceResults!$A:$A,$A148,RaceResults!$D:$D,F148))</f>
        <v/>
      </c>
      <c r="J148" s="11" t="str">
        <f>IF(D148="","",SUMIFS(RaceResults!$E:$E,RaceResults!$A:$A,$A148,RaceResults!$D:$D,D148))</f>
        <v/>
      </c>
      <c r="K148" s="11" t="str">
        <f>IF(E148="","",SUMIFS(RaceResults!$E:$E,RaceResults!$A:$A,$A148,RaceResults!$D:$D,E148))</f>
        <v/>
      </c>
      <c r="L148" s="11" t="str">
        <f>IF(F148="","",SUMIFS(RaceResults!$E:$E,RaceResults!$A:$A,$A148,RaceResults!$D:$D,F148))</f>
        <v/>
      </c>
      <c r="M148" s="11">
        <f t="shared" si="2"/>
        <v>0</v>
      </c>
    </row>
    <row r="149" spans="1:13" x14ac:dyDescent="0.3">
      <c r="A149" s="9">
        <v>15</v>
      </c>
      <c r="B149" s="9" t="s">
        <v>78</v>
      </c>
      <c r="C149" s="10" t="s">
        <v>30</v>
      </c>
      <c r="D149" s="3"/>
      <c r="E149" s="3"/>
      <c r="F149" s="3"/>
      <c r="G149" s="11" t="str">
        <f>IF(D149="","",SUMIFS(RaceResults!$C:$C,RaceResults!$A:$A,$A149,RaceResults!$D:$D,D149))</f>
        <v/>
      </c>
      <c r="H149" s="11" t="str">
        <f>IF(E149="","",SUMIFS(RaceResults!$C:$C,RaceResults!$A:$A,$A149,RaceResults!$D:$D,E149))</f>
        <v/>
      </c>
      <c r="I149" s="11" t="str">
        <f>IF(F149="","",SUMIFS(RaceResults!$C:$C,RaceResults!$A:$A,$A149,RaceResults!$D:$D,F149))</f>
        <v/>
      </c>
      <c r="J149" s="11" t="str">
        <f>IF(D149="","",SUMIFS(RaceResults!$E:$E,RaceResults!$A:$A,$A149,RaceResults!$D:$D,D149))</f>
        <v/>
      </c>
      <c r="K149" s="11" t="str">
        <f>IF(E149="","",SUMIFS(RaceResults!$E:$E,RaceResults!$A:$A,$A149,RaceResults!$D:$D,E149))</f>
        <v/>
      </c>
      <c r="L149" s="11" t="str">
        <f>IF(F149="","",SUMIFS(RaceResults!$E:$E,RaceResults!$A:$A,$A149,RaceResults!$D:$D,F149))</f>
        <v/>
      </c>
      <c r="M149" s="11">
        <f t="shared" si="2"/>
        <v>0</v>
      </c>
    </row>
    <row r="150" spans="1:13" x14ac:dyDescent="0.3">
      <c r="A150" s="9">
        <v>15</v>
      </c>
      <c r="B150" s="9" t="s">
        <v>78</v>
      </c>
      <c r="C150" s="10" t="s">
        <v>31</v>
      </c>
      <c r="D150" s="3"/>
      <c r="E150" s="3"/>
      <c r="F150" s="3"/>
      <c r="G150" s="11" t="str">
        <f>IF(D150="","",SUMIFS(RaceResults!$C:$C,RaceResults!$A:$A,$A150,RaceResults!$D:$D,D150))</f>
        <v/>
      </c>
      <c r="H150" s="11" t="str">
        <f>IF(E150="","",SUMIFS(RaceResults!$C:$C,RaceResults!$A:$A,$A150,RaceResults!$D:$D,E150))</f>
        <v/>
      </c>
      <c r="I150" s="11" t="str">
        <f>IF(F150="","",SUMIFS(RaceResults!$C:$C,RaceResults!$A:$A,$A150,RaceResults!$D:$D,F150))</f>
        <v/>
      </c>
      <c r="J150" s="11" t="str">
        <f>IF(D150="","",SUMIFS(RaceResults!$E:$E,RaceResults!$A:$A,$A150,RaceResults!$D:$D,D150))</f>
        <v/>
      </c>
      <c r="K150" s="11" t="str">
        <f>IF(E150="","",SUMIFS(RaceResults!$E:$E,RaceResults!$A:$A,$A150,RaceResults!$D:$D,E150))</f>
        <v/>
      </c>
      <c r="L150" s="11" t="str">
        <f>IF(F150="","",SUMIFS(RaceResults!$E:$E,RaceResults!$A:$A,$A150,RaceResults!$D:$D,F150))</f>
        <v/>
      </c>
      <c r="M150" s="11">
        <f t="shared" si="2"/>
        <v>0</v>
      </c>
    </row>
    <row r="151" spans="1:13" x14ac:dyDescent="0.3">
      <c r="A151" s="9">
        <v>15</v>
      </c>
      <c r="B151" s="9" t="s">
        <v>78</v>
      </c>
      <c r="C151" s="10" t="s">
        <v>32</v>
      </c>
      <c r="D151" s="3"/>
      <c r="E151" s="3"/>
      <c r="F151" s="3"/>
      <c r="G151" s="11" t="str">
        <f>IF(D151="","",SUMIFS(RaceResults!$C:$C,RaceResults!$A:$A,$A151,RaceResults!$D:$D,D151))</f>
        <v/>
      </c>
      <c r="H151" s="11" t="str">
        <f>IF(E151="","",SUMIFS(RaceResults!$C:$C,RaceResults!$A:$A,$A151,RaceResults!$D:$D,E151))</f>
        <v/>
      </c>
      <c r="I151" s="11" t="str">
        <f>IF(F151="","",SUMIFS(RaceResults!$C:$C,RaceResults!$A:$A,$A151,RaceResults!$D:$D,F151))</f>
        <v/>
      </c>
      <c r="J151" s="11" t="str">
        <f>IF(D151="","",SUMIFS(RaceResults!$E:$E,RaceResults!$A:$A,$A151,RaceResults!$D:$D,D151))</f>
        <v/>
      </c>
      <c r="K151" s="11" t="str">
        <f>IF(E151="","",SUMIFS(RaceResults!$E:$E,RaceResults!$A:$A,$A151,RaceResults!$D:$D,E151))</f>
        <v/>
      </c>
      <c r="L151" s="11" t="str">
        <f>IF(F151="","",SUMIFS(RaceResults!$E:$E,RaceResults!$A:$A,$A151,RaceResults!$D:$D,F151))</f>
        <v/>
      </c>
      <c r="M151" s="11">
        <f t="shared" si="2"/>
        <v>0</v>
      </c>
    </row>
    <row r="152" spans="1:13" x14ac:dyDescent="0.3">
      <c r="A152" s="9">
        <v>16</v>
      </c>
      <c r="B152" s="9" t="s">
        <v>80</v>
      </c>
      <c r="C152" s="10" t="s">
        <v>21</v>
      </c>
      <c r="D152" s="3"/>
      <c r="E152" s="3"/>
      <c r="F152" s="3"/>
      <c r="G152" s="11" t="str">
        <f>IF(D152="","",SUMIFS(RaceResults!$C:$C,RaceResults!$A:$A,$A152,RaceResults!$D:$D,D152))</f>
        <v/>
      </c>
      <c r="H152" s="11" t="str">
        <f>IF(E152="","",SUMIFS(RaceResults!$C:$C,RaceResults!$A:$A,$A152,RaceResults!$D:$D,E152))</f>
        <v/>
      </c>
      <c r="I152" s="11" t="str">
        <f>IF(F152="","",SUMIFS(RaceResults!$C:$C,RaceResults!$A:$A,$A152,RaceResults!$D:$D,F152))</f>
        <v/>
      </c>
      <c r="J152" s="11" t="str">
        <f>IF(D152="","",SUMIFS(RaceResults!$E:$E,RaceResults!$A:$A,$A152,RaceResults!$D:$D,D152))</f>
        <v/>
      </c>
      <c r="K152" s="11" t="str">
        <f>IF(E152="","",SUMIFS(RaceResults!$E:$E,RaceResults!$A:$A,$A152,RaceResults!$D:$D,E152))</f>
        <v/>
      </c>
      <c r="L152" s="11" t="str">
        <f>IF(F152="","",SUMIFS(RaceResults!$E:$E,RaceResults!$A:$A,$A152,RaceResults!$D:$D,F152))</f>
        <v/>
      </c>
      <c r="M152" s="11">
        <f t="shared" si="2"/>
        <v>0</v>
      </c>
    </row>
    <row r="153" spans="1:13" x14ac:dyDescent="0.3">
      <c r="A153" s="9">
        <v>16</v>
      </c>
      <c r="B153" s="9" t="s">
        <v>80</v>
      </c>
      <c r="C153" s="10" t="s">
        <v>22</v>
      </c>
      <c r="D153" s="3"/>
      <c r="E153" s="3"/>
      <c r="F153" s="3"/>
      <c r="G153" s="11" t="str">
        <f>IF(D153="","",SUMIFS(RaceResults!$C:$C,RaceResults!$A:$A,$A153,RaceResults!$D:$D,D153))</f>
        <v/>
      </c>
      <c r="H153" s="11" t="str">
        <f>IF(E153="","",SUMIFS(RaceResults!$C:$C,RaceResults!$A:$A,$A153,RaceResults!$D:$D,E153))</f>
        <v/>
      </c>
      <c r="I153" s="11" t="str">
        <f>IF(F153="","",SUMIFS(RaceResults!$C:$C,RaceResults!$A:$A,$A153,RaceResults!$D:$D,F153))</f>
        <v/>
      </c>
      <c r="J153" s="11" t="str">
        <f>IF(D153="","",SUMIFS(RaceResults!$E:$E,RaceResults!$A:$A,$A153,RaceResults!$D:$D,D153))</f>
        <v/>
      </c>
      <c r="K153" s="11" t="str">
        <f>IF(E153="","",SUMIFS(RaceResults!$E:$E,RaceResults!$A:$A,$A153,RaceResults!$D:$D,E153))</f>
        <v/>
      </c>
      <c r="L153" s="11" t="str">
        <f>IF(F153="","",SUMIFS(RaceResults!$E:$E,RaceResults!$A:$A,$A153,RaceResults!$D:$D,F153))</f>
        <v/>
      </c>
      <c r="M153" s="11">
        <f t="shared" si="2"/>
        <v>0</v>
      </c>
    </row>
    <row r="154" spans="1:13" x14ac:dyDescent="0.3">
      <c r="A154" s="9">
        <v>16</v>
      </c>
      <c r="B154" s="9" t="s">
        <v>80</v>
      </c>
      <c r="C154" s="10" t="s">
        <v>25</v>
      </c>
      <c r="D154" s="3"/>
      <c r="E154" s="3"/>
      <c r="F154" s="3"/>
      <c r="G154" s="11" t="str">
        <f>IF(D154="","",SUMIFS(RaceResults!$C:$C,RaceResults!$A:$A,$A154,RaceResults!$D:$D,D154))</f>
        <v/>
      </c>
      <c r="H154" s="11" t="str">
        <f>IF(E154="","",SUMIFS(RaceResults!$C:$C,RaceResults!$A:$A,$A154,RaceResults!$D:$D,E154))</f>
        <v/>
      </c>
      <c r="I154" s="11" t="str">
        <f>IF(F154="","",SUMIFS(RaceResults!$C:$C,RaceResults!$A:$A,$A154,RaceResults!$D:$D,F154))</f>
        <v/>
      </c>
      <c r="J154" s="11" t="str">
        <f>IF(D154="","",SUMIFS(RaceResults!$E:$E,RaceResults!$A:$A,$A154,RaceResults!$D:$D,D154))</f>
        <v/>
      </c>
      <c r="K154" s="11" t="str">
        <f>IF(E154="","",SUMIFS(RaceResults!$E:$E,RaceResults!$A:$A,$A154,RaceResults!$D:$D,E154))</f>
        <v/>
      </c>
      <c r="L154" s="11" t="str">
        <f>IF(F154="","",SUMIFS(RaceResults!$E:$E,RaceResults!$A:$A,$A154,RaceResults!$D:$D,F154))</f>
        <v/>
      </c>
      <c r="M154" s="11">
        <f t="shared" si="2"/>
        <v>0</v>
      </c>
    </row>
    <row r="155" spans="1:13" x14ac:dyDescent="0.3">
      <c r="A155" s="9">
        <v>16</v>
      </c>
      <c r="B155" s="9" t="s">
        <v>80</v>
      </c>
      <c r="C155" s="10" t="s">
        <v>26</v>
      </c>
      <c r="D155" s="3"/>
      <c r="E155" s="3"/>
      <c r="F155" s="3"/>
      <c r="G155" s="11" t="str">
        <f>IF(D155="","",SUMIFS(RaceResults!$C:$C,RaceResults!$A:$A,$A155,RaceResults!$D:$D,D155))</f>
        <v/>
      </c>
      <c r="H155" s="11" t="str">
        <f>IF(E155="","",SUMIFS(RaceResults!$C:$C,RaceResults!$A:$A,$A155,RaceResults!$D:$D,E155))</f>
        <v/>
      </c>
      <c r="I155" s="11" t="str">
        <f>IF(F155="","",SUMIFS(RaceResults!$C:$C,RaceResults!$A:$A,$A155,RaceResults!$D:$D,F155))</f>
        <v/>
      </c>
      <c r="J155" s="11" t="str">
        <f>IF(D155="","",SUMIFS(RaceResults!$E:$E,RaceResults!$A:$A,$A155,RaceResults!$D:$D,D155))</f>
        <v/>
      </c>
      <c r="K155" s="11" t="str">
        <f>IF(E155="","",SUMIFS(RaceResults!$E:$E,RaceResults!$A:$A,$A155,RaceResults!$D:$D,E155))</f>
        <v/>
      </c>
      <c r="L155" s="11" t="str">
        <f>IF(F155="","",SUMIFS(RaceResults!$E:$E,RaceResults!$A:$A,$A155,RaceResults!$D:$D,F155))</f>
        <v/>
      </c>
      <c r="M155" s="11">
        <f t="shared" si="2"/>
        <v>0</v>
      </c>
    </row>
    <row r="156" spans="1:13" x14ac:dyDescent="0.3">
      <c r="A156" s="9">
        <v>16</v>
      </c>
      <c r="B156" s="9" t="s">
        <v>80</v>
      </c>
      <c r="C156" s="10" t="s">
        <v>27</v>
      </c>
      <c r="D156" s="3"/>
      <c r="E156" s="3"/>
      <c r="F156" s="3"/>
      <c r="G156" s="11" t="str">
        <f>IF(D156="","",SUMIFS(RaceResults!$C:$C,RaceResults!$A:$A,$A156,RaceResults!$D:$D,D156))</f>
        <v/>
      </c>
      <c r="H156" s="11" t="str">
        <f>IF(E156="","",SUMIFS(RaceResults!$C:$C,RaceResults!$A:$A,$A156,RaceResults!$D:$D,E156))</f>
        <v/>
      </c>
      <c r="I156" s="11" t="str">
        <f>IF(F156="","",SUMIFS(RaceResults!$C:$C,RaceResults!$A:$A,$A156,RaceResults!$D:$D,F156))</f>
        <v/>
      </c>
      <c r="J156" s="11" t="str">
        <f>IF(D156="","",SUMIFS(RaceResults!$E:$E,RaceResults!$A:$A,$A156,RaceResults!$D:$D,D156))</f>
        <v/>
      </c>
      <c r="K156" s="11" t="str">
        <f>IF(E156="","",SUMIFS(RaceResults!$E:$E,RaceResults!$A:$A,$A156,RaceResults!$D:$D,E156))</f>
        <v/>
      </c>
      <c r="L156" s="11" t="str">
        <f>IF(F156="","",SUMIFS(RaceResults!$E:$E,RaceResults!$A:$A,$A156,RaceResults!$D:$D,F156))</f>
        <v/>
      </c>
      <c r="M156" s="11">
        <f t="shared" si="2"/>
        <v>0</v>
      </c>
    </row>
    <row r="157" spans="1:13" x14ac:dyDescent="0.3">
      <c r="A157" s="9">
        <v>16</v>
      </c>
      <c r="B157" s="9" t="s">
        <v>80</v>
      </c>
      <c r="C157" s="10" t="s">
        <v>28</v>
      </c>
      <c r="D157" s="3"/>
      <c r="E157" s="3"/>
      <c r="F157" s="3"/>
      <c r="G157" s="11" t="str">
        <f>IF(D157="","",SUMIFS(RaceResults!$C:$C,RaceResults!$A:$A,$A157,RaceResults!$D:$D,D157))</f>
        <v/>
      </c>
      <c r="H157" s="11" t="str">
        <f>IF(E157="","",SUMIFS(RaceResults!$C:$C,RaceResults!$A:$A,$A157,RaceResults!$D:$D,E157))</f>
        <v/>
      </c>
      <c r="I157" s="11" t="str">
        <f>IF(F157="","",SUMIFS(RaceResults!$C:$C,RaceResults!$A:$A,$A157,RaceResults!$D:$D,F157))</f>
        <v/>
      </c>
      <c r="J157" s="11" t="str">
        <f>IF(D157="","",SUMIFS(RaceResults!$E:$E,RaceResults!$A:$A,$A157,RaceResults!$D:$D,D157))</f>
        <v/>
      </c>
      <c r="K157" s="11" t="str">
        <f>IF(E157="","",SUMIFS(RaceResults!$E:$E,RaceResults!$A:$A,$A157,RaceResults!$D:$D,E157))</f>
        <v/>
      </c>
      <c r="L157" s="11" t="str">
        <f>IF(F157="","",SUMIFS(RaceResults!$E:$E,RaceResults!$A:$A,$A157,RaceResults!$D:$D,F157))</f>
        <v/>
      </c>
      <c r="M157" s="11">
        <f t="shared" si="2"/>
        <v>0</v>
      </c>
    </row>
    <row r="158" spans="1:13" x14ac:dyDescent="0.3">
      <c r="A158" s="9">
        <v>16</v>
      </c>
      <c r="B158" s="9" t="s">
        <v>80</v>
      </c>
      <c r="C158" s="10" t="s">
        <v>29</v>
      </c>
      <c r="D158" s="3"/>
      <c r="E158" s="3"/>
      <c r="F158" s="3"/>
      <c r="G158" s="11" t="str">
        <f>IF(D158="","",SUMIFS(RaceResults!$C:$C,RaceResults!$A:$A,$A158,RaceResults!$D:$D,D158))</f>
        <v/>
      </c>
      <c r="H158" s="11" t="str">
        <f>IF(E158="","",SUMIFS(RaceResults!$C:$C,RaceResults!$A:$A,$A158,RaceResults!$D:$D,E158))</f>
        <v/>
      </c>
      <c r="I158" s="11" t="str">
        <f>IF(F158="","",SUMIFS(RaceResults!$C:$C,RaceResults!$A:$A,$A158,RaceResults!$D:$D,F158))</f>
        <v/>
      </c>
      <c r="J158" s="11" t="str">
        <f>IF(D158="","",SUMIFS(RaceResults!$E:$E,RaceResults!$A:$A,$A158,RaceResults!$D:$D,D158))</f>
        <v/>
      </c>
      <c r="K158" s="11" t="str">
        <f>IF(E158="","",SUMIFS(RaceResults!$E:$E,RaceResults!$A:$A,$A158,RaceResults!$D:$D,E158))</f>
        <v/>
      </c>
      <c r="L158" s="11" t="str">
        <f>IF(F158="","",SUMIFS(RaceResults!$E:$E,RaceResults!$A:$A,$A158,RaceResults!$D:$D,F158))</f>
        <v/>
      </c>
      <c r="M158" s="11">
        <f t="shared" si="2"/>
        <v>0</v>
      </c>
    </row>
    <row r="159" spans="1:13" x14ac:dyDescent="0.3">
      <c r="A159" s="9">
        <v>16</v>
      </c>
      <c r="B159" s="9" t="s">
        <v>80</v>
      </c>
      <c r="C159" s="10" t="s">
        <v>30</v>
      </c>
      <c r="D159" s="3"/>
      <c r="E159" s="3"/>
      <c r="F159" s="3"/>
      <c r="G159" s="11" t="str">
        <f>IF(D159="","",SUMIFS(RaceResults!$C:$C,RaceResults!$A:$A,$A159,RaceResults!$D:$D,D159))</f>
        <v/>
      </c>
      <c r="H159" s="11" t="str">
        <f>IF(E159="","",SUMIFS(RaceResults!$C:$C,RaceResults!$A:$A,$A159,RaceResults!$D:$D,E159))</f>
        <v/>
      </c>
      <c r="I159" s="11" t="str">
        <f>IF(F159="","",SUMIFS(RaceResults!$C:$C,RaceResults!$A:$A,$A159,RaceResults!$D:$D,F159))</f>
        <v/>
      </c>
      <c r="J159" s="11" t="str">
        <f>IF(D159="","",SUMIFS(RaceResults!$E:$E,RaceResults!$A:$A,$A159,RaceResults!$D:$D,D159))</f>
        <v/>
      </c>
      <c r="K159" s="11" t="str">
        <f>IF(E159="","",SUMIFS(RaceResults!$E:$E,RaceResults!$A:$A,$A159,RaceResults!$D:$D,E159))</f>
        <v/>
      </c>
      <c r="L159" s="11" t="str">
        <f>IF(F159="","",SUMIFS(RaceResults!$E:$E,RaceResults!$A:$A,$A159,RaceResults!$D:$D,F159))</f>
        <v/>
      </c>
      <c r="M159" s="11">
        <f t="shared" si="2"/>
        <v>0</v>
      </c>
    </row>
    <row r="160" spans="1:13" x14ac:dyDescent="0.3">
      <c r="A160" s="9">
        <v>16</v>
      </c>
      <c r="B160" s="9" t="s">
        <v>80</v>
      </c>
      <c r="C160" s="10" t="s">
        <v>31</v>
      </c>
      <c r="D160" s="3"/>
      <c r="E160" s="3"/>
      <c r="F160" s="3"/>
      <c r="G160" s="11" t="str">
        <f>IF(D160="","",SUMIFS(RaceResults!$C:$C,RaceResults!$A:$A,$A160,RaceResults!$D:$D,D160))</f>
        <v/>
      </c>
      <c r="H160" s="11" t="str">
        <f>IF(E160="","",SUMIFS(RaceResults!$C:$C,RaceResults!$A:$A,$A160,RaceResults!$D:$D,E160))</f>
        <v/>
      </c>
      <c r="I160" s="11" t="str">
        <f>IF(F160="","",SUMIFS(RaceResults!$C:$C,RaceResults!$A:$A,$A160,RaceResults!$D:$D,F160))</f>
        <v/>
      </c>
      <c r="J160" s="11" t="str">
        <f>IF(D160="","",SUMIFS(RaceResults!$E:$E,RaceResults!$A:$A,$A160,RaceResults!$D:$D,D160))</f>
        <v/>
      </c>
      <c r="K160" s="11" t="str">
        <f>IF(E160="","",SUMIFS(RaceResults!$E:$E,RaceResults!$A:$A,$A160,RaceResults!$D:$D,E160))</f>
        <v/>
      </c>
      <c r="L160" s="11" t="str">
        <f>IF(F160="","",SUMIFS(RaceResults!$E:$E,RaceResults!$A:$A,$A160,RaceResults!$D:$D,F160))</f>
        <v/>
      </c>
      <c r="M160" s="11">
        <f t="shared" si="2"/>
        <v>0</v>
      </c>
    </row>
    <row r="161" spans="1:13" x14ac:dyDescent="0.3">
      <c r="A161" s="9">
        <v>16</v>
      </c>
      <c r="B161" s="9" t="s">
        <v>80</v>
      </c>
      <c r="C161" s="10" t="s">
        <v>32</v>
      </c>
      <c r="D161" s="3"/>
      <c r="E161" s="3"/>
      <c r="F161" s="3"/>
      <c r="G161" s="11" t="str">
        <f>IF(D161="","",SUMIFS(RaceResults!$C:$C,RaceResults!$A:$A,$A161,RaceResults!$D:$D,D161))</f>
        <v/>
      </c>
      <c r="H161" s="11" t="str">
        <f>IF(E161="","",SUMIFS(RaceResults!$C:$C,RaceResults!$A:$A,$A161,RaceResults!$D:$D,E161))</f>
        <v/>
      </c>
      <c r="I161" s="11" t="str">
        <f>IF(F161="","",SUMIFS(RaceResults!$C:$C,RaceResults!$A:$A,$A161,RaceResults!$D:$D,F161))</f>
        <v/>
      </c>
      <c r="J161" s="11" t="str">
        <f>IF(D161="","",SUMIFS(RaceResults!$E:$E,RaceResults!$A:$A,$A161,RaceResults!$D:$D,D161))</f>
        <v/>
      </c>
      <c r="K161" s="11" t="str">
        <f>IF(E161="","",SUMIFS(RaceResults!$E:$E,RaceResults!$A:$A,$A161,RaceResults!$D:$D,E161))</f>
        <v/>
      </c>
      <c r="L161" s="11" t="str">
        <f>IF(F161="","",SUMIFS(RaceResults!$E:$E,RaceResults!$A:$A,$A161,RaceResults!$D:$D,F161))</f>
        <v/>
      </c>
      <c r="M161" s="11">
        <f t="shared" si="2"/>
        <v>0</v>
      </c>
    </row>
    <row r="162" spans="1:13" x14ac:dyDescent="0.3">
      <c r="A162" s="9">
        <v>17</v>
      </c>
      <c r="B162" s="9" t="s">
        <v>82</v>
      </c>
      <c r="C162" s="10" t="s">
        <v>21</v>
      </c>
      <c r="D162" s="3"/>
      <c r="E162" s="3"/>
      <c r="F162" s="3"/>
      <c r="G162" s="11" t="str">
        <f>IF(D162="","",SUMIFS(RaceResults!$C:$C,RaceResults!$A:$A,$A162,RaceResults!$D:$D,D162))</f>
        <v/>
      </c>
      <c r="H162" s="11" t="str">
        <f>IF(E162="","",SUMIFS(RaceResults!$C:$C,RaceResults!$A:$A,$A162,RaceResults!$D:$D,E162))</f>
        <v/>
      </c>
      <c r="I162" s="11" t="str">
        <f>IF(F162="","",SUMIFS(RaceResults!$C:$C,RaceResults!$A:$A,$A162,RaceResults!$D:$D,F162))</f>
        <v/>
      </c>
      <c r="J162" s="11" t="str">
        <f>IF(D162="","",SUMIFS(RaceResults!$E:$E,RaceResults!$A:$A,$A162,RaceResults!$D:$D,D162))</f>
        <v/>
      </c>
      <c r="K162" s="11" t="str">
        <f>IF(E162="","",SUMIFS(RaceResults!$E:$E,RaceResults!$A:$A,$A162,RaceResults!$D:$D,E162))</f>
        <v/>
      </c>
      <c r="L162" s="11" t="str">
        <f>IF(F162="","",SUMIFS(RaceResults!$E:$E,RaceResults!$A:$A,$A162,RaceResults!$D:$D,F162))</f>
        <v/>
      </c>
      <c r="M162" s="11">
        <f t="shared" si="2"/>
        <v>0</v>
      </c>
    </row>
    <row r="163" spans="1:13" x14ac:dyDescent="0.3">
      <c r="A163" s="9">
        <v>17</v>
      </c>
      <c r="B163" s="9" t="s">
        <v>82</v>
      </c>
      <c r="C163" s="10" t="s">
        <v>22</v>
      </c>
      <c r="D163" s="3"/>
      <c r="E163" s="3"/>
      <c r="F163" s="3"/>
      <c r="G163" s="11" t="str">
        <f>IF(D163="","",SUMIFS(RaceResults!$C:$C,RaceResults!$A:$A,$A163,RaceResults!$D:$D,D163))</f>
        <v/>
      </c>
      <c r="H163" s="11" t="str">
        <f>IF(E163="","",SUMIFS(RaceResults!$C:$C,RaceResults!$A:$A,$A163,RaceResults!$D:$D,E163))</f>
        <v/>
      </c>
      <c r="I163" s="11" t="str">
        <f>IF(F163="","",SUMIFS(RaceResults!$C:$C,RaceResults!$A:$A,$A163,RaceResults!$D:$D,F163))</f>
        <v/>
      </c>
      <c r="J163" s="11" t="str">
        <f>IF(D163="","",SUMIFS(RaceResults!$E:$E,RaceResults!$A:$A,$A163,RaceResults!$D:$D,D163))</f>
        <v/>
      </c>
      <c r="K163" s="11" t="str">
        <f>IF(E163="","",SUMIFS(RaceResults!$E:$E,RaceResults!$A:$A,$A163,RaceResults!$D:$D,E163))</f>
        <v/>
      </c>
      <c r="L163" s="11" t="str">
        <f>IF(F163="","",SUMIFS(RaceResults!$E:$E,RaceResults!$A:$A,$A163,RaceResults!$D:$D,F163))</f>
        <v/>
      </c>
      <c r="M163" s="11">
        <f t="shared" si="2"/>
        <v>0</v>
      </c>
    </row>
    <row r="164" spans="1:13" x14ac:dyDescent="0.3">
      <c r="A164" s="9">
        <v>17</v>
      </c>
      <c r="B164" s="9" t="s">
        <v>82</v>
      </c>
      <c r="C164" s="10" t="s">
        <v>25</v>
      </c>
      <c r="D164" s="3"/>
      <c r="E164" s="3"/>
      <c r="F164" s="3"/>
      <c r="G164" s="11" t="str">
        <f>IF(D164="","",SUMIFS(RaceResults!$C:$C,RaceResults!$A:$A,$A164,RaceResults!$D:$D,D164))</f>
        <v/>
      </c>
      <c r="H164" s="11" t="str">
        <f>IF(E164="","",SUMIFS(RaceResults!$C:$C,RaceResults!$A:$A,$A164,RaceResults!$D:$D,E164))</f>
        <v/>
      </c>
      <c r="I164" s="11" t="str">
        <f>IF(F164="","",SUMIFS(RaceResults!$C:$C,RaceResults!$A:$A,$A164,RaceResults!$D:$D,F164))</f>
        <v/>
      </c>
      <c r="J164" s="11" t="str">
        <f>IF(D164="","",SUMIFS(RaceResults!$E:$E,RaceResults!$A:$A,$A164,RaceResults!$D:$D,D164))</f>
        <v/>
      </c>
      <c r="K164" s="11" t="str">
        <f>IF(E164="","",SUMIFS(RaceResults!$E:$E,RaceResults!$A:$A,$A164,RaceResults!$D:$D,E164))</f>
        <v/>
      </c>
      <c r="L164" s="11" t="str">
        <f>IF(F164="","",SUMIFS(RaceResults!$E:$E,RaceResults!$A:$A,$A164,RaceResults!$D:$D,F164))</f>
        <v/>
      </c>
      <c r="M164" s="11">
        <f t="shared" si="2"/>
        <v>0</v>
      </c>
    </row>
    <row r="165" spans="1:13" x14ac:dyDescent="0.3">
      <c r="A165" s="9">
        <v>17</v>
      </c>
      <c r="B165" s="9" t="s">
        <v>82</v>
      </c>
      <c r="C165" s="10" t="s">
        <v>26</v>
      </c>
      <c r="D165" s="3"/>
      <c r="E165" s="3"/>
      <c r="F165" s="3"/>
      <c r="G165" s="11" t="str">
        <f>IF(D165="","",SUMIFS(RaceResults!$C:$C,RaceResults!$A:$A,$A165,RaceResults!$D:$D,D165))</f>
        <v/>
      </c>
      <c r="H165" s="11" t="str">
        <f>IF(E165="","",SUMIFS(RaceResults!$C:$C,RaceResults!$A:$A,$A165,RaceResults!$D:$D,E165))</f>
        <v/>
      </c>
      <c r="I165" s="11" t="str">
        <f>IF(F165="","",SUMIFS(RaceResults!$C:$C,RaceResults!$A:$A,$A165,RaceResults!$D:$D,F165))</f>
        <v/>
      </c>
      <c r="J165" s="11" t="str">
        <f>IF(D165="","",SUMIFS(RaceResults!$E:$E,RaceResults!$A:$A,$A165,RaceResults!$D:$D,D165))</f>
        <v/>
      </c>
      <c r="K165" s="11" t="str">
        <f>IF(E165="","",SUMIFS(RaceResults!$E:$E,RaceResults!$A:$A,$A165,RaceResults!$D:$D,E165))</f>
        <v/>
      </c>
      <c r="L165" s="11" t="str">
        <f>IF(F165="","",SUMIFS(RaceResults!$E:$E,RaceResults!$A:$A,$A165,RaceResults!$D:$D,F165))</f>
        <v/>
      </c>
      <c r="M165" s="11">
        <f t="shared" si="2"/>
        <v>0</v>
      </c>
    </row>
    <row r="166" spans="1:13" x14ac:dyDescent="0.3">
      <c r="A166" s="9">
        <v>17</v>
      </c>
      <c r="B166" s="9" t="s">
        <v>82</v>
      </c>
      <c r="C166" s="10" t="s">
        <v>27</v>
      </c>
      <c r="D166" s="3"/>
      <c r="E166" s="3"/>
      <c r="F166" s="3"/>
      <c r="G166" s="11" t="str">
        <f>IF(D166="","",SUMIFS(RaceResults!$C:$C,RaceResults!$A:$A,$A166,RaceResults!$D:$D,D166))</f>
        <v/>
      </c>
      <c r="H166" s="11" t="str">
        <f>IF(E166="","",SUMIFS(RaceResults!$C:$C,RaceResults!$A:$A,$A166,RaceResults!$D:$D,E166))</f>
        <v/>
      </c>
      <c r="I166" s="11" t="str">
        <f>IF(F166="","",SUMIFS(RaceResults!$C:$C,RaceResults!$A:$A,$A166,RaceResults!$D:$D,F166))</f>
        <v/>
      </c>
      <c r="J166" s="11" t="str">
        <f>IF(D166="","",SUMIFS(RaceResults!$E:$E,RaceResults!$A:$A,$A166,RaceResults!$D:$D,D166))</f>
        <v/>
      </c>
      <c r="K166" s="11" t="str">
        <f>IF(E166="","",SUMIFS(RaceResults!$E:$E,RaceResults!$A:$A,$A166,RaceResults!$D:$D,E166))</f>
        <v/>
      </c>
      <c r="L166" s="11" t="str">
        <f>IF(F166="","",SUMIFS(RaceResults!$E:$E,RaceResults!$A:$A,$A166,RaceResults!$D:$D,F166))</f>
        <v/>
      </c>
      <c r="M166" s="11">
        <f t="shared" si="2"/>
        <v>0</v>
      </c>
    </row>
    <row r="167" spans="1:13" x14ac:dyDescent="0.3">
      <c r="A167" s="9">
        <v>17</v>
      </c>
      <c r="B167" s="9" t="s">
        <v>82</v>
      </c>
      <c r="C167" s="10" t="s">
        <v>28</v>
      </c>
      <c r="D167" s="3"/>
      <c r="E167" s="3"/>
      <c r="F167" s="3"/>
      <c r="G167" s="11" t="str">
        <f>IF(D167="","",SUMIFS(RaceResults!$C:$C,RaceResults!$A:$A,$A167,RaceResults!$D:$D,D167))</f>
        <v/>
      </c>
      <c r="H167" s="11" t="str">
        <f>IF(E167="","",SUMIFS(RaceResults!$C:$C,RaceResults!$A:$A,$A167,RaceResults!$D:$D,E167))</f>
        <v/>
      </c>
      <c r="I167" s="11" t="str">
        <f>IF(F167="","",SUMIFS(RaceResults!$C:$C,RaceResults!$A:$A,$A167,RaceResults!$D:$D,F167))</f>
        <v/>
      </c>
      <c r="J167" s="11" t="str">
        <f>IF(D167="","",SUMIFS(RaceResults!$E:$E,RaceResults!$A:$A,$A167,RaceResults!$D:$D,D167))</f>
        <v/>
      </c>
      <c r="K167" s="11" t="str">
        <f>IF(E167="","",SUMIFS(RaceResults!$E:$E,RaceResults!$A:$A,$A167,RaceResults!$D:$D,E167))</f>
        <v/>
      </c>
      <c r="L167" s="11" t="str">
        <f>IF(F167="","",SUMIFS(RaceResults!$E:$E,RaceResults!$A:$A,$A167,RaceResults!$D:$D,F167))</f>
        <v/>
      </c>
      <c r="M167" s="11">
        <f t="shared" si="2"/>
        <v>0</v>
      </c>
    </row>
    <row r="168" spans="1:13" x14ac:dyDescent="0.3">
      <c r="A168" s="9">
        <v>17</v>
      </c>
      <c r="B168" s="9" t="s">
        <v>82</v>
      </c>
      <c r="C168" s="10" t="s">
        <v>29</v>
      </c>
      <c r="D168" s="3"/>
      <c r="E168" s="3"/>
      <c r="F168" s="3"/>
      <c r="G168" s="11" t="str">
        <f>IF(D168="","",SUMIFS(RaceResults!$C:$C,RaceResults!$A:$A,$A168,RaceResults!$D:$D,D168))</f>
        <v/>
      </c>
      <c r="H168" s="11" t="str">
        <f>IF(E168="","",SUMIFS(RaceResults!$C:$C,RaceResults!$A:$A,$A168,RaceResults!$D:$D,E168))</f>
        <v/>
      </c>
      <c r="I168" s="11" t="str">
        <f>IF(F168="","",SUMIFS(RaceResults!$C:$C,RaceResults!$A:$A,$A168,RaceResults!$D:$D,F168))</f>
        <v/>
      </c>
      <c r="J168" s="11" t="str">
        <f>IF(D168="","",SUMIFS(RaceResults!$E:$E,RaceResults!$A:$A,$A168,RaceResults!$D:$D,D168))</f>
        <v/>
      </c>
      <c r="K168" s="11" t="str">
        <f>IF(E168="","",SUMIFS(RaceResults!$E:$E,RaceResults!$A:$A,$A168,RaceResults!$D:$D,E168))</f>
        <v/>
      </c>
      <c r="L168" s="11" t="str">
        <f>IF(F168="","",SUMIFS(RaceResults!$E:$E,RaceResults!$A:$A,$A168,RaceResults!$D:$D,F168))</f>
        <v/>
      </c>
      <c r="M168" s="11">
        <f t="shared" si="2"/>
        <v>0</v>
      </c>
    </row>
    <row r="169" spans="1:13" x14ac:dyDescent="0.3">
      <c r="A169" s="9">
        <v>17</v>
      </c>
      <c r="B169" s="9" t="s">
        <v>82</v>
      </c>
      <c r="C169" s="10" t="s">
        <v>30</v>
      </c>
      <c r="D169" s="3"/>
      <c r="E169" s="3"/>
      <c r="F169" s="3"/>
      <c r="G169" s="11" t="str">
        <f>IF(D169="","",SUMIFS(RaceResults!$C:$C,RaceResults!$A:$A,$A169,RaceResults!$D:$D,D169))</f>
        <v/>
      </c>
      <c r="H169" s="11" t="str">
        <f>IF(E169="","",SUMIFS(RaceResults!$C:$C,RaceResults!$A:$A,$A169,RaceResults!$D:$D,E169))</f>
        <v/>
      </c>
      <c r="I169" s="11" t="str">
        <f>IF(F169="","",SUMIFS(RaceResults!$C:$C,RaceResults!$A:$A,$A169,RaceResults!$D:$D,F169))</f>
        <v/>
      </c>
      <c r="J169" s="11" t="str">
        <f>IF(D169="","",SUMIFS(RaceResults!$E:$E,RaceResults!$A:$A,$A169,RaceResults!$D:$D,D169))</f>
        <v/>
      </c>
      <c r="K169" s="11" t="str">
        <f>IF(E169="","",SUMIFS(RaceResults!$E:$E,RaceResults!$A:$A,$A169,RaceResults!$D:$D,E169))</f>
        <v/>
      </c>
      <c r="L169" s="11" t="str">
        <f>IF(F169="","",SUMIFS(RaceResults!$E:$E,RaceResults!$A:$A,$A169,RaceResults!$D:$D,F169))</f>
        <v/>
      </c>
      <c r="M169" s="11">
        <f t="shared" si="2"/>
        <v>0</v>
      </c>
    </row>
    <row r="170" spans="1:13" x14ac:dyDescent="0.3">
      <c r="A170" s="9">
        <v>17</v>
      </c>
      <c r="B170" s="9" t="s">
        <v>82</v>
      </c>
      <c r="C170" s="10" t="s">
        <v>31</v>
      </c>
      <c r="D170" s="3"/>
      <c r="E170" s="3"/>
      <c r="F170" s="3"/>
      <c r="G170" s="11" t="str">
        <f>IF(D170="","",SUMIFS(RaceResults!$C:$C,RaceResults!$A:$A,$A170,RaceResults!$D:$D,D170))</f>
        <v/>
      </c>
      <c r="H170" s="11" t="str">
        <f>IF(E170="","",SUMIFS(RaceResults!$C:$C,RaceResults!$A:$A,$A170,RaceResults!$D:$D,E170))</f>
        <v/>
      </c>
      <c r="I170" s="11" t="str">
        <f>IF(F170="","",SUMIFS(RaceResults!$C:$C,RaceResults!$A:$A,$A170,RaceResults!$D:$D,F170))</f>
        <v/>
      </c>
      <c r="J170" s="11" t="str">
        <f>IF(D170="","",SUMIFS(RaceResults!$E:$E,RaceResults!$A:$A,$A170,RaceResults!$D:$D,D170))</f>
        <v/>
      </c>
      <c r="K170" s="11" t="str">
        <f>IF(E170="","",SUMIFS(RaceResults!$E:$E,RaceResults!$A:$A,$A170,RaceResults!$D:$D,E170))</f>
        <v/>
      </c>
      <c r="L170" s="11" t="str">
        <f>IF(F170="","",SUMIFS(RaceResults!$E:$E,RaceResults!$A:$A,$A170,RaceResults!$D:$D,F170))</f>
        <v/>
      </c>
      <c r="M170" s="11">
        <f t="shared" si="2"/>
        <v>0</v>
      </c>
    </row>
    <row r="171" spans="1:13" x14ac:dyDescent="0.3">
      <c r="A171" s="9">
        <v>17</v>
      </c>
      <c r="B171" s="9" t="s">
        <v>82</v>
      </c>
      <c r="C171" s="10" t="s">
        <v>32</v>
      </c>
      <c r="D171" s="3"/>
      <c r="E171" s="3"/>
      <c r="F171" s="3"/>
      <c r="G171" s="11" t="str">
        <f>IF(D171="","",SUMIFS(RaceResults!$C:$C,RaceResults!$A:$A,$A171,RaceResults!$D:$D,D171))</f>
        <v/>
      </c>
      <c r="H171" s="11" t="str">
        <f>IF(E171="","",SUMIFS(RaceResults!$C:$C,RaceResults!$A:$A,$A171,RaceResults!$D:$D,E171))</f>
        <v/>
      </c>
      <c r="I171" s="11" t="str">
        <f>IF(F171="","",SUMIFS(RaceResults!$C:$C,RaceResults!$A:$A,$A171,RaceResults!$D:$D,F171))</f>
        <v/>
      </c>
      <c r="J171" s="11" t="str">
        <f>IF(D171="","",SUMIFS(RaceResults!$E:$E,RaceResults!$A:$A,$A171,RaceResults!$D:$D,D171))</f>
        <v/>
      </c>
      <c r="K171" s="11" t="str">
        <f>IF(E171="","",SUMIFS(RaceResults!$E:$E,RaceResults!$A:$A,$A171,RaceResults!$D:$D,E171))</f>
        <v/>
      </c>
      <c r="L171" s="11" t="str">
        <f>IF(F171="","",SUMIFS(RaceResults!$E:$E,RaceResults!$A:$A,$A171,RaceResults!$D:$D,F171))</f>
        <v/>
      </c>
      <c r="M171" s="11">
        <f t="shared" si="2"/>
        <v>0</v>
      </c>
    </row>
    <row r="172" spans="1:13" x14ac:dyDescent="0.3">
      <c r="A172" s="9">
        <v>18</v>
      </c>
      <c r="B172" s="9" t="s">
        <v>84</v>
      </c>
      <c r="C172" s="10" t="s">
        <v>21</v>
      </c>
      <c r="D172" s="3"/>
      <c r="E172" s="3"/>
      <c r="F172" s="3"/>
      <c r="G172" s="11" t="str">
        <f>IF(D172="","",SUMIFS(RaceResults!$C:$C,RaceResults!$A:$A,$A172,RaceResults!$D:$D,D172))</f>
        <v/>
      </c>
      <c r="H172" s="11" t="str">
        <f>IF(E172="","",SUMIFS(RaceResults!$C:$C,RaceResults!$A:$A,$A172,RaceResults!$D:$D,E172))</f>
        <v/>
      </c>
      <c r="I172" s="11" t="str">
        <f>IF(F172="","",SUMIFS(RaceResults!$C:$C,RaceResults!$A:$A,$A172,RaceResults!$D:$D,F172))</f>
        <v/>
      </c>
      <c r="J172" s="11" t="str">
        <f>IF(D172="","",SUMIFS(RaceResults!$E:$E,RaceResults!$A:$A,$A172,RaceResults!$D:$D,D172))</f>
        <v/>
      </c>
      <c r="K172" s="11" t="str">
        <f>IF(E172="","",SUMIFS(RaceResults!$E:$E,RaceResults!$A:$A,$A172,RaceResults!$D:$D,E172))</f>
        <v/>
      </c>
      <c r="L172" s="11" t="str">
        <f>IF(F172="","",SUMIFS(RaceResults!$E:$E,RaceResults!$A:$A,$A172,RaceResults!$D:$D,F172))</f>
        <v/>
      </c>
      <c r="M172" s="11">
        <f t="shared" si="2"/>
        <v>0</v>
      </c>
    </row>
    <row r="173" spans="1:13" x14ac:dyDescent="0.3">
      <c r="A173" s="9">
        <v>18</v>
      </c>
      <c r="B173" s="9" t="s">
        <v>84</v>
      </c>
      <c r="C173" s="10" t="s">
        <v>22</v>
      </c>
      <c r="D173" s="3"/>
      <c r="E173" s="3"/>
      <c r="F173" s="3"/>
      <c r="G173" s="11" t="str">
        <f>IF(D173="","",SUMIFS(RaceResults!$C:$C,RaceResults!$A:$A,$A173,RaceResults!$D:$D,D173))</f>
        <v/>
      </c>
      <c r="H173" s="11" t="str">
        <f>IF(E173="","",SUMIFS(RaceResults!$C:$C,RaceResults!$A:$A,$A173,RaceResults!$D:$D,E173))</f>
        <v/>
      </c>
      <c r="I173" s="11" t="str">
        <f>IF(F173="","",SUMIFS(RaceResults!$C:$C,RaceResults!$A:$A,$A173,RaceResults!$D:$D,F173))</f>
        <v/>
      </c>
      <c r="J173" s="11" t="str">
        <f>IF(D173="","",SUMIFS(RaceResults!$E:$E,RaceResults!$A:$A,$A173,RaceResults!$D:$D,D173))</f>
        <v/>
      </c>
      <c r="K173" s="11" t="str">
        <f>IF(E173="","",SUMIFS(RaceResults!$E:$E,RaceResults!$A:$A,$A173,RaceResults!$D:$D,E173))</f>
        <v/>
      </c>
      <c r="L173" s="11" t="str">
        <f>IF(F173="","",SUMIFS(RaceResults!$E:$E,RaceResults!$A:$A,$A173,RaceResults!$D:$D,F173))</f>
        <v/>
      </c>
      <c r="M173" s="11">
        <f t="shared" si="2"/>
        <v>0</v>
      </c>
    </row>
    <row r="174" spans="1:13" x14ac:dyDescent="0.3">
      <c r="A174" s="9">
        <v>18</v>
      </c>
      <c r="B174" s="9" t="s">
        <v>84</v>
      </c>
      <c r="C174" s="10" t="s">
        <v>25</v>
      </c>
      <c r="D174" s="3"/>
      <c r="E174" s="3"/>
      <c r="F174" s="3"/>
      <c r="G174" s="11" t="str">
        <f>IF(D174="","",SUMIFS(RaceResults!$C:$C,RaceResults!$A:$A,$A174,RaceResults!$D:$D,D174))</f>
        <v/>
      </c>
      <c r="H174" s="11" t="str">
        <f>IF(E174="","",SUMIFS(RaceResults!$C:$C,RaceResults!$A:$A,$A174,RaceResults!$D:$D,E174))</f>
        <v/>
      </c>
      <c r="I174" s="11" t="str">
        <f>IF(F174="","",SUMIFS(RaceResults!$C:$C,RaceResults!$A:$A,$A174,RaceResults!$D:$D,F174))</f>
        <v/>
      </c>
      <c r="J174" s="11" t="str">
        <f>IF(D174="","",SUMIFS(RaceResults!$E:$E,RaceResults!$A:$A,$A174,RaceResults!$D:$D,D174))</f>
        <v/>
      </c>
      <c r="K174" s="11" t="str">
        <f>IF(E174="","",SUMIFS(RaceResults!$E:$E,RaceResults!$A:$A,$A174,RaceResults!$D:$D,E174))</f>
        <v/>
      </c>
      <c r="L174" s="11" t="str">
        <f>IF(F174="","",SUMIFS(RaceResults!$E:$E,RaceResults!$A:$A,$A174,RaceResults!$D:$D,F174))</f>
        <v/>
      </c>
      <c r="M174" s="11">
        <f t="shared" si="2"/>
        <v>0</v>
      </c>
    </row>
    <row r="175" spans="1:13" x14ac:dyDescent="0.3">
      <c r="A175" s="9">
        <v>18</v>
      </c>
      <c r="B175" s="9" t="s">
        <v>84</v>
      </c>
      <c r="C175" s="10" t="s">
        <v>26</v>
      </c>
      <c r="D175" s="3"/>
      <c r="E175" s="3"/>
      <c r="F175" s="3"/>
      <c r="G175" s="11" t="str">
        <f>IF(D175="","",SUMIFS(RaceResults!$C:$C,RaceResults!$A:$A,$A175,RaceResults!$D:$D,D175))</f>
        <v/>
      </c>
      <c r="H175" s="11" t="str">
        <f>IF(E175="","",SUMIFS(RaceResults!$C:$C,RaceResults!$A:$A,$A175,RaceResults!$D:$D,E175))</f>
        <v/>
      </c>
      <c r="I175" s="11" t="str">
        <f>IF(F175="","",SUMIFS(RaceResults!$C:$C,RaceResults!$A:$A,$A175,RaceResults!$D:$D,F175))</f>
        <v/>
      </c>
      <c r="J175" s="11" t="str">
        <f>IF(D175="","",SUMIFS(RaceResults!$E:$E,RaceResults!$A:$A,$A175,RaceResults!$D:$D,D175))</f>
        <v/>
      </c>
      <c r="K175" s="11" t="str">
        <f>IF(E175="","",SUMIFS(RaceResults!$E:$E,RaceResults!$A:$A,$A175,RaceResults!$D:$D,E175))</f>
        <v/>
      </c>
      <c r="L175" s="11" t="str">
        <f>IF(F175="","",SUMIFS(RaceResults!$E:$E,RaceResults!$A:$A,$A175,RaceResults!$D:$D,F175))</f>
        <v/>
      </c>
      <c r="M175" s="11">
        <f t="shared" si="2"/>
        <v>0</v>
      </c>
    </row>
    <row r="176" spans="1:13" x14ac:dyDescent="0.3">
      <c r="A176" s="9">
        <v>18</v>
      </c>
      <c r="B176" s="9" t="s">
        <v>84</v>
      </c>
      <c r="C176" s="10" t="s">
        <v>27</v>
      </c>
      <c r="D176" s="3"/>
      <c r="E176" s="3"/>
      <c r="F176" s="3"/>
      <c r="G176" s="11" t="str">
        <f>IF(D176="","",SUMIFS(RaceResults!$C:$C,RaceResults!$A:$A,$A176,RaceResults!$D:$D,D176))</f>
        <v/>
      </c>
      <c r="H176" s="11" t="str">
        <f>IF(E176="","",SUMIFS(RaceResults!$C:$C,RaceResults!$A:$A,$A176,RaceResults!$D:$D,E176))</f>
        <v/>
      </c>
      <c r="I176" s="11" t="str">
        <f>IF(F176="","",SUMIFS(RaceResults!$C:$C,RaceResults!$A:$A,$A176,RaceResults!$D:$D,F176))</f>
        <v/>
      </c>
      <c r="J176" s="11" t="str">
        <f>IF(D176="","",SUMIFS(RaceResults!$E:$E,RaceResults!$A:$A,$A176,RaceResults!$D:$D,D176))</f>
        <v/>
      </c>
      <c r="K176" s="11" t="str">
        <f>IF(E176="","",SUMIFS(RaceResults!$E:$E,RaceResults!$A:$A,$A176,RaceResults!$D:$D,E176))</f>
        <v/>
      </c>
      <c r="L176" s="11" t="str">
        <f>IF(F176="","",SUMIFS(RaceResults!$E:$E,RaceResults!$A:$A,$A176,RaceResults!$D:$D,F176))</f>
        <v/>
      </c>
      <c r="M176" s="11">
        <f t="shared" si="2"/>
        <v>0</v>
      </c>
    </row>
    <row r="177" spans="1:13" x14ac:dyDescent="0.3">
      <c r="A177" s="9">
        <v>18</v>
      </c>
      <c r="B177" s="9" t="s">
        <v>84</v>
      </c>
      <c r="C177" s="10" t="s">
        <v>28</v>
      </c>
      <c r="D177" s="3"/>
      <c r="E177" s="3"/>
      <c r="F177" s="3"/>
      <c r="G177" s="11" t="str">
        <f>IF(D177="","",SUMIFS(RaceResults!$C:$C,RaceResults!$A:$A,$A177,RaceResults!$D:$D,D177))</f>
        <v/>
      </c>
      <c r="H177" s="11" t="str">
        <f>IF(E177="","",SUMIFS(RaceResults!$C:$C,RaceResults!$A:$A,$A177,RaceResults!$D:$D,E177))</f>
        <v/>
      </c>
      <c r="I177" s="11" t="str">
        <f>IF(F177="","",SUMIFS(RaceResults!$C:$C,RaceResults!$A:$A,$A177,RaceResults!$D:$D,F177))</f>
        <v/>
      </c>
      <c r="J177" s="11" t="str">
        <f>IF(D177="","",SUMIFS(RaceResults!$E:$E,RaceResults!$A:$A,$A177,RaceResults!$D:$D,D177))</f>
        <v/>
      </c>
      <c r="K177" s="11" t="str">
        <f>IF(E177="","",SUMIFS(RaceResults!$E:$E,RaceResults!$A:$A,$A177,RaceResults!$D:$D,E177))</f>
        <v/>
      </c>
      <c r="L177" s="11" t="str">
        <f>IF(F177="","",SUMIFS(RaceResults!$E:$E,RaceResults!$A:$A,$A177,RaceResults!$D:$D,F177))</f>
        <v/>
      </c>
      <c r="M177" s="11">
        <f t="shared" si="2"/>
        <v>0</v>
      </c>
    </row>
    <row r="178" spans="1:13" x14ac:dyDescent="0.3">
      <c r="A178" s="9">
        <v>18</v>
      </c>
      <c r="B178" s="9" t="s">
        <v>84</v>
      </c>
      <c r="C178" s="10" t="s">
        <v>29</v>
      </c>
      <c r="D178" s="3"/>
      <c r="E178" s="3"/>
      <c r="F178" s="3"/>
      <c r="G178" s="11" t="str">
        <f>IF(D178="","",SUMIFS(RaceResults!$C:$C,RaceResults!$A:$A,$A178,RaceResults!$D:$D,D178))</f>
        <v/>
      </c>
      <c r="H178" s="11" t="str">
        <f>IF(E178="","",SUMIFS(RaceResults!$C:$C,RaceResults!$A:$A,$A178,RaceResults!$D:$D,E178))</f>
        <v/>
      </c>
      <c r="I178" s="11" t="str">
        <f>IF(F178="","",SUMIFS(RaceResults!$C:$C,RaceResults!$A:$A,$A178,RaceResults!$D:$D,F178))</f>
        <v/>
      </c>
      <c r="J178" s="11" t="str">
        <f>IF(D178="","",SUMIFS(RaceResults!$E:$E,RaceResults!$A:$A,$A178,RaceResults!$D:$D,D178))</f>
        <v/>
      </c>
      <c r="K178" s="11" t="str">
        <f>IF(E178="","",SUMIFS(RaceResults!$E:$E,RaceResults!$A:$A,$A178,RaceResults!$D:$D,E178))</f>
        <v/>
      </c>
      <c r="L178" s="11" t="str">
        <f>IF(F178="","",SUMIFS(RaceResults!$E:$E,RaceResults!$A:$A,$A178,RaceResults!$D:$D,F178))</f>
        <v/>
      </c>
      <c r="M178" s="11">
        <f t="shared" si="2"/>
        <v>0</v>
      </c>
    </row>
    <row r="179" spans="1:13" x14ac:dyDescent="0.3">
      <c r="A179" s="9">
        <v>18</v>
      </c>
      <c r="B179" s="9" t="s">
        <v>84</v>
      </c>
      <c r="C179" s="10" t="s">
        <v>30</v>
      </c>
      <c r="D179" s="3"/>
      <c r="E179" s="3"/>
      <c r="F179" s="3"/>
      <c r="G179" s="11" t="str">
        <f>IF(D179="","",SUMIFS(RaceResults!$C:$C,RaceResults!$A:$A,$A179,RaceResults!$D:$D,D179))</f>
        <v/>
      </c>
      <c r="H179" s="11" t="str">
        <f>IF(E179="","",SUMIFS(RaceResults!$C:$C,RaceResults!$A:$A,$A179,RaceResults!$D:$D,E179))</f>
        <v/>
      </c>
      <c r="I179" s="11" t="str">
        <f>IF(F179="","",SUMIFS(RaceResults!$C:$C,RaceResults!$A:$A,$A179,RaceResults!$D:$D,F179))</f>
        <v/>
      </c>
      <c r="J179" s="11" t="str">
        <f>IF(D179="","",SUMIFS(RaceResults!$E:$E,RaceResults!$A:$A,$A179,RaceResults!$D:$D,D179))</f>
        <v/>
      </c>
      <c r="K179" s="11" t="str">
        <f>IF(E179="","",SUMIFS(RaceResults!$E:$E,RaceResults!$A:$A,$A179,RaceResults!$D:$D,E179))</f>
        <v/>
      </c>
      <c r="L179" s="11" t="str">
        <f>IF(F179="","",SUMIFS(RaceResults!$E:$E,RaceResults!$A:$A,$A179,RaceResults!$D:$D,F179))</f>
        <v/>
      </c>
      <c r="M179" s="11">
        <f t="shared" si="2"/>
        <v>0</v>
      </c>
    </row>
    <row r="180" spans="1:13" x14ac:dyDescent="0.3">
      <c r="A180" s="9">
        <v>18</v>
      </c>
      <c r="B180" s="9" t="s">
        <v>84</v>
      </c>
      <c r="C180" s="10" t="s">
        <v>31</v>
      </c>
      <c r="D180" s="3"/>
      <c r="E180" s="3"/>
      <c r="F180" s="3"/>
      <c r="G180" s="11" t="str">
        <f>IF(D180="","",SUMIFS(RaceResults!$C:$C,RaceResults!$A:$A,$A180,RaceResults!$D:$D,D180))</f>
        <v/>
      </c>
      <c r="H180" s="11" t="str">
        <f>IF(E180="","",SUMIFS(RaceResults!$C:$C,RaceResults!$A:$A,$A180,RaceResults!$D:$D,E180))</f>
        <v/>
      </c>
      <c r="I180" s="11" t="str">
        <f>IF(F180="","",SUMIFS(RaceResults!$C:$C,RaceResults!$A:$A,$A180,RaceResults!$D:$D,F180))</f>
        <v/>
      </c>
      <c r="J180" s="11" t="str">
        <f>IF(D180="","",SUMIFS(RaceResults!$E:$E,RaceResults!$A:$A,$A180,RaceResults!$D:$D,D180))</f>
        <v/>
      </c>
      <c r="K180" s="11" t="str">
        <f>IF(E180="","",SUMIFS(RaceResults!$E:$E,RaceResults!$A:$A,$A180,RaceResults!$D:$D,E180))</f>
        <v/>
      </c>
      <c r="L180" s="11" t="str">
        <f>IF(F180="","",SUMIFS(RaceResults!$E:$E,RaceResults!$A:$A,$A180,RaceResults!$D:$D,F180))</f>
        <v/>
      </c>
      <c r="M180" s="11">
        <f t="shared" si="2"/>
        <v>0</v>
      </c>
    </row>
    <row r="181" spans="1:13" x14ac:dyDescent="0.3">
      <c r="A181" s="9">
        <v>18</v>
      </c>
      <c r="B181" s="9" t="s">
        <v>84</v>
      </c>
      <c r="C181" s="10" t="s">
        <v>32</v>
      </c>
      <c r="D181" s="3"/>
      <c r="E181" s="3"/>
      <c r="F181" s="3"/>
      <c r="G181" s="11" t="str">
        <f>IF(D181="","",SUMIFS(RaceResults!$C:$C,RaceResults!$A:$A,$A181,RaceResults!$D:$D,D181))</f>
        <v/>
      </c>
      <c r="H181" s="11" t="str">
        <f>IF(E181="","",SUMIFS(RaceResults!$C:$C,RaceResults!$A:$A,$A181,RaceResults!$D:$D,E181))</f>
        <v/>
      </c>
      <c r="I181" s="11" t="str">
        <f>IF(F181="","",SUMIFS(RaceResults!$C:$C,RaceResults!$A:$A,$A181,RaceResults!$D:$D,F181))</f>
        <v/>
      </c>
      <c r="J181" s="11" t="str">
        <f>IF(D181="","",SUMIFS(RaceResults!$E:$E,RaceResults!$A:$A,$A181,RaceResults!$D:$D,D181))</f>
        <v/>
      </c>
      <c r="K181" s="11" t="str">
        <f>IF(E181="","",SUMIFS(RaceResults!$E:$E,RaceResults!$A:$A,$A181,RaceResults!$D:$D,E181))</f>
        <v/>
      </c>
      <c r="L181" s="11" t="str">
        <f>IF(F181="","",SUMIFS(RaceResults!$E:$E,RaceResults!$A:$A,$A181,RaceResults!$D:$D,F181))</f>
        <v/>
      </c>
      <c r="M181" s="11">
        <f t="shared" si="2"/>
        <v>0</v>
      </c>
    </row>
    <row r="182" spans="1:13" x14ac:dyDescent="0.3">
      <c r="A182" s="9">
        <v>19</v>
      </c>
      <c r="B182" s="9" t="s">
        <v>87</v>
      </c>
      <c r="C182" s="10" t="s">
        <v>21</v>
      </c>
      <c r="D182" s="3"/>
      <c r="E182" s="3"/>
      <c r="F182" s="3"/>
      <c r="G182" s="11" t="str">
        <f>IF(D182="","",SUMIFS(RaceResults!$C:$C,RaceResults!$A:$A,$A182,RaceResults!$D:$D,D182))</f>
        <v/>
      </c>
      <c r="H182" s="11" t="str">
        <f>IF(E182="","",SUMIFS(RaceResults!$C:$C,RaceResults!$A:$A,$A182,RaceResults!$D:$D,E182))</f>
        <v/>
      </c>
      <c r="I182" s="11" t="str">
        <f>IF(F182="","",SUMIFS(RaceResults!$C:$C,RaceResults!$A:$A,$A182,RaceResults!$D:$D,F182))</f>
        <v/>
      </c>
      <c r="J182" s="11" t="str">
        <f>IF(D182="","",SUMIFS(RaceResults!$E:$E,RaceResults!$A:$A,$A182,RaceResults!$D:$D,D182))</f>
        <v/>
      </c>
      <c r="K182" s="11" t="str">
        <f>IF(E182="","",SUMIFS(RaceResults!$E:$E,RaceResults!$A:$A,$A182,RaceResults!$D:$D,E182))</f>
        <v/>
      </c>
      <c r="L182" s="11" t="str">
        <f>IF(F182="","",SUMIFS(RaceResults!$E:$E,RaceResults!$A:$A,$A182,RaceResults!$D:$D,F182))</f>
        <v/>
      </c>
      <c r="M182" s="11">
        <f t="shared" si="2"/>
        <v>0</v>
      </c>
    </row>
    <row r="183" spans="1:13" x14ac:dyDescent="0.3">
      <c r="A183" s="9">
        <v>19</v>
      </c>
      <c r="B183" s="9" t="s">
        <v>87</v>
      </c>
      <c r="C183" s="10" t="s">
        <v>22</v>
      </c>
      <c r="D183" s="3"/>
      <c r="E183" s="3"/>
      <c r="F183" s="3"/>
      <c r="G183" s="11" t="str">
        <f>IF(D183="","",SUMIFS(RaceResults!$C:$C,RaceResults!$A:$A,$A183,RaceResults!$D:$D,D183))</f>
        <v/>
      </c>
      <c r="H183" s="11" t="str">
        <f>IF(E183="","",SUMIFS(RaceResults!$C:$C,RaceResults!$A:$A,$A183,RaceResults!$D:$D,E183))</f>
        <v/>
      </c>
      <c r="I183" s="11" t="str">
        <f>IF(F183="","",SUMIFS(RaceResults!$C:$C,RaceResults!$A:$A,$A183,RaceResults!$D:$D,F183))</f>
        <v/>
      </c>
      <c r="J183" s="11" t="str">
        <f>IF(D183="","",SUMIFS(RaceResults!$E:$E,RaceResults!$A:$A,$A183,RaceResults!$D:$D,D183))</f>
        <v/>
      </c>
      <c r="K183" s="11" t="str">
        <f>IF(E183="","",SUMIFS(RaceResults!$E:$E,RaceResults!$A:$A,$A183,RaceResults!$D:$D,E183))</f>
        <v/>
      </c>
      <c r="L183" s="11" t="str">
        <f>IF(F183="","",SUMIFS(RaceResults!$E:$E,RaceResults!$A:$A,$A183,RaceResults!$D:$D,F183))</f>
        <v/>
      </c>
      <c r="M183" s="11">
        <f t="shared" si="2"/>
        <v>0</v>
      </c>
    </row>
    <row r="184" spans="1:13" x14ac:dyDescent="0.3">
      <c r="A184" s="9">
        <v>19</v>
      </c>
      <c r="B184" s="9" t="s">
        <v>87</v>
      </c>
      <c r="C184" s="10" t="s">
        <v>25</v>
      </c>
      <c r="D184" s="3"/>
      <c r="E184" s="3"/>
      <c r="F184" s="3"/>
      <c r="G184" s="11" t="str">
        <f>IF(D184="","",SUMIFS(RaceResults!$C:$C,RaceResults!$A:$A,$A184,RaceResults!$D:$D,D184))</f>
        <v/>
      </c>
      <c r="H184" s="11" t="str">
        <f>IF(E184="","",SUMIFS(RaceResults!$C:$C,RaceResults!$A:$A,$A184,RaceResults!$D:$D,E184))</f>
        <v/>
      </c>
      <c r="I184" s="11" t="str">
        <f>IF(F184="","",SUMIFS(RaceResults!$C:$C,RaceResults!$A:$A,$A184,RaceResults!$D:$D,F184))</f>
        <v/>
      </c>
      <c r="J184" s="11" t="str">
        <f>IF(D184="","",SUMIFS(RaceResults!$E:$E,RaceResults!$A:$A,$A184,RaceResults!$D:$D,D184))</f>
        <v/>
      </c>
      <c r="K184" s="11" t="str">
        <f>IF(E184="","",SUMIFS(RaceResults!$E:$E,RaceResults!$A:$A,$A184,RaceResults!$D:$D,E184))</f>
        <v/>
      </c>
      <c r="L184" s="11" t="str">
        <f>IF(F184="","",SUMIFS(RaceResults!$E:$E,RaceResults!$A:$A,$A184,RaceResults!$D:$D,F184))</f>
        <v/>
      </c>
      <c r="M184" s="11">
        <f t="shared" si="2"/>
        <v>0</v>
      </c>
    </row>
    <row r="185" spans="1:13" x14ac:dyDescent="0.3">
      <c r="A185" s="9">
        <v>19</v>
      </c>
      <c r="B185" s="9" t="s">
        <v>87</v>
      </c>
      <c r="C185" s="10" t="s">
        <v>26</v>
      </c>
      <c r="D185" s="3"/>
      <c r="E185" s="3"/>
      <c r="F185" s="3"/>
      <c r="G185" s="11" t="str">
        <f>IF(D185="","",SUMIFS(RaceResults!$C:$C,RaceResults!$A:$A,$A185,RaceResults!$D:$D,D185))</f>
        <v/>
      </c>
      <c r="H185" s="11" t="str">
        <f>IF(E185="","",SUMIFS(RaceResults!$C:$C,RaceResults!$A:$A,$A185,RaceResults!$D:$D,E185))</f>
        <v/>
      </c>
      <c r="I185" s="11" t="str">
        <f>IF(F185="","",SUMIFS(RaceResults!$C:$C,RaceResults!$A:$A,$A185,RaceResults!$D:$D,F185))</f>
        <v/>
      </c>
      <c r="J185" s="11" t="str">
        <f>IF(D185="","",SUMIFS(RaceResults!$E:$E,RaceResults!$A:$A,$A185,RaceResults!$D:$D,D185))</f>
        <v/>
      </c>
      <c r="K185" s="11" t="str">
        <f>IF(E185="","",SUMIFS(RaceResults!$E:$E,RaceResults!$A:$A,$A185,RaceResults!$D:$D,E185))</f>
        <v/>
      </c>
      <c r="L185" s="11" t="str">
        <f>IF(F185="","",SUMIFS(RaceResults!$E:$E,RaceResults!$A:$A,$A185,RaceResults!$D:$D,F185))</f>
        <v/>
      </c>
      <c r="M185" s="11">
        <f t="shared" si="2"/>
        <v>0</v>
      </c>
    </row>
    <row r="186" spans="1:13" x14ac:dyDescent="0.3">
      <c r="A186" s="9">
        <v>19</v>
      </c>
      <c r="B186" s="9" t="s">
        <v>87</v>
      </c>
      <c r="C186" s="10" t="s">
        <v>27</v>
      </c>
      <c r="D186" s="3"/>
      <c r="E186" s="3"/>
      <c r="F186" s="3"/>
      <c r="G186" s="11" t="str">
        <f>IF(D186="","",SUMIFS(RaceResults!$C:$C,RaceResults!$A:$A,$A186,RaceResults!$D:$D,D186))</f>
        <v/>
      </c>
      <c r="H186" s="11" t="str">
        <f>IF(E186="","",SUMIFS(RaceResults!$C:$C,RaceResults!$A:$A,$A186,RaceResults!$D:$D,E186))</f>
        <v/>
      </c>
      <c r="I186" s="11" t="str">
        <f>IF(F186="","",SUMIFS(RaceResults!$C:$C,RaceResults!$A:$A,$A186,RaceResults!$D:$D,F186))</f>
        <v/>
      </c>
      <c r="J186" s="11" t="str">
        <f>IF(D186="","",SUMIFS(RaceResults!$E:$E,RaceResults!$A:$A,$A186,RaceResults!$D:$D,D186))</f>
        <v/>
      </c>
      <c r="K186" s="11" t="str">
        <f>IF(E186="","",SUMIFS(RaceResults!$E:$E,RaceResults!$A:$A,$A186,RaceResults!$D:$D,E186))</f>
        <v/>
      </c>
      <c r="L186" s="11" t="str">
        <f>IF(F186="","",SUMIFS(RaceResults!$E:$E,RaceResults!$A:$A,$A186,RaceResults!$D:$D,F186))</f>
        <v/>
      </c>
      <c r="M186" s="11">
        <f t="shared" si="2"/>
        <v>0</v>
      </c>
    </row>
    <row r="187" spans="1:13" x14ac:dyDescent="0.3">
      <c r="A187" s="9">
        <v>19</v>
      </c>
      <c r="B187" s="9" t="s">
        <v>87</v>
      </c>
      <c r="C187" s="10" t="s">
        <v>28</v>
      </c>
      <c r="D187" s="3"/>
      <c r="E187" s="3"/>
      <c r="F187" s="3"/>
      <c r="G187" s="11" t="str">
        <f>IF(D187="","",SUMIFS(RaceResults!$C:$C,RaceResults!$A:$A,$A187,RaceResults!$D:$D,D187))</f>
        <v/>
      </c>
      <c r="H187" s="11" t="str">
        <f>IF(E187="","",SUMIFS(RaceResults!$C:$C,RaceResults!$A:$A,$A187,RaceResults!$D:$D,E187))</f>
        <v/>
      </c>
      <c r="I187" s="11" t="str">
        <f>IF(F187="","",SUMIFS(RaceResults!$C:$C,RaceResults!$A:$A,$A187,RaceResults!$D:$D,F187))</f>
        <v/>
      </c>
      <c r="J187" s="11" t="str">
        <f>IF(D187="","",SUMIFS(RaceResults!$E:$E,RaceResults!$A:$A,$A187,RaceResults!$D:$D,D187))</f>
        <v/>
      </c>
      <c r="K187" s="11" t="str">
        <f>IF(E187="","",SUMIFS(RaceResults!$E:$E,RaceResults!$A:$A,$A187,RaceResults!$D:$D,E187))</f>
        <v/>
      </c>
      <c r="L187" s="11" t="str">
        <f>IF(F187="","",SUMIFS(RaceResults!$E:$E,RaceResults!$A:$A,$A187,RaceResults!$D:$D,F187))</f>
        <v/>
      </c>
      <c r="M187" s="11">
        <f t="shared" si="2"/>
        <v>0</v>
      </c>
    </row>
    <row r="188" spans="1:13" x14ac:dyDescent="0.3">
      <c r="A188" s="9">
        <v>19</v>
      </c>
      <c r="B188" s="9" t="s">
        <v>87</v>
      </c>
      <c r="C188" s="10" t="s">
        <v>29</v>
      </c>
      <c r="D188" s="3"/>
      <c r="E188" s="3"/>
      <c r="F188" s="3"/>
      <c r="G188" s="11" t="str">
        <f>IF(D188="","",SUMIFS(RaceResults!$C:$C,RaceResults!$A:$A,$A188,RaceResults!$D:$D,D188))</f>
        <v/>
      </c>
      <c r="H188" s="11" t="str">
        <f>IF(E188="","",SUMIFS(RaceResults!$C:$C,RaceResults!$A:$A,$A188,RaceResults!$D:$D,E188))</f>
        <v/>
      </c>
      <c r="I188" s="11" t="str">
        <f>IF(F188="","",SUMIFS(RaceResults!$C:$C,RaceResults!$A:$A,$A188,RaceResults!$D:$D,F188))</f>
        <v/>
      </c>
      <c r="J188" s="11" t="str">
        <f>IF(D188="","",SUMIFS(RaceResults!$E:$E,RaceResults!$A:$A,$A188,RaceResults!$D:$D,D188))</f>
        <v/>
      </c>
      <c r="K188" s="11" t="str">
        <f>IF(E188="","",SUMIFS(RaceResults!$E:$E,RaceResults!$A:$A,$A188,RaceResults!$D:$D,E188))</f>
        <v/>
      </c>
      <c r="L188" s="11" t="str">
        <f>IF(F188="","",SUMIFS(RaceResults!$E:$E,RaceResults!$A:$A,$A188,RaceResults!$D:$D,F188))</f>
        <v/>
      </c>
      <c r="M188" s="11">
        <f t="shared" si="2"/>
        <v>0</v>
      </c>
    </row>
    <row r="189" spans="1:13" x14ac:dyDescent="0.3">
      <c r="A189" s="9">
        <v>19</v>
      </c>
      <c r="B189" s="9" t="s">
        <v>87</v>
      </c>
      <c r="C189" s="10" t="s">
        <v>30</v>
      </c>
      <c r="D189" s="3"/>
      <c r="E189" s="3"/>
      <c r="F189" s="3"/>
      <c r="G189" s="11" t="str">
        <f>IF(D189="","",SUMIFS(RaceResults!$C:$C,RaceResults!$A:$A,$A189,RaceResults!$D:$D,D189))</f>
        <v/>
      </c>
      <c r="H189" s="11" t="str">
        <f>IF(E189="","",SUMIFS(RaceResults!$C:$C,RaceResults!$A:$A,$A189,RaceResults!$D:$D,E189))</f>
        <v/>
      </c>
      <c r="I189" s="11" t="str">
        <f>IF(F189="","",SUMIFS(RaceResults!$C:$C,RaceResults!$A:$A,$A189,RaceResults!$D:$D,F189))</f>
        <v/>
      </c>
      <c r="J189" s="11" t="str">
        <f>IF(D189="","",SUMIFS(RaceResults!$E:$E,RaceResults!$A:$A,$A189,RaceResults!$D:$D,D189))</f>
        <v/>
      </c>
      <c r="K189" s="11" t="str">
        <f>IF(E189="","",SUMIFS(RaceResults!$E:$E,RaceResults!$A:$A,$A189,RaceResults!$D:$D,E189))</f>
        <v/>
      </c>
      <c r="L189" s="11" t="str">
        <f>IF(F189="","",SUMIFS(RaceResults!$E:$E,RaceResults!$A:$A,$A189,RaceResults!$D:$D,F189))</f>
        <v/>
      </c>
      <c r="M189" s="11">
        <f t="shared" si="2"/>
        <v>0</v>
      </c>
    </row>
    <row r="190" spans="1:13" x14ac:dyDescent="0.3">
      <c r="A190" s="9">
        <v>19</v>
      </c>
      <c r="B190" s="9" t="s">
        <v>87</v>
      </c>
      <c r="C190" s="10" t="s">
        <v>31</v>
      </c>
      <c r="D190" s="3"/>
      <c r="E190" s="3"/>
      <c r="F190" s="3"/>
      <c r="G190" s="11" t="str">
        <f>IF(D190="","",SUMIFS(RaceResults!$C:$C,RaceResults!$A:$A,$A190,RaceResults!$D:$D,D190))</f>
        <v/>
      </c>
      <c r="H190" s="11" t="str">
        <f>IF(E190="","",SUMIFS(RaceResults!$C:$C,RaceResults!$A:$A,$A190,RaceResults!$D:$D,E190))</f>
        <v/>
      </c>
      <c r="I190" s="11" t="str">
        <f>IF(F190="","",SUMIFS(RaceResults!$C:$C,RaceResults!$A:$A,$A190,RaceResults!$D:$D,F190))</f>
        <v/>
      </c>
      <c r="J190" s="11" t="str">
        <f>IF(D190="","",SUMIFS(RaceResults!$E:$E,RaceResults!$A:$A,$A190,RaceResults!$D:$D,D190))</f>
        <v/>
      </c>
      <c r="K190" s="11" t="str">
        <f>IF(E190="","",SUMIFS(RaceResults!$E:$E,RaceResults!$A:$A,$A190,RaceResults!$D:$D,E190))</f>
        <v/>
      </c>
      <c r="L190" s="11" t="str">
        <f>IF(F190="","",SUMIFS(RaceResults!$E:$E,RaceResults!$A:$A,$A190,RaceResults!$D:$D,F190))</f>
        <v/>
      </c>
      <c r="M190" s="11">
        <f t="shared" si="2"/>
        <v>0</v>
      </c>
    </row>
    <row r="191" spans="1:13" x14ac:dyDescent="0.3">
      <c r="A191" s="9">
        <v>19</v>
      </c>
      <c r="B191" s="9" t="s">
        <v>87</v>
      </c>
      <c r="C191" s="10" t="s">
        <v>32</v>
      </c>
      <c r="D191" s="3"/>
      <c r="E191" s="3"/>
      <c r="F191" s="3"/>
      <c r="G191" s="11" t="str">
        <f>IF(D191="","",SUMIFS(RaceResults!$C:$C,RaceResults!$A:$A,$A191,RaceResults!$D:$D,D191))</f>
        <v/>
      </c>
      <c r="H191" s="11" t="str">
        <f>IF(E191="","",SUMIFS(RaceResults!$C:$C,RaceResults!$A:$A,$A191,RaceResults!$D:$D,E191))</f>
        <v/>
      </c>
      <c r="I191" s="11" t="str">
        <f>IF(F191="","",SUMIFS(RaceResults!$C:$C,RaceResults!$A:$A,$A191,RaceResults!$D:$D,F191))</f>
        <v/>
      </c>
      <c r="J191" s="11" t="str">
        <f>IF(D191="","",SUMIFS(RaceResults!$E:$E,RaceResults!$A:$A,$A191,RaceResults!$D:$D,D191))</f>
        <v/>
      </c>
      <c r="K191" s="11" t="str">
        <f>IF(E191="","",SUMIFS(RaceResults!$E:$E,RaceResults!$A:$A,$A191,RaceResults!$D:$D,E191))</f>
        <v/>
      </c>
      <c r="L191" s="11" t="str">
        <f>IF(F191="","",SUMIFS(RaceResults!$E:$E,RaceResults!$A:$A,$A191,RaceResults!$D:$D,F191))</f>
        <v/>
      </c>
      <c r="M191" s="11">
        <f t="shared" si="2"/>
        <v>0</v>
      </c>
    </row>
    <row r="192" spans="1:13" x14ac:dyDescent="0.3">
      <c r="A192" s="9">
        <v>20</v>
      </c>
      <c r="B192" s="9" t="s">
        <v>50</v>
      </c>
      <c r="C192" s="10" t="s">
        <v>21</v>
      </c>
      <c r="D192" s="3"/>
      <c r="E192" s="3"/>
      <c r="F192" s="3"/>
      <c r="G192" s="11" t="str">
        <f>IF(D192="","",SUMIFS(RaceResults!$C:$C,RaceResults!$A:$A,$A192,RaceResults!$D:$D,D192))</f>
        <v/>
      </c>
      <c r="H192" s="11" t="str">
        <f>IF(E192="","",SUMIFS(RaceResults!$C:$C,RaceResults!$A:$A,$A192,RaceResults!$D:$D,E192))</f>
        <v/>
      </c>
      <c r="I192" s="11" t="str">
        <f>IF(F192="","",SUMIFS(RaceResults!$C:$C,RaceResults!$A:$A,$A192,RaceResults!$D:$D,F192))</f>
        <v/>
      </c>
      <c r="J192" s="11" t="str">
        <f>IF(D192="","",SUMIFS(RaceResults!$E:$E,RaceResults!$A:$A,$A192,RaceResults!$D:$D,D192))</f>
        <v/>
      </c>
      <c r="K192" s="11" t="str">
        <f>IF(E192="","",SUMIFS(RaceResults!$E:$E,RaceResults!$A:$A,$A192,RaceResults!$D:$D,E192))</f>
        <v/>
      </c>
      <c r="L192" s="11" t="str">
        <f>IF(F192="","",SUMIFS(RaceResults!$E:$E,RaceResults!$A:$A,$A192,RaceResults!$D:$D,F192))</f>
        <v/>
      </c>
      <c r="M192" s="11">
        <f t="shared" si="2"/>
        <v>0</v>
      </c>
    </row>
    <row r="193" spans="1:13" x14ac:dyDescent="0.3">
      <c r="A193" s="9">
        <v>20</v>
      </c>
      <c r="B193" s="9" t="s">
        <v>50</v>
      </c>
      <c r="C193" s="10" t="s">
        <v>22</v>
      </c>
      <c r="D193" s="3"/>
      <c r="E193" s="3"/>
      <c r="F193" s="3"/>
      <c r="G193" s="11" t="str">
        <f>IF(D193="","",SUMIFS(RaceResults!$C:$C,RaceResults!$A:$A,$A193,RaceResults!$D:$D,D193))</f>
        <v/>
      </c>
      <c r="H193" s="11" t="str">
        <f>IF(E193="","",SUMIFS(RaceResults!$C:$C,RaceResults!$A:$A,$A193,RaceResults!$D:$D,E193))</f>
        <v/>
      </c>
      <c r="I193" s="11" t="str">
        <f>IF(F193="","",SUMIFS(RaceResults!$C:$C,RaceResults!$A:$A,$A193,RaceResults!$D:$D,F193))</f>
        <v/>
      </c>
      <c r="J193" s="11" t="str">
        <f>IF(D193="","",SUMIFS(RaceResults!$E:$E,RaceResults!$A:$A,$A193,RaceResults!$D:$D,D193))</f>
        <v/>
      </c>
      <c r="K193" s="11" t="str">
        <f>IF(E193="","",SUMIFS(RaceResults!$E:$E,RaceResults!$A:$A,$A193,RaceResults!$D:$D,E193))</f>
        <v/>
      </c>
      <c r="L193" s="11" t="str">
        <f>IF(F193="","",SUMIFS(RaceResults!$E:$E,RaceResults!$A:$A,$A193,RaceResults!$D:$D,F193))</f>
        <v/>
      </c>
      <c r="M193" s="11">
        <f t="shared" si="2"/>
        <v>0</v>
      </c>
    </row>
    <row r="194" spans="1:13" x14ac:dyDescent="0.3">
      <c r="A194" s="9">
        <v>20</v>
      </c>
      <c r="B194" s="9" t="s">
        <v>50</v>
      </c>
      <c r="C194" s="10" t="s">
        <v>25</v>
      </c>
      <c r="D194" s="3"/>
      <c r="E194" s="3"/>
      <c r="F194" s="3"/>
      <c r="G194" s="11" t="str">
        <f>IF(D194="","",SUMIFS(RaceResults!$C:$C,RaceResults!$A:$A,$A194,RaceResults!$D:$D,D194))</f>
        <v/>
      </c>
      <c r="H194" s="11" t="str">
        <f>IF(E194="","",SUMIFS(RaceResults!$C:$C,RaceResults!$A:$A,$A194,RaceResults!$D:$D,E194))</f>
        <v/>
      </c>
      <c r="I194" s="11" t="str">
        <f>IF(F194="","",SUMIFS(RaceResults!$C:$C,RaceResults!$A:$A,$A194,RaceResults!$D:$D,F194))</f>
        <v/>
      </c>
      <c r="J194" s="11" t="str">
        <f>IF(D194="","",SUMIFS(RaceResults!$E:$E,RaceResults!$A:$A,$A194,RaceResults!$D:$D,D194))</f>
        <v/>
      </c>
      <c r="K194" s="11" t="str">
        <f>IF(E194="","",SUMIFS(RaceResults!$E:$E,RaceResults!$A:$A,$A194,RaceResults!$D:$D,E194))</f>
        <v/>
      </c>
      <c r="L194" s="11" t="str">
        <f>IF(F194="","",SUMIFS(RaceResults!$E:$E,RaceResults!$A:$A,$A194,RaceResults!$D:$D,F194))</f>
        <v/>
      </c>
      <c r="M194" s="11">
        <f t="shared" ref="M194:M257" si="3">SUM(J194:L194)</f>
        <v>0</v>
      </c>
    </row>
    <row r="195" spans="1:13" x14ac:dyDescent="0.3">
      <c r="A195" s="9">
        <v>20</v>
      </c>
      <c r="B195" s="9" t="s">
        <v>50</v>
      </c>
      <c r="C195" s="10" t="s">
        <v>26</v>
      </c>
      <c r="D195" s="3"/>
      <c r="E195" s="3"/>
      <c r="F195" s="3"/>
      <c r="G195" s="11" t="str">
        <f>IF(D195="","",SUMIFS(RaceResults!$C:$C,RaceResults!$A:$A,$A195,RaceResults!$D:$D,D195))</f>
        <v/>
      </c>
      <c r="H195" s="11" t="str">
        <f>IF(E195="","",SUMIFS(RaceResults!$C:$C,RaceResults!$A:$A,$A195,RaceResults!$D:$D,E195))</f>
        <v/>
      </c>
      <c r="I195" s="11" t="str">
        <f>IF(F195="","",SUMIFS(RaceResults!$C:$C,RaceResults!$A:$A,$A195,RaceResults!$D:$D,F195))</f>
        <v/>
      </c>
      <c r="J195" s="11" t="str">
        <f>IF(D195="","",SUMIFS(RaceResults!$E:$E,RaceResults!$A:$A,$A195,RaceResults!$D:$D,D195))</f>
        <v/>
      </c>
      <c r="K195" s="11" t="str">
        <f>IF(E195="","",SUMIFS(RaceResults!$E:$E,RaceResults!$A:$A,$A195,RaceResults!$D:$D,E195))</f>
        <v/>
      </c>
      <c r="L195" s="11" t="str">
        <f>IF(F195="","",SUMIFS(RaceResults!$E:$E,RaceResults!$A:$A,$A195,RaceResults!$D:$D,F195))</f>
        <v/>
      </c>
      <c r="M195" s="11">
        <f t="shared" si="3"/>
        <v>0</v>
      </c>
    </row>
    <row r="196" spans="1:13" x14ac:dyDescent="0.3">
      <c r="A196" s="9">
        <v>20</v>
      </c>
      <c r="B196" s="9" t="s">
        <v>50</v>
      </c>
      <c r="C196" s="10" t="s">
        <v>27</v>
      </c>
      <c r="D196" s="3"/>
      <c r="E196" s="3"/>
      <c r="F196" s="3"/>
      <c r="G196" s="11" t="str">
        <f>IF(D196="","",SUMIFS(RaceResults!$C:$C,RaceResults!$A:$A,$A196,RaceResults!$D:$D,D196))</f>
        <v/>
      </c>
      <c r="H196" s="11" t="str">
        <f>IF(E196="","",SUMIFS(RaceResults!$C:$C,RaceResults!$A:$A,$A196,RaceResults!$D:$D,E196))</f>
        <v/>
      </c>
      <c r="I196" s="11" t="str">
        <f>IF(F196="","",SUMIFS(RaceResults!$C:$C,RaceResults!$A:$A,$A196,RaceResults!$D:$D,F196))</f>
        <v/>
      </c>
      <c r="J196" s="11" t="str">
        <f>IF(D196="","",SUMIFS(RaceResults!$E:$E,RaceResults!$A:$A,$A196,RaceResults!$D:$D,D196))</f>
        <v/>
      </c>
      <c r="K196" s="11" t="str">
        <f>IF(E196="","",SUMIFS(RaceResults!$E:$E,RaceResults!$A:$A,$A196,RaceResults!$D:$D,E196))</f>
        <v/>
      </c>
      <c r="L196" s="11" t="str">
        <f>IF(F196="","",SUMIFS(RaceResults!$E:$E,RaceResults!$A:$A,$A196,RaceResults!$D:$D,F196))</f>
        <v/>
      </c>
      <c r="M196" s="11">
        <f t="shared" si="3"/>
        <v>0</v>
      </c>
    </row>
    <row r="197" spans="1:13" x14ac:dyDescent="0.3">
      <c r="A197" s="9">
        <v>20</v>
      </c>
      <c r="B197" s="9" t="s">
        <v>50</v>
      </c>
      <c r="C197" s="10" t="s">
        <v>28</v>
      </c>
      <c r="D197" s="3"/>
      <c r="E197" s="3"/>
      <c r="F197" s="3"/>
      <c r="G197" s="11" t="str">
        <f>IF(D197="","",SUMIFS(RaceResults!$C:$C,RaceResults!$A:$A,$A197,RaceResults!$D:$D,D197))</f>
        <v/>
      </c>
      <c r="H197" s="11" t="str">
        <f>IF(E197="","",SUMIFS(RaceResults!$C:$C,RaceResults!$A:$A,$A197,RaceResults!$D:$D,E197))</f>
        <v/>
      </c>
      <c r="I197" s="11" t="str">
        <f>IF(F197="","",SUMIFS(RaceResults!$C:$C,RaceResults!$A:$A,$A197,RaceResults!$D:$D,F197))</f>
        <v/>
      </c>
      <c r="J197" s="11" t="str">
        <f>IF(D197="","",SUMIFS(RaceResults!$E:$E,RaceResults!$A:$A,$A197,RaceResults!$D:$D,D197))</f>
        <v/>
      </c>
      <c r="K197" s="11" t="str">
        <f>IF(E197="","",SUMIFS(RaceResults!$E:$E,RaceResults!$A:$A,$A197,RaceResults!$D:$D,E197))</f>
        <v/>
      </c>
      <c r="L197" s="11" t="str">
        <f>IF(F197="","",SUMIFS(RaceResults!$E:$E,RaceResults!$A:$A,$A197,RaceResults!$D:$D,F197))</f>
        <v/>
      </c>
      <c r="M197" s="11">
        <f t="shared" si="3"/>
        <v>0</v>
      </c>
    </row>
    <row r="198" spans="1:13" x14ac:dyDescent="0.3">
      <c r="A198" s="9">
        <v>20</v>
      </c>
      <c r="B198" s="9" t="s">
        <v>50</v>
      </c>
      <c r="C198" s="10" t="s">
        <v>29</v>
      </c>
      <c r="D198" s="3"/>
      <c r="E198" s="3"/>
      <c r="F198" s="3"/>
      <c r="G198" s="11" t="str">
        <f>IF(D198="","",SUMIFS(RaceResults!$C:$C,RaceResults!$A:$A,$A198,RaceResults!$D:$D,D198))</f>
        <v/>
      </c>
      <c r="H198" s="11" t="str">
        <f>IF(E198="","",SUMIFS(RaceResults!$C:$C,RaceResults!$A:$A,$A198,RaceResults!$D:$D,E198))</f>
        <v/>
      </c>
      <c r="I198" s="11" t="str">
        <f>IF(F198="","",SUMIFS(RaceResults!$C:$C,RaceResults!$A:$A,$A198,RaceResults!$D:$D,F198))</f>
        <v/>
      </c>
      <c r="J198" s="11" t="str">
        <f>IF(D198="","",SUMIFS(RaceResults!$E:$E,RaceResults!$A:$A,$A198,RaceResults!$D:$D,D198))</f>
        <v/>
      </c>
      <c r="K198" s="11" t="str">
        <f>IF(E198="","",SUMIFS(RaceResults!$E:$E,RaceResults!$A:$A,$A198,RaceResults!$D:$D,E198))</f>
        <v/>
      </c>
      <c r="L198" s="11" t="str">
        <f>IF(F198="","",SUMIFS(RaceResults!$E:$E,RaceResults!$A:$A,$A198,RaceResults!$D:$D,F198))</f>
        <v/>
      </c>
      <c r="M198" s="11">
        <f t="shared" si="3"/>
        <v>0</v>
      </c>
    </row>
    <row r="199" spans="1:13" x14ac:dyDescent="0.3">
      <c r="A199" s="9">
        <v>20</v>
      </c>
      <c r="B199" s="9" t="s">
        <v>50</v>
      </c>
      <c r="C199" s="10" t="s">
        <v>30</v>
      </c>
      <c r="D199" s="3"/>
      <c r="E199" s="3"/>
      <c r="F199" s="3"/>
      <c r="G199" s="11" t="str">
        <f>IF(D199="","",SUMIFS(RaceResults!$C:$C,RaceResults!$A:$A,$A199,RaceResults!$D:$D,D199))</f>
        <v/>
      </c>
      <c r="H199" s="11" t="str">
        <f>IF(E199="","",SUMIFS(RaceResults!$C:$C,RaceResults!$A:$A,$A199,RaceResults!$D:$D,E199))</f>
        <v/>
      </c>
      <c r="I199" s="11" t="str">
        <f>IF(F199="","",SUMIFS(RaceResults!$C:$C,RaceResults!$A:$A,$A199,RaceResults!$D:$D,F199))</f>
        <v/>
      </c>
      <c r="J199" s="11" t="str">
        <f>IF(D199="","",SUMIFS(RaceResults!$E:$E,RaceResults!$A:$A,$A199,RaceResults!$D:$D,D199))</f>
        <v/>
      </c>
      <c r="K199" s="11" t="str">
        <f>IF(E199="","",SUMIFS(RaceResults!$E:$E,RaceResults!$A:$A,$A199,RaceResults!$D:$D,E199))</f>
        <v/>
      </c>
      <c r="L199" s="11" t="str">
        <f>IF(F199="","",SUMIFS(RaceResults!$E:$E,RaceResults!$A:$A,$A199,RaceResults!$D:$D,F199))</f>
        <v/>
      </c>
      <c r="M199" s="11">
        <f t="shared" si="3"/>
        <v>0</v>
      </c>
    </row>
    <row r="200" spans="1:13" x14ac:dyDescent="0.3">
      <c r="A200" s="9">
        <v>20</v>
      </c>
      <c r="B200" s="9" t="s">
        <v>50</v>
      </c>
      <c r="C200" s="10" t="s">
        <v>31</v>
      </c>
      <c r="D200" s="3"/>
      <c r="E200" s="3"/>
      <c r="F200" s="3"/>
      <c r="G200" s="11" t="str">
        <f>IF(D200="","",SUMIFS(RaceResults!$C:$C,RaceResults!$A:$A,$A200,RaceResults!$D:$D,D200))</f>
        <v/>
      </c>
      <c r="H200" s="11" t="str">
        <f>IF(E200="","",SUMIFS(RaceResults!$C:$C,RaceResults!$A:$A,$A200,RaceResults!$D:$D,E200))</f>
        <v/>
      </c>
      <c r="I200" s="11" t="str">
        <f>IF(F200="","",SUMIFS(RaceResults!$C:$C,RaceResults!$A:$A,$A200,RaceResults!$D:$D,F200))</f>
        <v/>
      </c>
      <c r="J200" s="11" t="str">
        <f>IF(D200="","",SUMIFS(RaceResults!$E:$E,RaceResults!$A:$A,$A200,RaceResults!$D:$D,D200))</f>
        <v/>
      </c>
      <c r="K200" s="11" t="str">
        <f>IF(E200="","",SUMIFS(RaceResults!$E:$E,RaceResults!$A:$A,$A200,RaceResults!$D:$D,E200))</f>
        <v/>
      </c>
      <c r="L200" s="11" t="str">
        <f>IF(F200="","",SUMIFS(RaceResults!$E:$E,RaceResults!$A:$A,$A200,RaceResults!$D:$D,F200))</f>
        <v/>
      </c>
      <c r="M200" s="11">
        <f t="shared" si="3"/>
        <v>0</v>
      </c>
    </row>
    <row r="201" spans="1:13" x14ac:dyDescent="0.3">
      <c r="A201" s="9">
        <v>20</v>
      </c>
      <c r="B201" s="9" t="s">
        <v>50</v>
      </c>
      <c r="C201" s="10" t="s">
        <v>32</v>
      </c>
      <c r="D201" s="3"/>
      <c r="E201" s="3"/>
      <c r="F201" s="3"/>
      <c r="G201" s="11" t="str">
        <f>IF(D201="","",SUMIFS(RaceResults!$C:$C,RaceResults!$A:$A,$A201,RaceResults!$D:$D,D201))</f>
        <v/>
      </c>
      <c r="H201" s="11" t="str">
        <f>IF(E201="","",SUMIFS(RaceResults!$C:$C,RaceResults!$A:$A,$A201,RaceResults!$D:$D,E201))</f>
        <v/>
      </c>
      <c r="I201" s="11" t="str">
        <f>IF(F201="","",SUMIFS(RaceResults!$C:$C,RaceResults!$A:$A,$A201,RaceResults!$D:$D,F201))</f>
        <v/>
      </c>
      <c r="J201" s="11" t="str">
        <f>IF(D201="","",SUMIFS(RaceResults!$E:$E,RaceResults!$A:$A,$A201,RaceResults!$D:$D,D201))</f>
        <v/>
      </c>
      <c r="K201" s="11" t="str">
        <f>IF(E201="","",SUMIFS(RaceResults!$E:$E,RaceResults!$A:$A,$A201,RaceResults!$D:$D,E201))</f>
        <v/>
      </c>
      <c r="L201" s="11" t="str">
        <f>IF(F201="","",SUMIFS(RaceResults!$E:$E,RaceResults!$A:$A,$A201,RaceResults!$D:$D,F201))</f>
        <v/>
      </c>
      <c r="M201" s="11">
        <f t="shared" si="3"/>
        <v>0</v>
      </c>
    </row>
    <row r="202" spans="1:13" x14ac:dyDescent="0.3">
      <c r="A202" s="9">
        <v>21</v>
      </c>
      <c r="B202" s="9" t="s">
        <v>90</v>
      </c>
      <c r="C202" s="10" t="s">
        <v>21</v>
      </c>
      <c r="D202" s="3"/>
      <c r="E202" s="3"/>
      <c r="F202" s="3"/>
      <c r="G202" s="11" t="str">
        <f>IF(D202="","",SUMIFS(RaceResults!$C:$C,RaceResults!$A:$A,$A202,RaceResults!$D:$D,D202))</f>
        <v/>
      </c>
      <c r="H202" s="11" t="str">
        <f>IF(E202="","",SUMIFS(RaceResults!$C:$C,RaceResults!$A:$A,$A202,RaceResults!$D:$D,E202))</f>
        <v/>
      </c>
      <c r="I202" s="11" t="str">
        <f>IF(F202="","",SUMIFS(RaceResults!$C:$C,RaceResults!$A:$A,$A202,RaceResults!$D:$D,F202))</f>
        <v/>
      </c>
      <c r="J202" s="11" t="str">
        <f>IF(D202="","",SUMIFS(RaceResults!$E:$E,RaceResults!$A:$A,$A202,RaceResults!$D:$D,D202))</f>
        <v/>
      </c>
      <c r="K202" s="11" t="str">
        <f>IF(E202="","",SUMIFS(RaceResults!$E:$E,RaceResults!$A:$A,$A202,RaceResults!$D:$D,E202))</f>
        <v/>
      </c>
      <c r="L202" s="11" t="str">
        <f>IF(F202="","",SUMIFS(RaceResults!$E:$E,RaceResults!$A:$A,$A202,RaceResults!$D:$D,F202))</f>
        <v/>
      </c>
      <c r="M202" s="11">
        <f t="shared" si="3"/>
        <v>0</v>
      </c>
    </row>
    <row r="203" spans="1:13" x14ac:dyDescent="0.3">
      <c r="A203" s="9">
        <v>21</v>
      </c>
      <c r="B203" s="9" t="s">
        <v>90</v>
      </c>
      <c r="C203" s="10" t="s">
        <v>22</v>
      </c>
      <c r="D203" s="3"/>
      <c r="E203" s="3"/>
      <c r="F203" s="3"/>
      <c r="G203" s="11" t="str">
        <f>IF(D203="","",SUMIFS(RaceResults!$C:$C,RaceResults!$A:$A,$A203,RaceResults!$D:$D,D203))</f>
        <v/>
      </c>
      <c r="H203" s="11" t="str">
        <f>IF(E203="","",SUMIFS(RaceResults!$C:$C,RaceResults!$A:$A,$A203,RaceResults!$D:$D,E203))</f>
        <v/>
      </c>
      <c r="I203" s="11" t="str">
        <f>IF(F203="","",SUMIFS(RaceResults!$C:$C,RaceResults!$A:$A,$A203,RaceResults!$D:$D,F203))</f>
        <v/>
      </c>
      <c r="J203" s="11" t="str">
        <f>IF(D203="","",SUMIFS(RaceResults!$E:$E,RaceResults!$A:$A,$A203,RaceResults!$D:$D,D203))</f>
        <v/>
      </c>
      <c r="K203" s="11" t="str">
        <f>IF(E203="","",SUMIFS(RaceResults!$E:$E,RaceResults!$A:$A,$A203,RaceResults!$D:$D,E203))</f>
        <v/>
      </c>
      <c r="L203" s="11" t="str">
        <f>IF(F203="","",SUMIFS(RaceResults!$E:$E,RaceResults!$A:$A,$A203,RaceResults!$D:$D,F203))</f>
        <v/>
      </c>
      <c r="M203" s="11">
        <f t="shared" si="3"/>
        <v>0</v>
      </c>
    </row>
    <row r="204" spans="1:13" x14ac:dyDescent="0.3">
      <c r="A204" s="9">
        <v>21</v>
      </c>
      <c r="B204" s="9" t="s">
        <v>90</v>
      </c>
      <c r="C204" s="10" t="s">
        <v>25</v>
      </c>
      <c r="D204" s="3"/>
      <c r="E204" s="3"/>
      <c r="F204" s="3"/>
      <c r="G204" s="11" t="str">
        <f>IF(D204="","",SUMIFS(RaceResults!$C:$C,RaceResults!$A:$A,$A204,RaceResults!$D:$D,D204))</f>
        <v/>
      </c>
      <c r="H204" s="11" t="str">
        <f>IF(E204="","",SUMIFS(RaceResults!$C:$C,RaceResults!$A:$A,$A204,RaceResults!$D:$D,E204))</f>
        <v/>
      </c>
      <c r="I204" s="11" t="str">
        <f>IF(F204="","",SUMIFS(RaceResults!$C:$C,RaceResults!$A:$A,$A204,RaceResults!$D:$D,F204))</f>
        <v/>
      </c>
      <c r="J204" s="11" t="str">
        <f>IF(D204="","",SUMIFS(RaceResults!$E:$E,RaceResults!$A:$A,$A204,RaceResults!$D:$D,D204))</f>
        <v/>
      </c>
      <c r="K204" s="11" t="str">
        <f>IF(E204="","",SUMIFS(RaceResults!$E:$E,RaceResults!$A:$A,$A204,RaceResults!$D:$D,E204))</f>
        <v/>
      </c>
      <c r="L204" s="11" t="str">
        <f>IF(F204="","",SUMIFS(RaceResults!$E:$E,RaceResults!$A:$A,$A204,RaceResults!$D:$D,F204))</f>
        <v/>
      </c>
      <c r="M204" s="11">
        <f t="shared" si="3"/>
        <v>0</v>
      </c>
    </row>
    <row r="205" spans="1:13" x14ac:dyDescent="0.3">
      <c r="A205" s="9">
        <v>21</v>
      </c>
      <c r="B205" s="9" t="s">
        <v>90</v>
      </c>
      <c r="C205" s="10" t="s">
        <v>26</v>
      </c>
      <c r="D205" s="3"/>
      <c r="E205" s="3"/>
      <c r="F205" s="3"/>
      <c r="G205" s="11" t="str">
        <f>IF(D205="","",SUMIFS(RaceResults!$C:$C,RaceResults!$A:$A,$A205,RaceResults!$D:$D,D205))</f>
        <v/>
      </c>
      <c r="H205" s="11" t="str">
        <f>IF(E205="","",SUMIFS(RaceResults!$C:$C,RaceResults!$A:$A,$A205,RaceResults!$D:$D,E205))</f>
        <v/>
      </c>
      <c r="I205" s="11" t="str">
        <f>IF(F205="","",SUMIFS(RaceResults!$C:$C,RaceResults!$A:$A,$A205,RaceResults!$D:$D,F205))</f>
        <v/>
      </c>
      <c r="J205" s="11" t="str">
        <f>IF(D205="","",SUMIFS(RaceResults!$E:$E,RaceResults!$A:$A,$A205,RaceResults!$D:$D,D205))</f>
        <v/>
      </c>
      <c r="K205" s="11" t="str">
        <f>IF(E205="","",SUMIFS(RaceResults!$E:$E,RaceResults!$A:$A,$A205,RaceResults!$D:$D,E205))</f>
        <v/>
      </c>
      <c r="L205" s="11" t="str">
        <f>IF(F205="","",SUMIFS(RaceResults!$E:$E,RaceResults!$A:$A,$A205,RaceResults!$D:$D,F205))</f>
        <v/>
      </c>
      <c r="M205" s="11">
        <f t="shared" si="3"/>
        <v>0</v>
      </c>
    </row>
    <row r="206" spans="1:13" x14ac:dyDescent="0.3">
      <c r="A206" s="9">
        <v>21</v>
      </c>
      <c r="B206" s="9" t="s">
        <v>90</v>
      </c>
      <c r="C206" s="10" t="s">
        <v>27</v>
      </c>
      <c r="D206" s="3"/>
      <c r="E206" s="3"/>
      <c r="F206" s="3"/>
      <c r="G206" s="11" t="str">
        <f>IF(D206="","",SUMIFS(RaceResults!$C:$C,RaceResults!$A:$A,$A206,RaceResults!$D:$D,D206))</f>
        <v/>
      </c>
      <c r="H206" s="11" t="str">
        <f>IF(E206="","",SUMIFS(RaceResults!$C:$C,RaceResults!$A:$A,$A206,RaceResults!$D:$D,E206))</f>
        <v/>
      </c>
      <c r="I206" s="11" t="str">
        <f>IF(F206="","",SUMIFS(RaceResults!$C:$C,RaceResults!$A:$A,$A206,RaceResults!$D:$D,F206))</f>
        <v/>
      </c>
      <c r="J206" s="11" t="str">
        <f>IF(D206="","",SUMIFS(RaceResults!$E:$E,RaceResults!$A:$A,$A206,RaceResults!$D:$D,D206))</f>
        <v/>
      </c>
      <c r="K206" s="11" t="str">
        <f>IF(E206="","",SUMIFS(RaceResults!$E:$E,RaceResults!$A:$A,$A206,RaceResults!$D:$D,E206))</f>
        <v/>
      </c>
      <c r="L206" s="11" t="str">
        <f>IF(F206="","",SUMIFS(RaceResults!$E:$E,RaceResults!$A:$A,$A206,RaceResults!$D:$D,F206))</f>
        <v/>
      </c>
      <c r="M206" s="11">
        <f t="shared" si="3"/>
        <v>0</v>
      </c>
    </row>
    <row r="207" spans="1:13" x14ac:dyDescent="0.3">
      <c r="A207" s="9">
        <v>21</v>
      </c>
      <c r="B207" s="9" t="s">
        <v>90</v>
      </c>
      <c r="C207" s="10" t="s">
        <v>28</v>
      </c>
      <c r="D207" s="3"/>
      <c r="E207" s="3"/>
      <c r="F207" s="3"/>
      <c r="G207" s="11" t="str">
        <f>IF(D207="","",SUMIFS(RaceResults!$C:$C,RaceResults!$A:$A,$A207,RaceResults!$D:$D,D207))</f>
        <v/>
      </c>
      <c r="H207" s="11" t="str">
        <f>IF(E207="","",SUMIFS(RaceResults!$C:$C,RaceResults!$A:$A,$A207,RaceResults!$D:$D,E207))</f>
        <v/>
      </c>
      <c r="I207" s="11" t="str">
        <f>IF(F207="","",SUMIFS(RaceResults!$C:$C,RaceResults!$A:$A,$A207,RaceResults!$D:$D,F207))</f>
        <v/>
      </c>
      <c r="J207" s="11" t="str">
        <f>IF(D207="","",SUMIFS(RaceResults!$E:$E,RaceResults!$A:$A,$A207,RaceResults!$D:$D,D207))</f>
        <v/>
      </c>
      <c r="K207" s="11" t="str">
        <f>IF(E207="","",SUMIFS(RaceResults!$E:$E,RaceResults!$A:$A,$A207,RaceResults!$D:$D,E207))</f>
        <v/>
      </c>
      <c r="L207" s="11" t="str">
        <f>IF(F207="","",SUMIFS(RaceResults!$E:$E,RaceResults!$A:$A,$A207,RaceResults!$D:$D,F207))</f>
        <v/>
      </c>
      <c r="M207" s="11">
        <f t="shared" si="3"/>
        <v>0</v>
      </c>
    </row>
    <row r="208" spans="1:13" x14ac:dyDescent="0.3">
      <c r="A208" s="9">
        <v>21</v>
      </c>
      <c r="B208" s="9" t="s">
        <v>90</v>
      </c>
      <c r="C208" s="10" t="s">
        <v>29</v>
      </c>
      <c r="D208" s="3"/>
      <c r="E208" s="3"/>
      <c r="F208" s="3"/>
      <c r="G208" s="11" t="str">
        <f>IF(D208="","",SUMIFS(RaceResults!$C:$C,RaceResults!$A:$A,$A208,RaceResults!$D:$D,D208))</f>
        <v/>
      </c>
      <c r="H208" s="11" t="str">
        <f>IF(E208="","",SUMIFS(RaceResults!$C:$C,RaceResults!$A:$A,$A208,RaceResults!$D:$D,E208))</f>
        <v/>
      </c>
      <c r="I208" s="11" t="str">
        <f>IF(F208="","",SUMIFS(RaceResults!$C:$C,RaceResults!$A:$A,$A208,RaceResults!$D:$D,F208))</f>
        <v/>
      </c>
      <c r="J208" s="11" t="str">
        <f>IF(D208="","",SUMIFS(RaceResults!$E:$E,RaceResults!$A:$A,$A208,RaceResults!$D:$D,D208))</f>
        <v/>
      </c>
      <c r="K208" s="11" t="str">
        <f>IF(E208="","",SUMIFS(RaceResults!$E:$E,RaceResults!$A:$A,$A208,RaceResults!$D:$D,E208))</f>
        <v/>
      </c>
      <c r="L208" s="11" t="str">
        <f>IF(F208="","",SUMIFS(RaceResults!$E:$E,RaceResults!$A:$A,$A208,RaceResults!$D:$D,F208))</f>
        <v/>
      </c>
      <c r="M208" s="11">
        <f t="shared" si="3"/>
        <v>0</v>
      </c>
    </row>
    <row r="209" spans="1:13" x14ac:dyDescent="0.3">
      <c r="A209" s="9">
        <v>21</v>
      </c>
      <c r="B209" s="9" t="s">
        <v>90</v>
      </c>
      <c r="C209" s="10" t="s">
        <v>30</v>
      </c>
      <c r="D209" s="3"/>
      <c r="E209" s="3"/>
      <c r="F209" s="3"/>
      <c r="G209" s="11" t="str">
        <f>IF(D209="","",SUMIFS(RaceResults!$C:$C,RaceResults!$A:$A,$A209,RaceResults!$D:$D,D209))</f>
        <v/>
      </c>
      <c r="H209" s="11" t="str">
        <f>IF(E209="","",SUMIFS(RaceResults!$C:$C,RaceResults!$A:$A,$A209,RaceResults!$D:$D,E209))</f>
        <v/>
      </c>
      <c r="I209" s="11" t="str">
        <f>IF(F209="","",SUMIFS(RaceResults!$C:$C,RaceResults!$A:$A,$A209,RaceResults!$D:$D,F209))</f>
        <v/>
      </c>
      <c r="J209" s="11" t="str">
        <f>IF(D209="","",SUMIFS(RaceResults!$E:$E,RaceResults!$A:$A,$A209,RaceResults!$D:$D,D209))</f>
        <v/>
      </c>
      <c r="K209" s="11" t="str">
        <f>IF(E209="","",SUMIFS(RaceResults!$E:$E,RaceResults!$A:$A,$A209,RaceResults!$D:$D,E209))</f>
        <v/>
      </c>
      <c r="L209" s="11" t="str">
        <f>IF(F209="","",SUMIFS(RaceResults!$E:$E,RaceResults!$A:$A,$A209,RaceResults!$D:$D,F209))</f>
        <v/>
      </c>
      <c r="M209" s="11">
        <f t="shared" si="3"/>
        <v>0</v>
      </c>
    </row>
    <row r="210" spans="1:13" x14ac:dyDescent="0.3">
      <c r="A210" s="9">
        <v>21</v>
      </c>
      <c r="B210" s="9" t="s">
        <v>90</v>
      </c>
      <c r="C210" s="10" t="s">
        <v>31</v>
      </c>
      <c r="D210" s="3"/>
      <c r="E210" s="3"/>
      <c r="F210" s="3"/>
      <c r="G210" s="11" t="str">
        <f>IF(D210="","",SUMIFS(RaceResults!$C:$C,RaceResults!$A:$A,$A210,RaceResults!$D:$D,D210))</f>
        <v/>
      </c>
      <c r="H210" s="11" t="str">
        <f>IF(E210="","",SUMIFS(RaceResults!$C:$C,RaceResults!$A:$A,$A210,RaceResults!$D:$D,E210))</f>
        <v/>
      </c>
      <c r="I210" s="11" t="str">
        <f>IF(F210="","",SUMIFS(RaceResults!$C:$C,RaceResults!$A:$A,$A210,RaceResults!$D:$D,F210))</f>
        <v/>
      </c>
      <c r="J210" s="11" t="str">
        <f>IF(D210="","",SUMIFS(RaceResults!$E:$E,RaceResults!$A:$A,$A210,RaceResults!$D:$D,D210))</f>
        <v/>
      </c>
      <c r="K210" s="11" t="str">
        <f>IF(E210="","",SUMIFS(RaceResults!$E:$E,RaceResults!$A:$A,$A210,RaceResults!$D:$D,E210))</f>
        <v/>
      </c>
      <c r="L210" s="11" t="str">
        <f>IF(F210="","",SUMIFS(RaceResults!$E:$E,RaceResults!$A:$A,$A210,RaceResults!$D:$D,F210))</f>
        <v/>
      </c>
      <c r="M210" s="11">
        <f t="shared" si="3"/>
        <v>0</v>
      </c>
    </row>
    <row r="211" spans="1:13" x14ac:dyDescent="0.3">
      <c r="A211" s="9">
        <v>21</v>
      </c>
      <c r="B211" s="9" t="s">
        <v>90</v>
      </c>
      <c r="C211" s="10" t="s">
        <v>32</v>
      </c>
      <c r="D211" s="3"/>
      <c r="E211" s="3"/>
      <c r="F211" s="3"/>
      <c r="G211" s="11" t="str">
        <f>IF(D211="","",SUMIFS(RaceResults!$C:$C,RaceResults!$A:$A,$A211,RaceResults!$D:$D,D211))</f>
        <v/>
      </c>
      <c r="H211" s="11" t="str">
        <f>IF(E211="","",SUMIFS(RaceResults!$C:$C,RaceResults!$A:$A,$A211,RaceResults!$D:$D,E211))</f>
        <v/>
      </c>
      <c r="I211" s="11" t="str">
        <f>IF(F211="","",SUMIFS(RaceResults!$C:$C,RaceResults!$A:$A,$A211,RaceResults!$D:$D,F211))</f>
        <v/>
      </c>
      <c r="J211" s="11" t="str">
        <f>IF(D211="","",SUMIFS(RaceResults!$E:$E,RaceResults!$A:$A,$A211,RaceResults!$D:$D,D211))</f>
        <v/>
      </c>
      <c r="K211" s="11" t="str">
        <f>IF(E211="","",SUMIFS(RaceResults!$E:$E,RaceResults!$A:$A,$A211,RaceResults!$D:$D,E211))</f>
        <v/>
      </c>
      <c r="L211" s="11" t="str">
        <f>IF(F211="","",SUMIFS(RaceResults!$E:$E,RaceResults!$A:$A,$A211,RaceResults!$D:$D,F211))</f>
        <v/>
      </c>
      <c r="M211" s="11">
        <f t="shared" si="3"/>
        <v>0</v>
      </c>
    </row>
    <row r="212" spans="1:13" x14ac:dyDescent="0.3">
      <c r="A212" s="9">
        <v>22</v>
      </c>
      <c r="B212" s="9" t="s">
        <v>92</v>
      </c>
      <c r="C212" s="10" t="s">
        <v>21</v>
      </c>
      <c r="D212" s="3"/>
      <c r="E212" s="3"/>
      <c r="F212" s="3"/>
      <c r="G212" s="11" t="str">
        <f>IF(D212="","",SUMIFS(RaceResults!$C:$C,RaceResults!$A:$A,$A212,RaceResults!$D:$D,D212))</f>
        <v/>
      </c>
      <c r="H212" s="11" t="str">
        <f>IF(E212="","",SUMIFS(RaceResults!$C:$C,RaceResults!$A:$A,$A212,RaceResults!$D:$D,E212))</f>
        <v/>
      </c>
      <c r="I212" s="11" t="str">
        <f>IF(F212="","",SUMIFS(RaceResults!$C:$C,RaceResults!$A:$A,$A212,RaceResults!$D:$D,F212))</f>
        <v/>
      </c>
      <c r="J212" s="11" t="str">
        <f>IF(D212="","",SUMIFS(RaceResults!$E:$E,RaceResults!$A:$A,$A212,RaceResults!$D:$D,D212))</f>
        <v/>
      </c>
      <c r="K212" s="11" t="str">
        <f>IF(E212="","",SUMIFS(RaceResults!$E:$E,RaceResults!$A:$A,$A212,RaceResults!$D:$D,E212))</f>
        <v/>
      </c>
      <c r="L212" s="11" t="str">
        <f>IF(F212="","",SUMIFS(RaceResults!$E:$E,RaceResults!$A:$A,$A212,RaceResults!$D:$D,F212))</f>
        <v/>
      </c>
      <c r="M212" s="11">
        <f t="shared" si="3"/>
        <v>0</v>
      </c>
    </row>
    <row r="213" spans="1:13" x14ac:dyDescent="0.3">
      <c r="A213" s="9">
        <v>22</v>
      </c>
      <c r="B213" s="9" t="s">
        <v>92</v>
      </c>
      <c r="C213" s="10" t="s">
        <v>22</v>
      </c>
      <c r="D213" s="3"/>
      <c r="E213" s="3"/>
      <c r="F213" s="3"/>
      <c r="G213" s="11" t="str">
        <f>IF(D213="","",SUMIFS(RaceResults!$C:$C,RaceResults!$A:$A,$A213,RaceResults!$D:$D,D213))</f>
        <v/>
      </c>
      <c r="H213" s="11" t="str">
        <f>IF(E213="","",SUMIFS(RaceResults!$C:$C,RaceResults!$A:$A,$A213,RaceResults!$D:$D,E213))</f>
        <v/>
      </c>
      <c r="I213" s="11" t="str">
        <f>IF(F213="","",SUMIFS(RaceResults!$C:$C,RaceResults!$A:$A,$A213,RaceResults!$D:$D,F213))</f>
        <v/>
      </c>
      <c r="J213" s="11" t="str">
        <f>IF(D213="","",SUMIFS(RaceResults!$E:$E,RaceResults!$A:$A,$A213,RaceResults!$D:$D,D213))</f>
        <v/>
      </c>
      <c r="K213" s="11" t="str">
        <f>IF(E213="","",SUMIFS(RaceResults!$E:$E,RaceResults!$A:$A,$A213,RaceResults!$D:$D,E213))</f>
        <v/>
      </c>
      <c r="L213" s="11" t="str">
        <f>IF(F213="","",SUMIFS(RaceResults!$E:$E,RaceResults!$A:$A,$A213,RaceResults!$D:$D,F213))</f>
        <v/>
      </c>
      <c r="M213" s="11">
        <f t="shared" si="3"/>
        <v>0</v>
      </c>
    </row>
    <row r="214" spans="1:13" x14ac:dyDescent="0.3">
      <c r="A214" s="9">
        <v>22</v>
      </c>
      <c r="B214" s="9" t="s">
        <v>92</v>
      </c>
      <c r="C214" s="10" t="s">
        <v>25</v>
      </c>
      <c r="D214" s="3"/>
      <c r="E214" s="3"/>
      <c r="F214" s="3"/>
      <c r="G214" s="11" t="str">
        <f>IF(D214="","",SUMIFS(RaceResults!$C:$C,RaceResults!$A:$A,$A214,RaceResults!$D:$D,D214))</f>
        <v/>
      </c>
      <c r="H214" s="11" t="str">
        <f>IF(E214="","",SUMIFS(RaceResults!$C:$C,RaceResults!$A:$A,$A214,RaceResults!$D:$D,E214))</f>
        <v/>
      </c>
      <c r="I214" s="11" t="str">
        <f>IF(F214="","",SUMIFS(RaceResults!$C:$C,RaceResults!$A:$A,$A214,RaceResults!$D:$D,F214))</f>
        <v/>
      </c>
      <c r="J214" s="11" t="str">
        <f>IF(D214="","",SUMIFS(RaceResults!$E:$E,RaceResults!$A:$A,$A214,RaceResults!$D:$D,D214))</f>
        <v/>
      </c>
      <c r="K214" s="11" t="str">
        <f>IF(E214="","",SUMIFS(RaceResults!$E:$E,RaceResults!$A:$A,$A214,RaceResults!$D:$D,E214))</f>
        <v/>
      </c>
      <c r="L214" s="11" t="str">
        <f>IF(F214="","",SUMIFS(RaceResults!$E:$E,RaceResults!$A:$A,$A214,RaceResults!$D:$D,F214))</f>
        <v/>
      </c>
      <c r="M214" s="11">
        <f t="shared" si="3"/>
        <v>0</v>
      </c>
    </row>
    <row r="215" spans="1:13" x14ac:dyDescent="0.3">
      <c r="A215" s="9">
        <v>22</v>
      </c>
      <c r="B215" s="9" t="s">
        <v>92</v>
      </c>
      <c r="C215" s="10" t="s">
        <v>26</v>
      </c>
      <c r="D215" s="3"/>
      <c r="E215" s="3"/>
      <c r="F215" s="3"/>
      <c r="G215" s="11" t="str">
        <f>IF(D215="","",SUMIFS(RaceResults!$C:$C,RaceResults!$A:$A,$A215,RaceResults!$D:$D,D215))</f>
        <v/>
      </c>
      <c r="H215" s="11" t="str">
        <f>IF(E215="","",SUMIFS(RaceResults!$C:$C,RaceResults!$A:$A,$A215,RaceResults!$D:$D,E215))</f>
        <v/>
      </c>
      <c r="I215" s="11" t="str">
        <f>IF(F215="","",SUMIFS(RaceResults!$C:$C,RaceResults!$A:$A,$A215,RaceResults!$D:$D,F215))</f>
        <v/>
      </c>
      <c r="J215" s="11" t="str">
        <f>IF(D215="","",SUMIFS(RaceResults!$E:$E,RaceResults!$A:$A,$A215,RaceResults!$D:$D,D215))</f>
        <v/>
      </c>
      <c r="K215" s="11" t="str">
        <f>IF(E215="","",SUMIFS(RaceResults!$E:$E,RaceResults!$A:$A,$A215,RaceResults!$D:$D,E215))</f>
        <v/>
      </c>
      <c r="L215" s="11" t="str">
        <f>IF(F215="","",SUMIFS(RaceResults!$E:$E,RaceResults!$A:$A,$A215,RaceResults!$D:$D,F215))</f>
        <v/>
      </c>
      <c r="M215" s="11">
        <f t="shared" si="3"/>
        <v>0</v>
      </c>
    </row>
    <row r="216" spans="1:13" x14ac:dyDescent="0.3">
      <c r="A216" s="9">
        <v>22</v>
      </c>
      <c r="B216" s="9" t="s">
        <v>92</v>
      </c>
      <c r="C216" s="10" t="s">
        <v>27</v>
      </c>
      <c r="D216" s="3"/>
      <c r="E216" s="3"/>
      <c r="F216" s="3"/>
      <c r="G216" s="11" t="str">
        <f>IF(D216="","",SUMIFS(RaceResults!$C:$C,RaceResults!$A:$A,$A216,RaceResults!$D:$D,D216))</f>
        <v/>
      </c>
      <c r="H216" s="11" t="str">
        <f>IF(E216="","",SUMIFS(RaceResults!$C:$C,RaceResults!$A:$A,$A216,RaceResults!$D:$D,E216))</f>
        <v/>
      </c>
      <c r="I216" s="11" t="str">
        <f>IF(F216="","",SUMIFS(RaceResults!$C:$C,RaceResults!$A:$A,$A216,RaceResults!$D:$D,F216))</f>
        <v/>
      </c>
      <c r="J216" s="11" t="str">
        <f>IF(D216="","",SUMIFS(RaceResults!$E:$E,RaceResults!$A:$A,$A216,RaceResults!$D:$D,D216))</f>
        <v/>
      </c>
      <c r="K216" s="11" t="str">
        <f>IF(E216="","",SUMIFS(RaceResults!$E:$E,RaceResults!$A:$A,$A216,RaceResults!$D:$D,E216))</f>
        <v/>
      </c>
      <c r="L216" s="11" t="str">
        <f>IF(F216="","",SUMIFS(RaceResults!$E:$E,RaceResults!$A:$A,$A216,RaceResults!$D:$D,F216))</f>
        <v/>
      </c>
      <c r="M216" s="11">
        <f t="shared" si="3"/>
        <v>0</v>
      </c>
    </row>
    <row r="217" spans="1:13" x14ac:dyDescent="0.3">
      <c r="A217" s="9">
        <v>22</v>
      </c>
      <c r="B217" s="9" t="s">
        <v>92</v>
      </c>
      <c r="C217" s="10" t="s">
        <v>28</v>
      </c>
      <c r="D217" s="3"/>
      <c r="E217" s="3"/>
      <c r="F217" s="3"/>
      <c r="G217" s="11" t="str">
        <f>IF(D217="","",SUMIFS(RaceResults!$C:$C,RaceResults!$A:$A,$A217,RaceResults!$D:$D,D217))</f>
        <v/>
      </c>
      <c r="H217" s="11" t="str">
        <f>IF(E217="","",SUMIFS(RaceResults!$C:$C,RaceResults!$A:$A,$A217,RaceResults!$D:$D,E217))</f>
        <v/>
      </c>
      <c r="I217" s="11" t="str">
        <f>IF(F217="","",SUMIFS(RaceResults!$C:$C,RaceResults!$A:$A,$A217,RaceResults!$D:$D,F217))</f>
        <v/>
      </c>
      <c r="J217" s="11" t="str">
        <f>IF(D217="","",SUMIFS(RaceResults!$E:$E,RaceResults!$A:$A,$A217,RaceResults!$D:$D,D217))</f>
        <v/>
      </c>
      <c r="K217" s="11" t="str">
        <f>IF(E217="","",SUMIFS(RaceResults!$E:$E,RaceResults!$A:$A,$A217,RaceResults!$D:$D,E217))</f>
        <v/>
      </c>
      <c r="L217" s="11" t="str">
        <f>IF(F217="","",SUMIFS(RaceResults!$E:$E,RaceResults!$A:$A,$A217,RaceResults!$D:$D,F217))</f>
        <v/>
      </c>
      <c r="M217" s="11">
        <f t="shared" si="3"/>
        <v>0</v>
      </c>
    </row>
    <row r="218" spans="1:13" x14ac:dyDescent="0.3">
      <c r="A218" s="9">
        <v>22</v>
      </c>
      <c r="B218" s="9" t="s">
        <v>92</v>
      </c>
      <c r="C218" s="10" t="s">
        <v>29</v>
      </c>
      <c r="D218" s="3"/>
      <c r="E218" s="3"/>
      <c r="F218" s="3"/>
      <c r="G218" s="11" t="str">
        <f>IF(D218="","",SUMIFS(RaceResults!$C:$C,RaceResults!$A:$A,$A218,RaceResults!$D:$D,D218))</f>
        <v/>
      </c>
      <c r="H218" s="11" t="str">
        <f>IF(E218="","",SUMIFS(RaceResults!$C:$C,RaceResults!$A:$A,$A218,RaceResults!$D:$D,E218))</f>
        <v/>
      </c>
      <c r="I218" s="11" t="str">
        <f>IF(F218="","",SUMIFS(RaceResults!$C:$C,RaceResults!$A:$A,$A218,RaceResults!$D:$D,F218))</f>
        <v/>
      </c>
      <c r="J218" s="11" t="str">
        <f>IF(D218="","",SUMIFS(RaceResults!$E:$E,RaceResults!$A:$A,$A218,RaceResults!$D:$D,D218))</f>
        <v/>
      </c>
      <c r="K218" s="11" t="str">
        <f>IF(E218="","",SUMIFS(RaceResults!$E:$E,RaceResults!$A:$A,$A218,RaceResults!$D:$D,E218))</f>
        <v/>
      </c>
      <c r="L218" s="11" t="str">
        <f>IF(F218="","",SUMIFS(RaceResults!$E:$E,RaceResults!$A:$A,$A218,RaceResults!$D:$D,F218))</f>
        <v/>
      </c>
      <c r="M218" s="11">
        <f t="shared" si="3"/>
        <v>0</v>
      </c>
    </row>
    <row r="219" spans="1:13" x14ac:dyDescent="0.3">
      <c r="A219" s="9">
        <v>22</v>
      </c>
      <c r="B219" s="9" t="s">
        <v>92</v>
      </c>
      <c r="C219" s="10" t="s">
        <v>30</v>
      </c>
      <c r="D219" s="3"/>
      <c r="E219" s="3"/>
      <c r="F219" s="3"/>
      <c r="G219" s="11" t="str">
        <f>IF(D219="","",SUMIFS(RaceResults!$C:$C,RaceResults!$A:$A,$A219,RaceResults!$D:$D,D219))</f>
        <v/>
      </c>
      <c r="H219" s="11" t="str">
        <f>IF(E219="","",SUMIFS(RaceResults!$C:$C,RaceResults!$A:$A,$A219,RaceResults!$D:$D,E219))</f>
        <v/>
      </c>
      <c r="I219" s="11" t="str">
        <f>IF(F219="","",SUMIFS(RaceResults!$C:$C,RaceResults!$A:$A,$A219,RaceResults!$D:$D,F219))</f>
        <v/>
      </c>
      <c r="J219" s="11" t="str">
        <f>IF(D219="","",SUMIFS(RaceResults!$E:$E,RaceResults!$A:$A,$A219,RaceResults!$D:$D,D219))</f>
        <v/>
      </c>
      <c r="K219" s="11" t="str">
        <f>IF(E219="","",SUMIFS(RaceResults!$E:$E,RaceResults!$A:$A,$A219,RaceResults!$D:$D,E219))</f>
        <v/>
      </c>
      <c r="L219" s="11" t="str">
        <f>IF(F219="","",SUMIFS(RaceResults!$E:$E,RaceResults!$A:$A,$A219,RaceResults!$D:$D,F219))</f>
        <v/>
      </c>
      <c r="M219" s="11">
        <f t="shared" si="3"/>
        <v>0</v>
      </c>
    </row>
    <row r="220" spans="1:13" x14ac:dyDescent="0.3">
      <c r="A220" s="9">
        <v>22</v>
      </c>
      <c r="B220" s="9" t="s">
        <v>92</v>
      </c>
      <c r="C220" s="10" t="s">
        <v>31</v>
      </c>
      <c r="D220" s="3"/>
      <c r="E220" s="3"/>
      <c r="F220" s="3"/>
      <c r="G220" s="11" t="str">
        <f>IF(D220="","",SUMIFS(RaceResults!$C:$C,RaceResults!$A:$A,$A220,RaceResults!$D:$D,D220))</f>
        <v/>
      </c>
      <c r="H220" s="11" t="str">
        <f>IF(E220="","",SUMIFS(RaceResults!$C:$C,RaceResults!$A:$A,$A220,RaceResults!$D:$D,E220))</f>
        <v/>
      </c>
      <c r="I220" s="11" t="str">
        <f>IF(F220="","",SUMIFS(RaceResults!$C:$C,RaceResults!$A:$A,$A220,RaceResults!$D:$D,F220))</f>
        <v/>
      </c>
      <c r="J220" s="11" t="str">
        <f>IF(D220="","",SUMIFS(RaceResults!$E:$E,RaceResults!$A:$A,$A220,RaceResults!$D:$D,D220))</f>
        <v/>
      </c>
      <c r="K220" s="11" t="str">
        <f>IF(E220="","",SUMIFS(RaceResults!$E:$E,RaceResults!$A:$A,$A220,RaceResults!$D:$D,E220))</f>
        <v/>
      </c>
      <c r="L220" s="11" t="str">
        <f>IF(F220="","",SUMIFS(RaceResults!$E:$E,RaceResults!$A:$A,$A220,RaceResults!$D:$D,F220))</f>
        <v/>
      </c>
      <c r="M220" s="11">
        <f t="shared" si="3"/>
        <v>0</v>
      </c>
    </row>
    <row r="221" spans="1:13" x14ac:dyDescent="0.3">
      <c r="A221" s="9">
        <v>22</v>
      </c>
      <c r="B221" s="9" t="s">
        <v>92</v>
      </c>
      <c r="C221" s="10" t="s">
        <v>32</v>
      </c>
      <c r="D221" s="3"/>
      <c r="E221" s="3"/>
      <c r="F221" s="3"/>
      <c r="G221" s="11" t="str">
        <f>IF(D221="","",SUMIFS(RaceResults!$C:$C,RaceResults!$A:$A,$A221,RaceResults!$D:$D,D221))</f>
        <v/>
      </c>
      <c r="H221" s="11" t="str">
        <f>IF(E221="","",SUMIFS(RaceResults!$C:$C,RaceResults!$A:$A,$A221,RaceResults!$D:$D,E221))</f>
        <v/>
      </c>
      <c r="I221" s="11" t="str">
        <f>IF(F221="","",SUMIFS(RaceResults!$C:$C,RaceResults!$A:$A,$A221,RaceResults!$D:$D,F221))</f>
        <v/>
      </c>
      <c r="J221" s="11" t="str">
        <f>IF(D221="","",SUMIFS(RaceResults!$E:$E,RaceResults!$A:$A,$A221,RaceResults!$D:$D,D221))</f>
        <v/>
      </c>
      <c r="K221" s="11" t="str">
        <f>IF(E221="","",SUMIFS(RaceResults!$E:$E,RaceResults!$A:$A,$A221,RaceResults!$D:$D,E221))</f>
        <v/>
      </c>
      <c r="L221" s="11" t="str">
        <f>IF(F221="","",SUMIFS(RaceResults!$E:$E,RaceResults!$A:$A,$A221,RaceResults!$D:$D,F221))</f>
        <v/>
      </c>
      <c r="M221" s="11">
        <f t="shared" si="3"/>
        <v>0</v>
      </c>
    </row>
    <row r="222" spans="1:13" x14ac:dyDescent="0.3">
      <c r="A222" s="9">
        <v>23</v>
      </c>
      <c r="B222" s="9" t="s">
        <v>94</v>
      </c>
      <c r="C222" s="10" t="s">
        <v>21</v>
      </c>
      <c r="D222" s="3"/>
      <c r="E222" s="3"/>
      <c r="F222" s="3"/>
      <c r="G222" s="11" t="str">
        <f>IF(D222="","",SUMIFS(RaceResults!$C:$C,RaceResults!$A:$A,$A222,RaceResults!$D:$D,D222))</f>
        <v/>
      </c>
      <c r="H222" s="11" t="str">
        <f>IF(E222="","",SUMIFS(RaceResults!$C:$C,RaceResults!$A:$A,$A222,RaceResults!$D:$D,E222))</f>
        <v/>
      </c>
      <c r="I222" s="11" t="str">
        <f>IF(F222="","",SUMIFS(RaceResults!$C:$C,RaceResults!$A:$A,$A222,RaceResults!$D:$D,F222))</f>
        <v/>
      </c>
      <c r="J222" s="11" t="str">
        <f>IF(D222="","",SUMIFS(RaceResults!$E:$E,RaceResults!$A:$A,$A222,RaceResults!$D:$D,D222))</f>
        <v/>
      </c>
      <c r="K222" s="11" t="str">
        <f>IF(E222="","",SUMIFS(RaceResults!$E:$E,RaceResults!$A:$A,$A222,RaceResults!$D:$D,E222))</f>
        <v/>
      </c>
      <c r="L222" s="11" t="str">
        <f>IF(F222="","",SUMIFS(RaceResults!$E:$E,RaceResults!$A:$A,$A222,RaceResults!$D:$D,F222))</f>
        <v/>
      </c>
      <c r="M222" s="11">
        <f t="shared" si="3"/>
        <v>0</v>
      </c>
    </row>
    <row r="223" spans="1:13" x14ac:dyDescent="0.3">
      <c r="A223" s="9">
        <v>23</v>
      </c>
      <c r="B223" s="9" t="s">
        <v>94</v>
      </c>
      <c r="C223" s="10" t="s">
        <v>22</v>
      </c>
      <c r="D223" s="3"/>
      <c r="E223" s="3"/>
      <c r="F223" s="3"/>
      <c r="G223" s="11" t="str">
        <f>IF(D223="","",SUMIFS(RaceResults!$C:$C,RaceResults!$A:$A,$A223,RaceResults!$D:$D,D223))</f>
        <v/>
      </c>
      <c r="H223" s="11" t="str">
        <f>IF(E223="","",SUMIFS(RaceResults!$C:$C,RaceResults!$A:$A,$A223,RaceResults!$D:$D,E223))</f>
        <v/>
      </c>
      <c r="I223" s="11" t="str">
        <f>IF(F223="","",SUMIFS(RaceResults!$C:$C,RaceResults!$A:$A,$A223,RaceResults!$D:$D,F223))</f>
        <v/>
      </c>
      <c r="J223" s="11" t="str">
        <f>IF(D223="","",SUMIFS(RaceResults!$E:$E,RaceResults!$A:$A,$A223,RaceResults!$D:$D,D223))</f>
        <v/>
      </c>
      <c r="K223" s="11" t="str">
        <f>IF(E223="","",SUMIFS(RaceResults!$E:$E,RaceResults!$A:$A,$A223,RaceResults!$D:$D,E223))</f>
        <v/>
      </c>
      <c r="L223" s="11" t="str">
        <f>IF(F223="","",SUMIFS(RaceResults!$E:$E,RaceResults!$A:$A,$A223,RaceResults!$D:$D,F223))</f>
        <v/>
      </c>
      <c r="M223" s="11">
        <f t="shared" si="3"/>
        <v>0</v>
      </c>
    </row>
    <row r="224" spans="1:13" x14ac:dyDescent="0.3">
      <c r="A224" s="9">
        <v>23</v>
      </c>
      <c r="B224" s="9" t="s">
        <v>94</v>
      </c>
      <c r="C224" s="10" t="s">
        <v>25</v>
      </c>
      <c r="D224" s="3"/>
      <c r="E224" s="3"/>
      <c r="F224" s="3"/>
      <c r="G224" s="11" t="str">
        <f>IF(D224="","",SUMIFS(RaceResults!$C:$C,RaceResults!$A:$A,$A224,RaceResults!$D:$D,D224))</f>
        <v/>
      </c>
      <c r="H224" s="11" t="str">
        <f>IF(E224="","",SUMIFS(RaceResults!$C:$C,RaceResults!$A:$A,$A224,RaceResults!$D:$D,E224))</f>
        <v/>
      </c>
      <c r="I224" s="11" t="str">
        <f>IF(F224="","",SUMIFS(RaceResults!$C:$C,RaceResults!$A:$A,$A224,RaceResults!$D:$D,F224))</f>
        <v/>
      </c>
      <c r="J224" s="11" t="str">
        <f>IF(D224="","",SUMIFS(RaceResults!$E:$E,RaceResults!$A:$A,$A224,RaceResults!$D:$D,D224))</f>
        <v/>
      </c>
      <c r="K224" s="11" t="str">
        <f>IF(E224="","",SUMIFS(RaceResults!$E:$E,RaceResults!$A:$A,$A224,RaceResults!$D:$D,E224))</f>
        <v/>
      </c>
      <c r="L224" s="11" t="str">
        <f>IF(F224="","",SUMIFS(RaceResults!$E:$E,RaceResults!$A:$A,$A224,RaceResults!$D:$D,F224))</f>
        <v/>
      </c>
      <c r="M224" s="11">
        <f t="shared" si="3"/>
        <v>0</v>
      </c>
    </row>
    <row r="225" spans="1:13" x14ac:dyDescent="0.3">
      <c r="A225" s="9">
        <v>23</v>
      </c>
      <c r="B225" s="9" t="s">
        <v>94</v>
      </c>
      <c r="C225" s="10" t="s">
        <v>26</v>
      </c>
      <c r="D225" s="3"/>
      <c r="E225" s="3"/>
      <c r="F225" s="3"/>
      <c r="G225" s="11" t="str">
        <f>IF(D225="","",SUMIFS(RaceResults!$C:$C,RaceResults!$A:$A,$A225,RaceResults!$D:$D,D225))</f>
        <v/>
      </c>
      <c r="H225" s="11" t="str">
        <f>IF(E225="","",SUMIFS(RaceResults!$C:$C,RaceResults!$A:$A,$A225,RaceResults!$D:$D,E225))</f>
        <v/>
      </c>
      <c r="I225" s="11" t="str">
        <f>IF(F225="","",SUMIFS(RaceResults!$C:$C,RaceResults!$A:$A,$A225,RaceResults!$D:$D,F225))</f>
        <v/>
      </c>
      <c r="J225" s="11" t="str">
        <f>IF(D225="","",SUMIFS(RaceResults!$E:$E,RaceResults!$A:$A,$A225,RaceResults!$D:$D,D225))</f>
        <v/>
      </c>
      <c r="K225" s="11" t="str">
        <f>IF(E225="","",SUMIFS(RaceResults!$E:$E,RaceResults!$A:$A,$A225,RaceResults!$D:$D,E225))</f>
        <v/>
      </c>
      <c r="L225" s="11" t="str">
        <f>IF(F225="","",SUMIFS(RaceResults!$E:$E,RaceResults!$A:$A,$A225,RaceResults!$D:$D,F225))</f>
        <v/>
      </c>
      <c r="M225" s="11">
        <f t="shared" si="3"/>
        <v>0</v>
      </c>
    </row>
    <row r="226" spans="1:13" x14ac:dyDescent="0.3">
      <c r="A226" s="9">
        <v>23</v>
      </c>
      <c r="B226" s="9" t="s">
        <v>94</v>
      </c>
      <c r="C226" s="10" t="s">
        <v>27</v>
      </c>
      <c r="D226" s="3"/>
      <c r="E226" s="3"/>
      <c r="F226" s="3"/>
      <c r="G226" s="11" t="str">
        <f>IF(D226="","",SUMIFS(RaceResults!$C:$C,RaceResults!$A:$A,$A226,RaceResults!$D:$D,D226))</f>
        <v/>
      </c>
      <c r="H226" s="11" t="str">
        <f>IF(E226="","",SUMIFS(RaceResults!$C:$C,RaceResults!$A:$A,$A226,RaceResults!$D:$D,E226))</f>
        <v/>
      </c>
      <c r="I226" s="11" t="str">
        <f>IF(F226="","",SUMIFS(RaceResults!$C:$C,RaceResults!$A:$A,$A226,RaceResults!$D:$D,F226))</f>
        <v/>
      </c>
      <c r="J226" s="11" t="str">
        <f>IF(D226="","",SUMIFS(RaceResults!$E:$E,RaceResults!$A:$A,$A226,RaceResults!$D:$D,D226))</f>
        <v/>
      </c>
      <c r="K226" s="11" t="str">
        <f>IF(E226="","",SUMIFS(RaceResults!$E:$E,RaceResults!$A:$A,$A226,RaceResults!$D:$D,E226))</f>
        <v/>
      </c>
      <c r="L226" s="11" t="str">
        <f>IF(F226="","",SUMIFS(RaceResults!$E:$E,RaceResults!$A:$A,$A226,RaceResults!$D:$D,F226))</f>
        <v/>
      </c>
      <c r="M226" s="11">
        <f t="shared" si="3"/>
        <v>0</v>
      </c>
    </row>
    <row r="227" spans="1:13" x14ac:dyDescent="0.3">
      <c r="A227" s="9">
        <v>23</v>
      </c>
      <c r="B227" s="9" t="s">
        <v>94</v>
      </c>
      <c r="C227" s="10" t="s">
        <v>28</v>
      </c>
      <c r="D227" s="3"/>
      <c r="E227" s="3"/>
      <c r="F227" s="3"/>
      <c r="G227" s="11" t="str">
        <f>IF(D227="","",SUMIFS(RaceResults!$C:$C,RaceResults!$A:$A,$A227,RaceResults!$D:$D,D227))</f>
        <v/>
      </c>
      <c r="H227" s="11" t="str">
        <f>IF(E227="","",SUMIFS(RaceResults!$C:$C,RaceResults!$A:$A,$A227,RaceResults!$D:$D,E227))</f>
        <v/>
      </c>
      <c r="I227" s="11" t="str">
        <f>IF(F227="","",SUMIFS(RaceResults!$C:$C,RaceResults!$A:$A,$A227,RaceResults!$D:$D,F227))</f>
        <v/>
      </c>
      <c r="J227" s="11" t="str">
        <f>IF(D227="","",SUMIFS(RaceResults!$E:$E,RaceResults!$A:$A,$A227,RaceResults!$D:$D,D227))</f>
        <v/>
      </c>
      <c r="K227" s="11" t="str">
        <f>IF(E227="","",SUMIFS(RaceResults!$E:$E,RaceResults!$A:$A,$A227,RaceResults!$D:$D,E227))</f>
        <v/>
      </c>
      <c r="L227" s="11" t="str">
        <f>IF(F227="","",SUMIFS(RaceResults!$E:$E,RaceResults!$A:$A,$A227,RaceResults!$D:$D,F227))</f>
        <v/>
      </c>
      <c r="M227" s="11">
        <f t="shared" si="3"/>
        <v>0</v>
      </c>
    </row>
    <row r="228" spans="1:13" x14ac:dyDescent="0.3">
      <c r="A228" s="9">
        <v>23</v>
      </c>
      <c r="B228" s="9" t="s">
        <v>94</v>
      </c>
      <c r="C228" s="10" t="s">
        <v>29</v>
      </c>
      <c r="D228" s="3"/>
      <c r="E228" s="3"/>
      <c r="F228" s="3"/>
      <c r="G228" s="11" t="str">
        <f>IF(D228="","",SUMIFS(RaceResults!$C:$C,RaceResults!$A:$A,$A228,RaceResults!$D:$D,D228))</f>
        <v/>
      </c>
      <c r="H228" s="11" t="str">
        <f>IF(E228="","",SUMIFS(RaceResults!$C:$C,RaceResults!$A:$A,$A228,RaceResults!$D:$D,E228))</f>
        <v/>
      </c>
      <c r="I228" s="11" t="str">
        <f>IF(F228="","",SUMIFS(RaceResults!$C:$C,RaceResults!$A:$A,$A228,RaceResults!$D:$D,F228))</f>
        <v/>
      </c>
      <c r="J228" s="11" t="str">
        <f>IF(D228="","",SUMIFS(RaceResults!$E:$E,RaceResults!$A:$A,$A228,RaceResults!$D:$D,D228))</f>
        <v/>
      </c>
      <c r="K228" s="11" t="str">
        <f>IF(E228="","",SUMIFS(RaceResults!$E:$E,RaceResults!$A:$A,$A228,RaceResults!$D:$D,E228))</f>
        <v/>
      </c>
      <c r="L228" s="11" t="str">
        <f>IF(F228="","",SUMIFS(RaceResults!$E:$E,RaceResults!$A:$A,$A228,RaceResults!$D:$D,F228))</f>
        <v/>
      </c>
      <c r="M228" s="11">
        <f t="shared" si="3"/>
        <v>0</v>
      </c>
    </row>
    <row r="229" spans="1:13" x14ac:dyDescent="0.3">
      <c r="A229" s="9">
        <v>23</v>
      </c>
      <c r="B229" s="9" t="s">
        <v>94</v>
      </c>
      <c r="C229" s="10" t="s">
        <v>30</v>
      </c>
      <c r="D229" s="3"/>
      <c r="E229" s="3"/>
      <c r="F229" s="3"/>
      <c r="G229" s="11" t="str">
        <f>IF(D229="","",SUMIFS(RaceResults!$C:$C,RaceResults!$A:$A,$A229,RaceResults!$D:$D,D229))</f>
        <v/>
      </c>
      <c r="H229" s="11" t="str">
        <f>IF(E229="","",SUMIFS(RaceResults!$C:$C,RaceResults!$A:$A,$A229,RaceResults!$D:$D,E229))</f>
        <v/>
      </c>
      <c r="I229" s="11" t="str">
        <f>IF(F229="","",SUMIFS(RaceResults!$C:$C,RaceResults!$A:$A,$A229,RaceResults!$D:$D,F229))</f>
        <v/>
      </c>
      <c r="J229" s="11" t="str">
        <f>IF(D229="","",SUMIFS(RaceResults!$E:$E,RaceResults!$A:$A,$A229,RaceResults!$D:$D,D229))</f>
        <v/>
      </c>
      <c r="K229" s="11" t="str">
        <f>IF(E229="","",SUMIFS(RaceResults!$E:$E,RaceResults!$A:$A,$A229,RaceResults!$D:$D,E229))</f>
        <v/>
      </c>
      <c r="L229" s="11" t="str">
        <f>IF(F229="","",SUMIFS(RaceResults!$E:$E,RaceResults!$A:$A,$A229,RaceResults!$D:$D,F229))</f>
        <v/>
      </c>
      <c r="M229" s="11">
        <f t="shared" si="3"/>
        <v>0</v>
      </c>
    </row>
    <row r="230" spans="1:13" x14ac:dyDescent="0.3">
      <c r="A230" s="9">
        <v>23</v>
      </c>
      <c r="B230" s="9" t="s">
        <v>94</v>
      </c>
      <c r="C230" s="10" t="s">
        <v>31</v>
      </c>
      <c r="D230" s="3"/>
      <c r="E230" s="3"/>
      <c r="F230" s="3"/>
      <c r="G230" s="11" t="str">
        <f>IF(D230="","",SUMIFS(RaceResults!$C:$C,RaceResults!$A:$A,$A230,RaceResults!$D:$D,D230))</f>
        <v/>
      </c>
      <c r="H230" s="11" t="str">
        <f>IF(E230="","",SUMIFS(RaceResults!$C:$C,RaceResults!$A:$A,$A230,RaceResults!$D:$D,E230))</f>
        <v/>
      </c>
      <c r="I230" s="11" t="str">
        <f>IF(F230="","",SUMIFS(RaceResults!$C:$C,RaceResults!$A:$A,$A230,RaceResults!$D:$D,F230))</f>
        <v/>
      </c>
      <c r="J230" s="11" t="str">
        <f>IF(D230="","",SUMIFS(RaceResults!$E:$E,RaceResults!$A:$A,$A230,RaceResults!$D:$D,D230))</f>
        <v/>
      </c>
      <c r="K230" s="11" t="str">
        <f>IF(E230="","",SUMIFS(RaceResults!$E:$E,RaceResults!$A:$A,$A230,RaceResults!$D:$D,E230))</f>
        <v/>
      </c>
      <c r="L230" s="11" t="str">
        <f>IF(F230="","",SUMIFS(RaceResults!$E:$E,RaceResults!$A:$A,$A230,RaceResults!$D:$D,F230))</f>
        <v/>
      </c>
      <c r="M230" s="11">
        <f t="shared" si="3"/>
        <v>0</v>
      </c>
    </row>
    <row r="231" spans="1:13" x14ac:dyDescent="0.3">
      <c r="A231" s="9">
        <v>23</v>
      </c>
      <c r="B231" s="9" t="s">
        <v>94</v>
      </c>
      <c r="C231" s="10" t="s">
        <v>32</v>
      </c>
      <c r="D231" s="3"/>
      <c r="E231" s="3"/>
      <c r="F231" s="3"/>
      <c r="G231" s="11" t="str">
        <f>IF(D231="","",SUMIFS(RaceResults!$C:$C,RaceResults!$A:$A,$A231,RaceResults!$D:$D,D231))</f>
        <v/>
      </c>
      <c r="H231" s="11" t="str">
        <f>IF(E231="","",SUMIFS(RaceResults!$C:$C,RaceResults!$A:$A,$A231,RaceResults!$D:$D,E231))</f>
        <v/>
      </c>
      <c r="I231" s="11" t="str">
        <f>IF(F231="","",SUMIFS(RaceResults!$C:$C,RaceResults!$A:$A,$A231,RaceResults!$D:$D,F231))</f>
        <v/>
      </c>
      <c r="J231" s="11" t="str">
        <f>IF(D231="","",SUMIFS(RaceResults!$E:$E,RaceResults!$A:$A,$A231,RaceResults!$D:$D,D231))</f>
        <v/>
      </c>
      <c r="K231" s="11" t="str">
        <f>IF(E231="","",SUMIFS(RaceResults!$E:$E,RaceResults!$A:$A,$A231,RaceResults!$D:$D,E231))</f>
        <v/>
      </c>
      <c r="L231" s="11" t="str">
        <f>IF(F231="","",SUMIFS(RaceResults!$E:$E,RaceResults!$A:$A,$A231,RaceResults!$D:$D,F231))</f>
        <v/>
      </c>
      <c r="M231" s="11">
        <f t="shared" si="3"/>
        <v>0</v>
      </c>
    </row>
    <row r="232" spans="1:13" x14ac:dyDescent="0.3">
      <c r="A232" s="9">
        <v>24</v>
      </c>
      <c r="B232" s="9" t="s">
        <v>97</v>
      </c>
      <c r="C232" s="10" t="s">
        <v>21</v>
      </c>
      <c r="D232" s="3"/>
      <c r="E232" s="3"/>
      <c r="F232" s="3"/>
      <c r="G232" s="11" t="str">
        <f>IF(D232="","",SUMIFS(RaceResults!$C:$C,RaceResults!$A:$A,$A232,RaceResults!$D:$D,D232))</f>
        <v/>
      </c>
      <c r="H232" s="11" t="str">
        <f>IF(E232="","",SUMIFS(RaceResults!$C:$C,RaceResults!$A:$A,$A232,RaceResults!$D:$D,E232))</f>
        <v/>
      </c>
      <c r="I232" s="11" t="str">
        <f>IF(F232="","",SUMIFS(RaceResults!$C:$C,RaceResults!$A:$A,$A232,RaceResults!$D:$D,F232))</f>
        <v/>
      </c>
      <c r="J232" s="11" t="str">
        <f>IF(D232="","",SUMIFS(RaceResults!$E:$E,RaceResults!$A:$A,$A232,RaceResults!$D:$D,D232))</f>
        <v/>
      </c>
      <c r="K232" s="11" t="str">
        <f>IF(E232="","",SUMIFS(RaceResults!$E:$E,RaceResults!$A:$A,$A232,RaceResults!$D:$D,E232))</f>
        <v/>
      </c>
      <c r="L232" s="11" t="str">
        <f>IF(F232="","",SUMIFS(RaceResults!$E:$E,RaceResults!$A:$A,$A232,RaceResults!$D:$D,F232))</f>
        <v/>
      </c>
      <c r="M232" s="11">
        <f t="shared" si="3"/>
        <v>0</v>
      </c>
    </row>
    <row r="233" spans="1:13" x14ac:dyDescent="0.3">
      <c r="A233" s="9">
        <v>24</v>
      </c>
      <c r="B233" s="9" t="s">
        <v>97</v>
      </c>
      <c r="C233" s="10" t="s">
        <v>22</v>
      </c>
      <c r="D233" s="3"/>
      <c r="E233" s="3"/>
      <c r="F233" s="3"/>
      <c r="G233" s="11" t="str">
        <f>IF(D233="","",SUMIFS(RaceResults!$C:$C,RaceResults!$A:$A,$A233,RaceResults!$D:$D,D233))</f>
        <v/>
      </c>
      <c r="H233" s="11" t="str">
        <f>IF(E233="","",SUMIFS(RaceResults!$C:$C,RaceResults!$A:$A,$A233,RaceResults!$D:$D,E233))</f>
        <v/>
      </c>
      <c r="I233" s="11" t="str">
        <f>IF(F233="","",SUMIFS(RaceResults!$C:$C,RaceResults!$A:$A,$A233,RaceResults!$D:$D,F233))</f>
        <v/>
      </c>
      <c r="J233" s="11" t="str">
        <f>IF(D233="","",SUMIFS(RaceResults!$E:$E,RaceResults!$A:$A,$A233,RaceResults!$D:$D,D233))</f>
        <v/>
      </c>
      <c r="K233" s="11" t="str">
        <f>IF(E233="","",SUMIFS(RaceResults!$E:$E,RaceResults!$A:$A,$A233,RaceResults!$D:$D,E233))</f>
        <v/>
      </c>
      <c r="L233" s="11" t="str">
        <f>IF(F233="","",SUMIFS(RaceResults!$E:$E,RaceResults!$A:$A,$A233,RaceResults!$D:$D,F233))</f>
        <v/>
      </c>
      <c r="M233" s="11">
        <f t="shared" si="3"/>
        <v>0</v>
      </c>
    </row>
    <row r="234" spans="1:13" x14ac:dyDescent="0.3">
      <c r="A234" s="9">
        <v>24</v>
      </c>
      <c r="B234" s="9" t="s">
        <v>97</v>
      </c>
      <c r="C234" s="10" t="s">
        <v>25</v>
      </c>
      <c r="D234" s="3"/>
      <c r="E234" s="3"/>
      <c r="F234" s="3"/>
      <c r="G234" s="11" t="str">
        <f>IF(D234="","",SUMIFS(RaceResults!$C:$C,RaceResults!$A:$A,$A234,RaceResults!$D:$D,D234))</f>
        <v/>
      </c>
      <c r="H234" s="11" t="str">
        <f>IF(E234="","",SUMIFS(RaceResults!$C:$C,RaceResults!$A:$A,$A234,RaceResults!$D:$D,E234))</f>
        <v/>
      </c>
      <c r="I234" s="11" t="str">
        <f>IF(F234="","",SUMIFS(RaceResults!$C:$C,RaceResults!$A:$A,$A234,RaceResults!$D:$D,F234))</f>
        <v/>
      </c>
      <c r="J234" s="11" t="str">
        <f>IF(D234="","",SUMIFS(RaceResults!$E:$E,RaceResults!$A:$A,$A234,RaceResults!$D:$D,D234))</f>
        <v/>
      </c>
      <c r="K234" s="11" t="str">
        <f>IF(E234="","",SUMIFS(RaceResults!$E:$E,RaceResults!$A:$A,$A234,RaceResults!$D:$D,E234))</f>
        <v/>
      </c>
      <c r="L234" s="11" t="str">
        <f>IF(F234="","",SUMIFS(RaceResults!$E:$E,RaceResults!$A:$A,$A234,RaceResults!$D:$D,F234))</f>
        <v/>
      </c>
      <c r="M234" s="11">
        <f t="shared" si="3"/>
        <v>0</v>
      </c>
    </row>
    <row r="235" spans="1:13" x14ac:dyDescent="0.3">
      <c r="A235" s="9">
        <v>24</v>
      </c>
      <c r="B235" s="9" t="s">
        <v>97</v>
      </c>
      <c r="C235" s="10" t="s">
        <v>26</v>
      </c>
      <c r="D235" s="3"/>
      <c r="E235" s="3"/>
      <c r="F235" s="3"/>
      <c r="G235" s="11" t="str">
        <f>IF(D235="","",SUMIFS(RaceResults!$C:$C,RaceResults!$A:$A,$A235,RaceResults!$D:$D,D235))</f>
        <v/>
      </c>
      <c r="H235" s="11" t="str">
        <f>IF(E235="","",SUMIFS(RaceResults!$C:$C,RaceResults!$A:$A,$A235,RaceResults!$D:$D,E235))</f>
        <v/>
      </c>
      <c r="I235" s="11" t="str">
        <f>IF(F235="","",SUMIFS(RaceResults!$C:$C,RaceResults!$A:$A,$A235,RaceResults!$D:$D,F235))</f>
        <v/>
      </c>
      <c r="J235" s="11" t="str">
        <f>IF(D235="","",SUMIFS(RaceResults!$E:$E,RaceResults!$A:$A,$A235,RaceResults!$D:$D,D235))</f>
        <v/>
      </c>
      <c r="K235" s="11" t="str">
        <f>IF(E235="","",SUMIFS(RaceResults!$E:$E,RaceResults!$A:$A,$A235,RaceResults!$D:$D,E235))</f>
        <v/>
      </c>
      <c r="L235" s="11" t="str">
        <f>IF(F235="","",SUMIFS(RaceResults!$E:$E,RaceResults!$A:$A,$A235,RaceResults!$D:$D,F235))</f>
        <v/>
      </c>
      <c r="M235" s="11">
        <f t="shared" si="3"/>
        <v>0</v>
      </c>
    </row>
    <row r="236" spans="1:13" x14ac:dyDescent="0.3">
      <c r="A236" s="9">
        <v>24</v>
      </c>
      <c r="B236" s="9" t="s">
        <v>97</v>
      </c>
      <c r="C236" s="10" t="s">
        <v>27</v>
      </c>
      <c r="D236" s="3"/>
      <c r="E236" s="3"/>
      <c r="F236" s="3"/>
      <c r="G236" s="11" t="str">
        <f>IF(D236="","",SUMIFS(RaceResults!$C:$C,RaceResults!$A:$A,$A236,RaceResults!$D:$D,D236))</f>
        <v/>
      </c>
      <c r="H236" s="11" t="str">
        <f>IF(E236="","",SUMIFS(RaceResults!$C:$C,RaceResults!$A:$A,$A236,RaceResults!$D:$D,E236))</f>
        <v/>
      </c>
      <c r="I236" s="11" t="str">
        <f>IF(F236="","",SUMIFS(RaceResults!$C:$C,RaceResults!$A:$A,$A236,RaceResults!$D:$D,F236))</f>
        <v/>
      </c>
      <c r="J236" s="11" t="str">
        <f>IF(D236="","",SUMIFS(RaceResults!$E:$E,RaceResults!$A:$A,$A236,RaceResults!$D:$D,D236))</f>
        <v/>
      </c>
      <c r="K236" s="11" t="str">
        <f>IF(E236="","",SUMIFS(RaceResults!$E:$E,RaceResults!$A:$A,$A236,RaceResults!$D:$D,E236))</f>
        <v/>
      </c>
      <c r="L236" s="11" t="str">
        <f>IF(F236="","",SUMIFS(RaceResults!$E:$E,RaceResults!$A:$A,$A236,RaceResults!$D:$D,F236))</f>
        <v/>
      </c>
      <c r="M236" s="11">
        <f t="shared" si="3"/>
        <v>0</v>
      </c>
    </row>
    <row r="237" spans="1:13" x14ac:dyDescent="0.3">
      <c r="A237" s="9">
        <v>24</v>
      </c>
      <c r="B237" s="9" t="s">
        <v>97</v>
      </c>
      <c r="C237" s="10" t="s">
        <v>28</v>
      </c>
      <c r="D237" s="3"/>
      <c r="E237" s="3"/>
      <c r="F237" s="3"/>
      <c r="G237" s="11" t="str">
        <f>IF(D237="","",SUMIFS(RaceResults!$C:$C,RaceResults!$A:$A,$A237,RaceResults!$D:$D,D237))</f>
        <v/>
      </c>
      <c r="H237" s="11" t="str">
        <f>IF(E237="","",SUMIFS(RaceResults!$C:$C,RaceResults!$A:$A,$A237,RaceResults!$D:$D,E237))</f>
        <v/>
      </c>
      <c r="I237" s="11" t="str">
        <f>IF(F237="","",SUMIFS(RaceResults!$C:$C,RaceResults!$A:$A,$A237,RaceResults!$D:$D,F237))</f>
        <v/>
      </c>
      <c r="J237" s="11" t="str">
        <f>IF(D237="","",SUMIFS(RaceResults!$E:$E,RaceResults!$A:$A,$A237,RaceResults!$D:$D,D237))</f>
        <v/>
      </c>
      <c r="K237" s="11" t="str">
        <f>IF(E237="","",SUMIFS(RaceResults!$E:$E,RaceResults!$A:$A,$A237,RaceResults!$D:$D,E237))</f>
        <v/>
      </c>
      <c r="L237" s="11" t="str">
        <f>IF(F237="","",SUMIFS(RaceResults!$E:$E,RaceResults!$A:$A,$A237,RaceResults!$D:$D,F237))</f>
        <v/>
      </c>
      <c r="M237" s="11">
        <f t="shared" si="3"/>
        <v>0</v>
      </c>
    </row>
    <row r="238" spans="1:13" x14ac:dyDescent="0.3">
      <c r="A238" s="9">
        <v>24</v>
      </c>
      <c r="B238" s="9" t="s">
        <v>97</v>
      </c>
      <c r="C238" s="10" t="s">
        <v>29</v>
      </c>
      <c r="D238" s="3"/>
      <c r="E238" s="3"/>
      <c r="F238" s="3"/>
      <c r="G238" s="11" t="str">
        <f>IF(D238="","",SUMIFS(RaceResults!$C:$C,RaceResults!$A:$A,$A238,RaceResults!$D:$D,D238))</f>
        <v/>
      </c>
      <c r="H238" s="11" t="str">
        <f>IF(E238="","",SUMIFS(RaceResults!$C:$C,RaceResults!$A:$A,$A238,RaceResults!$D:$D,E238))</f>
        <v/>
      </c>
      <c r="I238" s="11" t="str">
        <f>IF(F238="","",SUMIFS(RaceResults!$C:$C,RaceResults!$A:$A,$A238,RaceResults!$D:$D,F238))</f>
        <v/>
      </c>
      <c r="J238" s="11" t="str">
        <f>IF(D238="","",SUMIFS(RaceResults!$E:$E,RaceResults!$A:$A,$A238,RaceResults!$D:$D,D238))</f>
        <v/>
      </c>
      <c r="K238" s="11" t="str">
        <f>IF(E238="","",SUMIFS(RaceResults!$E:$E,RaceResults!$A:$A,$A238,RaceResults!$D:$D,E238))</f>
        <v/>
      </c>
      <c r="L238" s="11" t="str">
        <f>IF(F238="","",SUMIFS(RaceResults!$E:$E,RaceResults!$A:$A,$A238,RaceResults!$D:$D,F238))</f>
        <v/>
      </c>
      <c r="M238" s="11">
        <f t="shared" si="3"/>
        <v>0</v>
      </c>
    </row>
    <row r="239" spans="1:13" x14ac:dyDescent="0.3">
      <c r="A239" s="9">
        <v>24</v>
      </c>
      <c r="B239" s="9" t="s">
        <v>97</v>
      </c>
      <c r="C239" s="10" t="s">
        <v>30</v>
      </c>
      <c r="D239" s="3"/>
      <c r="E239" s="3"/>
      <c r="F239" s="3"/>
      <c r="G239" s="11" t="str">
        <f>IF(D239="","",SUMIFS(RaceResults!$C:$C,RaceResults!$A:$A,$A239,RaceResults!$D:$D,D239))</f>
        <v/>
      </c>
      <c r="H239" s="11" t="str">
        <f>IF(E239="","",SUMIFS(RaceResults!$C:$C,RaceResults!$A:$A,$A239,RaceResults!$D:$D,E239))</f>
        <v/>
      </c>
      <c r="I239" s="11" t="str">
        <f>IF(F239="","",SUMIFS(RaceResults!$C:$C,RaceResults!$A:$A,$A239,RaceResults!$D:$D,F239))</f>
        <v/>
      </c>
      <c r="J239" s="11" t="str">
        <f>IF(D239="","",SUMIFS(RaceResults!$E:$E,RaceResults!$A:$A,$A239,RaceResults!$D:$D,D239))</f>
        <v/>
      </c>
      <c r="K239" s="11" t="str">
        <f>IF(E239="","",SUMIFS(RaceResults!$E:$E,RaceResults!$A:$A,$A239,RaceResults!$D:$D,E239))</f>
        <v/>
      </c>
      <c r="L239" s="11" t="str">
        <f>IF(F239="","",SUMIFS(RaceResults!$E:$E,RaceResults!$A:$A,$A239,RaceResults!$D:$D,F239))</f>
        <v/>
      </c>
      <c r="M239" s="11">
        <f t="shared" si="3"/>
        <v>0</v>
      </c>
    </row>
    <row r="240" spans="1:13" x14ac:dyDescent="0.3">
      <c r="A240" s="9">
        <v>24</v>
      </c>
      <c r="B240" s="9" t="s">
        <v>97</v>
      </c>
      <c r="C240" s="10" t="s">
        <v>31</v>
      </c>
      <c r="D240" s="3"/>
      <c r="E240" s="3"/>
      <c r="F240" s="3"/>
      <c r="G240" s="11" t="str">
        <f>IF(D240="","",SUMIFS(RaceResults!$C:$C,RaceResults!$A:$A,$A240,RaceResults!$D:$D,D240))</f>
        <v/>
      </c>
      <c r="H240" s="11" t="str">
        <f>IF(E240="","",SUMIFS(RaceResults!$C:$C,RaceResults!$A:$A,$A240,RaceResults!$D:$D,E240))</f>
        <v/>
      </c>
      <c r="I240" s="11" t="str">
        <f>IF(F240="","",SUMIFS(RaceResults!$C:$C,RaceResults!$A:$A,$A240,RaceResults!$D:$D,F240))</f>
        <v/>
      </c>
      <c r="J240" s="11" t="str">
        <f>IF(D240="","",SUMIFS(RaceResults!$E:$E,RaceResults!$A:$A,$A240,RaceResults!$D:$D,D240))</f>
        <v/>
      </c>
      <c r="K240" s="11" t="str">
        <f>IF(E240="","",SUMIFS(RaceResults!$E:$E,RaceResults!$A:$A,$A240,RaceResults!$D:$D,E240))</f>
        <v/>
      </c>
      <c r="L240" s="11" t="str">
        <f>IF(F240="","",SUMIFS(RaceResults!$E:$E,RaceResults!$A:$A,$A240,RaceResults!$D:$D,F240))</f>
        <v/>
      </c>
      <c r="M240" s="11">
        <f t="shared" si="3"/>
        <v>0</v>
      </c>
    </row>
    <row r="241" spans="1:13" x14ac:dyDescent="0.3">
      <c r="A241" s="9">
        <v>24</v>
      </c>
      <c r="B241" s="9" t="s">
        <v>97</v>
      </c>
      <c r="C241" s="10" t="s">
        <v>32</v>
      </c>
      <c r="D241" s="3"/>
      <c r="E241" s="3"/>
      <c r="F241" s="3"/>
      <c r="G241" s="11" t="str">
        <f>IF(D241="","",SUMIFS(RaceResults!$C:$C,RaceResults!$A:$A,$A241,RaceResults!$D:$D,D241))</f>
        <v/>
      </c>
      <c r="H241" s="11" t="str">
        <f>IF(E241="","",SUMIFS(RaceResults!$C:$C,RaceResults!$A:$A,$A241,RaceResults!$D:$D,E241))</f>
        <v/>
      </c>
      <c r="I241" s="11" t="str">
        <f>IF(F241="","",SUMIFS(RaceResults!$C:$C,RaceResults!$A:$A,$A241,RaceResults!$D:$D,F241))</f>
        <v/>
      </c>
      <c r="J241" s="11" t="str">
        <f>IF(D241="","",SUMIFS(RaceResults!$E:$E,RaceResults!$A:$A,$A241,RaceResults!$D:$D,D241))</f>
        <v/>
      </c>
      <c r="K241" s="11" t="str">
        <f>IF(E241="","",SUMIFS(RaceResults!$E:$E,RaceResults!$A:$A,$A241,RaceResults!$D:$D,E241))</f>
        <v/>
      </c>
      <c r="L241" s="11" t="str">
        <f>IF(F241="","",SUMIFS(RaceResults!$E:$E,RaceResults!$A:$A,$A241,RaceResults!$D:$D,F241))</f>
        <v/>
      </c>
      <c r="M241" s="11">
        <f t="shared" si="3"/>
        <v>0</v>
      </c>
    </row>
    <row r="242" spans="1:13" x14ac:dyDescent="0.3">
      <c r="A242" s="9">
        <v>25</v>
      </c>
      <c r="B242" s="9" t="s">
        <v>99</v>
      </c>
      <c r="C242" s="10" t="s">
        <v>21</v>
      </c>
      <c r="D242" s="3"/>
      <c r="E242" s="3"/>
      <c r="F242" s="3"/>
      <c r="G242" s="11" t="str">
        <f>IF(D242="","",SUMIFS(RaceResults!$C:$C,RaceResults!$A:$A,$A242,RaceResults!$D:$D,D242))</f>
        <v/>
      </c>
      <c r="H242" s="11" t="str">
        <f>IF(E242="","",SUMIFS(RaceResults!$C:$C,RaceResults!$A:$A,$A242,RaceResults!$D:$D,E242))</f>
        <v/>
      </c>
      <c r="I242" s="11" t="str">
        <f>IF(F242="","",SUMIFS(RaceResults!$C:$C,RaceResults!$A:$A,$A242,RaceResults!$D:$D,F242))</f>
        <v/>
      </c>
      <c r="J242" s="11" t="str">
        <f>IF(D242="","",SUMIFS(RaceResults!$E:$E,RaceResults!$A:$A,$A242,RaceResults!$D:$D,D242))</f>
        <v/>
      </c>
      <c r="K242" s="11" t="str">
        <f>IF(E242="","",SUMIFS(RaceResults!$E:$E,RaceResults!$A:$A,$A242,RaceResults!$D:$D,E242))</f>
        <v/>
      </c>
      <c r="L242" s="11" t="str">
        <f>IF(F242="","",SUMIFS(RaceResults!$E:$E,RaceResults!$A:$A,$A242,RaceResults!$D:$D,F242))</f>
        <v/>
      </c>
      <c r="M242" s="11">
        <f t="shared" si="3"/>
        <v>0</v>
      </c>
    </row>
    <row r="243" spans="1:13" x14ac:dyDescent="0.3">
      <c r="A243" s="9">
        <v>25</v>
      </c>
      <c r="B243" s="9" t="s">
        <v>99</v>
      </c>
      <c r="C243" s="10" t="s">
        <v>22</v>
      </c>
      <c r="D243" s="3"/>
      <c r="E243" s="3"/>
      <c r="F243" s="3"/>
      <c r="G243" s="11" t="str">
        <f>IF(D243="","",SUMIFS(RaceResults!$C:$C,RaceResults!$A:$A,$A243,RaceResults!$D:$D,D243))</f>
        <v/>
      </c>
      <c r="H243" s="11" t="str">
        <f>IF(E243="","",SUMIFS(RaceResults!$C:$C,RaceResults!$A:$A,$A243,RaceResults!$D:$D,E243))</f>
        <v/>
      </c>
      <c r="I243" s="11" t="str">
        <f>IF(F243="","",SUMIFS(RaceResults!$C:$C,RaceResults!$A:$A,$A243,RaceResults!$D:$D,F243))</f>
        <v/>
      </c>
      <c r="J243" s="11" t="str">
        <f>IF(D243="","",SUMIFS(RaceResults!$E:$E,RaceResults!$A:$A,$A243,RaceResults!$D:$D,D243))</f>
        <v/>
      </c>
      <c r="K243" s="11" t="str">
        <f>IF(E243="","",SUMIFS(RaceResults!$E:$E,RaceResults!$A:$A,$A243,RaceResults!$D:$D,E243))</f>
        <v/>
      </c>
      <c r="L243" s="11" t="str">
        <f>IF(F243="","",SUMIFS(RaceResults!$E:$E,RaceResults!$A:$A,$A243,RaceResults!$D:$D,F243))</f>
        <v/>
      </c>
      <c r="M243" s="11">
        <f t="shared" si="3"/>
        <v>0</v>
      </c>
    </row>
    <row r="244" spans="1:13" x14ac:dyDescent="0.3">
      <c r="A244" s="9">
        <v>25</v>
      </c>
      <c r="B244" s="9" t="s">
        <v>99</v>
      </c>
      <c r="C244" s="10" t="s">
        <v>25</v>
      </c>
      <c r="D244" s="3"/>
      <c r="E244" s="3"/>
      <c r="F244" s="3"/>
      <c r="G244" s="11" t="str">
        <f>IF(D244="","",SUMIFS(RaceResults!$C:$C,RaceResults!$A:$A,$A244,RaceResults!$D:$D,D244))</f>
        <v/>
      </c>
      <c r="H244" s="11" t="str">
        <f>IF(E244="","",SUMIFS(RaceResults!$C:$C,RaceResults!$A:$A,$A244,RaceResults!$D:$D,E244))</f>
        <v/>
      </c>
      <c r="I244" s="11" t="str">
        <f>IF(F244="","",SUMIFS(RaceResults!$C:$C,RaceResults!$A:$A,$A244,RaceResults!$D:$D,F244))</f>
        <v/>
      </c>
      <c r="J244" s="11" t="str">
        <f>IF(D244="","",SUMIFS(RaceResults!$E:$E,RaceResults!$A:$A,$A244,RaceResults!$D:$D,D244))</f>
        <v/>
      </c>
      <c r="K244" s="11" t="str">
        <f>IF(E244="","",SUMIFS(RaceResults!$E:$E,RaceResults!$A:$A,$A244,RaceResults!$D:$D,E244))</f>
        <v/>
      </c>
      <c r="L244" s="11" t="str">
        <f>IF(F244="","",SUMIFS(RaceResults!$E:$E,RaceResults!$A:$A,$A244,RaceResults!$D:$D,F244))</f>
        <v/>
      </c>
      <c r="M244" s="11">
        <f t="shared" si="3"/>
        <v>0</v>
      </c>
    </row>
    <row r="245" spans="1:13" x14ac:dyDescent="0.3">
      <c r="A245" s="9">
        <v>25</v>
      </c>
      <c r="B245" s="9" t="s">
        <v>99</v>
      </c>
      <c r="C245" s="10" t="s">
        <v>26</v>
      </c>
      <c r="D245" s="3"/>
      <c r="E245" s="3"/>
      <c r="F245" s="3"/>
      <c r="G245" s="11" t="str">
        <f>IF(D245="","",SUMIFS(RaceResults!$C:$C,RaceResults!$A:$A,$A245,RaceResults!$D:$D,D245))</f>
        <v/>
      </c>
      <c r="H245" s="11" t="str">
        <f>IF(E245="","",SUMIFS(RaceResults!$C:$C,RaceResults!$A:$A,$A245,RaceResults!$D:$D,E245))</f>
        <v/>
      </c>
      <c r="I245" s="11" t="str">
        <f>IF(F245="","",SUMIFS(RaceResults!$C:$C,RaceResults!$A:$A,$A245,RaceResults!$D:$D,F245))</f>
        <v/>
      </c>
      <c r="J245" s="11" t="str">
        <f>IF(D245="","",SUMIFS(RaceResults!$E:$E,RaceResults!$A:$A,$A245,RaceResults!$D:$D,D245))</f>
        <v/>
      </c>
      <c r="K245" s="11" t="str">
        <f>IF(E245="","",SUMIFS(RaceResults!$E:$E,RaceResults!$A:$A,$A245,RaceResults!$D:$D,E245))</f>
        <v/>
      </c>
      <c r="L245" s="11" t="str">
        <f>IF(F245="","",SUMIFS(RaceResults!$E:$E,RaceResults!$A:$A,$A245,RaceResults!$D:$D,F245))</f>
        <v/>
      </c>
      <c r="M245" s="11">
        <f t="shared" si="3"/>
        <v>0</v>
      </c>
    </row>
    <row r="246" spans="1:13" x14ac:dyDescent="0.3">
      <c r="A246" s="9">
        <v>25</v>
      </c>
      <c r="B246" s="9" t="s">
        <v>99</v>
      </c>
      <c r="C246" s="10" t="s">
        <v>27</v>
      </c>
      <c r="D246" s="3"/>
      <c r="E246" s="3"/>
      <c r="F246" s="3"/>
      <c r="G246" s="11" t="str">
        <f>IF(D246="","",SUMIFS(RaceResults!$C:$C,RaceResults!$A:$A,$A246,RaceResults!$D:$D,D246))</f>
        <v/>
      </c>
      <c r="H246" s="11" t="str">
        <f>IF(E246="","",SUMIFS(RaceResults!$C:$C,RaceResults!$A:$A,$A246,RaceResults!$D:$D,E246))</f>
        <v/>
      </c>
      <c r="I246" s="11" t="str">
        <f>IF(F246="","",SUMIFS(RaceResults!$C:$C,RaceResults!$A:$A,$A246,RaceResults!$D:$D,F246))</f>
        <v/>
      </c>
      <c r="J246" s="11" t="str">
        <f>IF(D246="","",SUMIFS(RaceResults!$E:$E,RaceResults!$A:$A,$A246,RaceResults!$D:$D,D246))</f>
        <v/>
      </c>
      <c r="K246" s="11" t="str">
        <f>IF(E246="","",SUMIFS(RaceResults!$E:$E,RaceResults!$A:$A,$A246,RaceResults!$D:$D,E246))</f>
        <v/>
      </c>
      <c r="L246" s="11" t="str">
        <f>IF(F246="","",SUMIFS(RaceResults!$E:$E,RaceResults!$A:$A,$A246,RaceResults!$D:$D,F246))</f>
        <v/>
      </c>
      <c r="M246" s="11">
        <f t="shared" si="3"/>
        <v>0</v>
      </c>
    </row>
    <row r="247" spans="1:13" x14ac:dyDescent="0.3">
      <c r="A247" s="9">
        <v>25</v>
      </c>
      <c r="B247" s="9" t="s">
        <v>99</v>
      </c>
      <c r="C247" s="10" t="s">
        <v>28</v>
      </c>
      <c r="D247" s="3"/>
      <c r="E247" s="3"/>
      <c r="F247" s="3"/>
      <c r="G247" s="11" t="str">
        <f>IF(D247="","",SUMIFS(RaceResults!$C:$C,RaceResults!$A:$A,$A247,RaceResults!$D:$D,D247))</f>
        <v/>
      </c>
      <c r="H247" s="11" t="str">
        <f>IF(E247="","",SUMIFS(RaceResults!$C:$C,RaceResults!$A:$A,$A247,RaceResults!$D:$D,E247))</f>
        <v/>
      </c>
      <c r="I247" s="11" t="str">
        <f>IF(F247="","",SUMIFS(RaceResults!$C:$C,RaceResults!$A:$A,$A247,RaceResults!$D:$D,F247))</f>
        <v/>
      </c>
      <c r="J247" s="11" t="str">
        <f>IF(D247="","",SUMIFS(RaceResults!$E:$E,RaceResults!$A:$A,$A247,RaceResults!$D:$D,D247))</f>
        <v/>
      </c>
      <c r="K247" s="11" t="str">
        <f>IF(E247="","",SUMIFS(RaceResults!$E:$E,RaceResults!$A:$A,$A247,RaceResults!$D:$D,E247))</f>
        <v/>
      </c>
      <c r="L247" s="11" t="str">
        <f>IF(F247="","",SUMIFS(RaceResults!$E:$E,RaceResults!$A:$A,$A247,RaceResults!$D:$D,F247))</f>
        <v/>
      </c>
      <c r="M247" s="11">
        <f t="shared" si="3"/>
        <v>0</v>
      </c>
    </row>
    <row r="248" spans="1:13" x14ac:dyDescent="0.3">
      <c r="A248" s="9">
        <v>25</v>
      </c>
      <c r="B248" s="9" t="s">
        <v>99</v>
      </c>
      <c r="C248" s="10" t="s">
        <v>29</v>
      </c>
      <c r="D248" s="3"/>
      <c r="E248" s="3"/>
      <c r="F248" s="3"/>
      <c r="G248" s="11" t="str">
        <f>IF(D248="","",SUMIFS(RaceResults!$C:$C,RaceResults!$A:$A,$A248,RaceResults!$D:$D,D248))</f>
        <v/>
      </c>
      <c r="H248" s="11" t="str">
        <f>IF(E248="","",SUMIFS(RaceResults!$C:$C,RaceResults!$A:$A,$A248,RaceResults!$D:$D,E248))</f>
        <v/>
      </c>
      <c r="I248" s="11" t="str">
        <f>IF(F248="","",SUMIFS(RaceResults!$C:$C,RaceResults!$A:$A,$A248,RaceResults!$D:$D,F248))</f>
        <v/>
      </c>
      <c r="J248" s="11" t="str">
        <f>IF(D248="","",SUMIFS(RaceResults!$E:$E,RaceResults!$A:$A,$A248,RaceResults!$D:$D,D248))</f>
        <v/>
      </c>
      <c r="K248" s="11" t="str">
        <f>IF(E248="","",SUMIFS(RaceResults!$E:$E,RaceResults!$A:$A,$A248,RaceResults!$D:$D,E248))</f>
        <v/>
      </c>
      <c r="L248" s="11" t="str">
        <f>IF(F248="","",SUMIFS(RaceResults!$E:$E,RaceResults!$A:$A,$A248,RaceResults!$D:$D,F248))</f>
        <v/>
      </c>
      <c r="M248" s="11">
        <f t="shared" si="3"/>
        <v>0</v>
      </c>
    </row>
    <row r="249" spans="1:13" x14ac:dyDescent="0.3">
      <c r="A249" s="9">
        <v>25</v>
      </c>
      <c r="B249" s="9" t="s">
        <v>99</v>
      </c>
      <c r="C249" s="10" t="s">
        <v>30</v>
      </c>
      <c r="D249" s="3"/>
      <c r="E249" s="3"/>
      <c r="F249" s="3"/>
      <c r="G249" s="11" t="str">
        <f>IF(D249="","",SUMIFS(RaceResults!$C:$C,RaceResults!$A:$A,$A249,RaceResults!$D:$D,D249))</f>
        <v/>
      </c>
      <c r="H249" s="11" t="str">
        <f>IF(E249="","",SUMIFS(RaceResults!$C:$C,RaceResults!$A:$A,$A249,RaceResults!$D:$D,E249))</f>
        <v/>
      </c>
      <c r="I249" s="11" t="str">
        <f>IF(F249="","",SUMIFS(RaceResults!$C:$C,RaceResults!$A:$A,$A249,RaceResults!$D:$D,F249))</f>
        <v/>
      </c>
      <c r="J249" s="11" t="str">
        <f>IF(D249="","",SUMIFS(RaceResults!$E:$E,RaceResults!$A:$A,$A249,RaceResults!$D:$D,D249))</f>
        <v/>
      </c>
      <c r="K249" s="11" t="str">
        <f>IF(E249="","",SUMIFS(RaceResults!$E:$E,RaceResults!$A:$A,$A249,RaceResults!$D:$D,E249))</f>
        <v/>
      </c>
      <c r="L249" s="11" t="str">
        <f>IF(F249="","",SUMIFS(RaceResults!$E:$E,RaceResults!$A:$A,$A249,RaceResults!$D:$D,F249))</f>
        <v/>
      </c>
      <c r="M249" s="11">
        <f t="shared" si="3"/>
        <v>0</v>
      </c>
    </row>
    <row r="250" spans="1:13" x14ac:dyDescent="0.3">
      <c r="A250" s="9">
        <v>25</v>
      </c>
      <c r="B250" s="9" t="s">
        <v>99</v>
      </c>
      <c r="C250" s="10" t="s">
        <v>31</v>
      </c>
      <c r="D250" s="3"/>
      <c r="E250" s="3"/>
      <c r="F250" s="3"/>
      <c r="G250" s="11" t="str">
        <f>IF(D250="","",SUMIFS(RaceResults!$C:$C,RaceResults!$A:$A,$A250,RaceResults!$D:$D,D250))</f>
        <v/>
      </c>
      <c r="H250" s="11" t="str">
        <f>IF(E250="","",SUMIFS(RaceResults!$C:$C,RaceResults!$A:$A,$A250,RaceResults!$D:$D,E250))</f>
        <v/>
      </c>
      <c r="I250" s="11" t="str">
        <f>IF(F250="","",SUMIFS(RaceResults!$C:$C,RaceResults!$A:$A,$A250,RaceResults!$D:$D,F250))</f>
        <v/>
      </c>
      <c r="J250" s="11" t="str">
        <f>IF(D250="","",SUMIFS(RaceResults!$E:$E,RaceResults!$A:$A,$A250,RaceResults!$D:$D,D250))</f>
        <v/>
      </c>
      <c r="K250" s="11" t="str">
        <f>IF(E250="","",SUMIFS(RaceResults!$E:$E,RaceResults!$A:$A,$A250,RaceResults!$D:$D,E250))</f>
        <v/>
      </c>
      <c r="L250" s="11" t="str">
        <f>IF(F250="","",SUMIFS(RaceResults!$E:$E,RaceResults!$A:$A,$A250,RaceResults!$D:$D,F250))</f>
        <v/>
      </c>
      <c r="M250" s="11">
        <f t="shared" si="3"/>
        <v>0</v>
      </c>
    </row>
    <row r="251" spans="1:13" x14ac:dyDescent="0.3">
      <c r="A251" s="9">
        <v>25</v>
      </c>
      <c r="B251" s="9" t="s">
        <v>99</v>
      </c>
      <c r="C251" s="10" t="s">
        <v>32</v>
      </c>
      <c r="D251" s="3"/>
      <c r="E251" s="3"/>
      <c r="F251" s="3"/>
      <c r="G251" s="11" t="str">
        <f>IF(D251="","",SUMIFS(RaceResults!$C:$C,RaceResults!$A:$A,$A251,RaceResults!$D:$D,D251))</f>
        <v/>
      </c>
      <c r="H251" s="11" t="str">
        <f>IF(E251="","",SUMIFS(RaceResults!$C:$C,RaceResults!$A:$A,$A251,RaceResults!$D:$D,E251))</f>
        <v/>
      </c>
      <c r="I251" s="11" t="str">
        <f>IF(F251="","",SUMIFS(RaceResults!$C:$C,RaceResults!$A:$A,$A251,RaceResults!$D:$D,F251))</f>
        <v/>
      </c>
      <c r="J251" s="11" t="str">
        <f>IF(D251="","",SUMIFS(RaceResults!$E:$E,RaceResults!$A:$A,$A251,RaceResults!$D:$D,D251))</f>
        <v/>
      </c>
      <c r="K251" s="11" t="str">
        <f>IF(E251="","",SUMIFS(RaceResults!$E:$E,RaceResults!$A:$A,$A251,RaceResults!$D:$D,E251))</f>
        <v/>
      </c>
      <c r="L251" s="11" t="str">
        <f>IF(F251="","",SUMIFS(RaceResults!$E:$E,RaceResults!$A:$A,$A251,RaceResults!$D:$D,F251))</f>
        <v/>
      </c>
      <c r="M251" s="11">
        <f t="shared" si="3"/>
        <v>0</v>
      </c>
    </row>
    <row r="252" spans="1:13" x14ac:dyDescent="0.3">
      <c r="A252" s="9">
        <v>26</v>
      </c>
      <c r="B252" s="9" t="s">
        <v>101</v>
      </c>
      <c r="C252" s="10" t="s">
        <v>21</v>
      </c>
      <c r="D252" s="3"/>
      <c r="E252" s="3"/>
      <c r="F252" s="3"/>
      <c r="G252" s="11" t="str">
        <f>IF(D252="","",SUMIFS(RaceResults!$C:$C,RaceResults!$A:$A,$A252,RaceResults!$D:$D,D252))</f>
        <v/>
      </c>
      <c r="H252" s="11" t="str">
        <f>IF(E252="","",SUMIFS(RaceResults!$C:$C,RaceResults!$A:$A,$A252,RaceResults!$D:$D,E252))</f>
        <v/>
      </c>
      <c r="I252" s="11" t="str">
        <f>IF(F252="","",SUMIFS(RaceResults!$C:$C,RaceResults!$A:$A,$A252,RaceResults!$D:$D,F252))</f>
        <v/>
      </c>
      <c r="J252" s="11" t="str">
        <f>IF(D252="","",SUMIFS(RaceResults!$E:$E,RaceResults!$A:$A,$A252,RaceResults!$D:$D,D252))</f>
        <v/>
      </c>
      <c r="K252" s="11" t="str">
        <f>IF(E252="","",SUMIFS(RaceResults!$E:$E,RaceResults!$A:$A,$A252,RaceResults!$D:$D,E252))</f>
        <v/>
      </c>
      <c r="L252" s="11" t="str">
        <f>IF(F252="","",SUMIFS(RaceResults!$E:$E,RaceResults!$A:$A,$A252,RaceResults!$D:$D,F252))</f>
        <v/>
      </c>
      <c r="M252" s="11">
        <f t="shared" si="3"/>
        <v>0</v>
      </c>
    </row>
    <row r="253" spans="1:13" x14ac:dyDescent="0.3">
      <c r="A253" s="9">
        <v>26</v>
      </c>
      <c r="B253" s="9" t="s">
        <v>101</v>
      </c>
      <c r="C253" s="10" t="s">
        <v>22</v>
      </c>
      <c r="D253" s="3"/>
      <c r="E253" s="3"/>
      <c r="F253" s="3"/>
      <c r="G253" s="11" t="str">
        <f>IF(D253="","",SUMIFS(RaceResults!$C:$C,RaceResults!$A:$A,$A253,RaceResults!$D:$D,D253))</f>
        <v/>
      </c>
      <c r="H253" s="11" t="str">
        <f>IF(E253="","",SUMIFS(RaceResults!$C:$C,RaceResults!$A:$A,$A253,RaceResults!$D:$D,E253))</f>
        <v/>
      </c>
      <c r="I253" s="11" t="str">
        <f>IF(F253="","",SUMIFS(RaceResults!$C:$C,RaceResults!$A:$A,$A253,RaceResults!$D:$D,F253))</f>
        <v/>
      </c>
      <c r="J253" s="11" t="str">
        <f>IF(D253="","",SUMIFS(RaceResults!$E:$E,RaceResults!$A:$A,$A253,RaceResults!$D:$D,D253))</f>
        <v/>
      </c>
      <c r="K253" s="11" t="str">
        <f>IF(E253="","",SUMIFS(RaceResults!$E:$E,RaceResults!$A:$A,$A253,RaceResults!$D:$D,E253))</f>
        <v/>
      </c>
      <c r="L253" s="11" t="str">
        <f>IF(F253="","",SUMIFS(RaceResults!$E:$E,RaceResults!$A:$A,$A253,RaceResults!$D:$D,F253))</f>
        <v/>
      </c>
      <c r="M253" s="11">
        <f t="shared" si="3"/>
        <v>0</v>
      </c>
    </row>
    <row r="254" spans="1:13" x14ac:dyDescent="0.3">
      <c r="A254" s="9">
        <v>26</v>
      </c>
      <c r="B254" s="9" t="s">
        <v>101</v>
      </c>
      <c r="C254" s="10" t="s">
        <v>25</v>
      </c>
      <c r="D254" s="3"/>
      <c r="E254" s="3"/>
      <c r="F254" s="3"/>
      <c r="G254" s="11" t="str">
        <f>IF(D254="","",SUMIFS(RaceResults!$C:$C,RaceResults!$A:$A,$A254,RaceResults!$D:$D,D254))</f>
        <v/>
      </c>
      <c r="H254" s="11" t="str">
        <f>IF(E254="","",SUMIFS(RaceResults!$C:$C,RaceResults!$A:$A,$A254,RaceResults!$D:$D,E254))</f>
        <v/>
      </c>
      <c r="I254" s="11" t="str">
        <f>IF(F254="","",SUMIFS(RaceResults!$C:$C,RaceResults!$A:$A,$A254,RaceResults!$D:$D,F254))</f>
        <v/>
      </c>
      <c r="J254" s="11" t="str">
        <f>IF(D254="","",SUMIFS(RaceResults!$E:$E,RaceResults!$A:$A,$A254,RaceResults!$D:$D,D254))</f>
        <v/>
      </c>
      <c r="K254" s="11" t="str">
        <f>IF(E254="","",SUMIFS(RaceResults!$E:$E,RaceResults!$A:$A,$A254,RaceResults!$D:$D,E254))</f>
        <v/>
      </c>
      <c r="L254" s="11" t="str">
        <f>IF(F254="","",SUMIFS(RaceResults!$E:$E,RaceResults!$A:$A,$A254,RaceResults!$D:$D,F254))</f>
        <v/>
      </c>
      <c r="M254" s="11">
        <f t="shared" si="3"/>
        <v>0</v>
      </c>
    </row>
    <row r="255" spans="1:13" x14ac:dyDescent="0.3">
      <c r="A255" s="9">
        <v>26</v>
      </c>
      <c r="B255" s="9" t="s">
        <v>101</v>
      </c>
      <c r="C255" s="10" t="s">
        <v>26</v>
      </c>
      <c r="D255" s="3"/>
      <c r="E255" s="3"/>
      <c r="F255" s="3"/>
      <c r="G255" s="11" t="str">
        <f>IF(D255="","",SUMIFS(RaceResults!$C:$C,RaceResults!$A:$A,$A255,RaceResults!$D:$D,D255))</f>
        <v/>
      </c>
      <c r="H255" s="11" t="str">
        <f>IF(E255="","",SUMIFS(RaceResults!$C:$C,RaceResults!$A:$A,$A255,RaceResults!$D:$D,E255))</f>
        <v/>
      </c>
      <c r="I255" s="11" t="str">
        <f>IF(F255="","",SUMIFS(RaceResults!$C:$C,RaceResults!$A:$A,$A255,RaceResults!$D:$D,F255))</f>
        <v/>
      </c>
      <c r="J255" s="11" t="str">
        <f>IF(D255="","",SUMIFS(RaceResults!$E:$E,RaceResults!$A:$A,$A255,RaceResults!$D:$D,D255))</f>
        <v/>
      </c>
      <c r="K255" s="11" t="str">
        <f>IF(E255="","",SUMIFS(RaceResults!$E:$E,RaceResults!$A:$A,$A255,RaceResults!$D:$D,E255))</f>
        <v/>
      </c>
      <c r="L255" s="11" t="str">
        <f>IF(F255="","",SUMIFS(RaceResults!$E:$E,RaceResults!$A:$A,$A255,RaceResults!$D:$D,F255))</f>
        <v/>
      </c>
      <c r="M255" s="11">
        <f t="shared" si="3"/>
        <v>0</v>
      </c>
    </row>
    <row r="256" spans="1:13" x14ac:dyDescent="0.3">
      <c r="A256" s="9">
        <v>26</v>
      </c>
      <c r="B256" s="9" t="s">
        <v>101</v>
      </c>
      <c r="C256" s="10" t="s">
        <v>27</v>
      </c>
      <c r="D256" s="3"/>
      <c r="E256" s="3"/>
      <c r="F256" s="3"/>
      <c r="G256" s="11" t="str">
        <f>IF(D256="","",SUMIFS(RaceResults!$C:$C,RaceResults!$A:$A,$A256,RaceResults!$D:$D,D256))</f>
        <v/>
      </c>
      <c r="H256" s="11" t="str">
        <f>IF(E256="","",SUMIFS(RaceResults!$C:$C,RaceResults!$A:$A,$A256,RaceResults!$D:$D,E256))</f>
        <v/>
      </c>
      <c r="I256" s="11" t="str">
        <f>IF(F256="","",SUMIFS(RaceResults!$C:$C,RaceResults!$A:$A,$A256,RaceResults!$D:$D,F256))</f>
        <v/>
      </c>
      <c r="J256" s="11" t="str">
        <f>IF(D256="","",SUMIFS(RaceResults!$E:$E,RaceResults!$A:$A,$A256,RaceResults!$D:$D,D256))</f>
        <v/>
      </c>
      <c r="K256" s="11" t="str">
        <f>IF(E256="","",SUMIFS(RaceResults!$E:$E,RaceResults!$A:$A,$A256,RaceResults!$D:$D,E256))</f>
        <v/>
      </c>
      <c r="L256" s="11" t="str">
        <f>IF(F256="","",SUMIFS(RaceResults!$E:$E,RaceResults!$A:$A,$A256,RaceResults!$D:$D,F256))</f>
        <v/>
      </c>
      <c r="M256" s="11">
        <f t="shared" si="3"/>
        <v>0</v>
      </c>
    </row>
    <row r="257" spans="1:13" x14ac:dyDescent="0.3">
      <c r="A257" s="9">
        <v>26</v>
      </c>
      <c r="B257" s="9" t="s">
        <v>101</v>
      </c>
      <c r="C257" s="10" t="s">
        <v>28</v>
      </c>
      <c r="D257" s="3"/>
      <c r="E257" s="3"/>
      <c r="F257" s="3"/>
      <c r="G257" s="11" t="str">
        <f>IF(D257="","",SUMIFS(RaceResults!$C:$C,RaceResults!$A:$A,$A257,RaceResults!$D:$D,D257))</f>
        <v/>
      </c>
      <c r="H257" s="11" t="str">
        <f>IF(E257="","",SUMIFS(RaceResults!$C:$C,RaceResults!$A:$A,$A257,RaceResults!$D:$D,E257))</f>
        <v/>
      </c>
      <c r="I257" s="11" t="str">
        <f>IF(F257="","",SUMIFS(RaceResults!$C:$C,RaceResults!$A:$A,$A257,RaceResults!$D:$D,F257))</f>
        <v/>
      </c>
      <c r="J257" s="11" t="str">
        <f>IF(D257="","",SUMIFS(RaceResults!$E:$E,RaceResults!$A:$A,$A257,RaceResults!$D:$D,D257))</f>
        <v/>
      </c>
      <c r="K257" s="11" t="str">
        <f>IF(E257="","",SUMIFS(RaceResults!$E:$E,RaceResults!$A:$A,$A257,RaceResults!$D:$D,E257))</f>
        <v/>
      </c>
      <c r="L257" s="11" t="str">
        <f>IF(F257="","",SUMIFS(RaceResults!$E:$E,RaceResults!$A:$A,$A257,RaceResults!$D:$D,F257))</f>
        <v/>
      </c>
      <c r="M257" s="11">
        <f t="shared" si="3"/>
        <v>0</v>
      </c>
    </row>
    <row r="258" spans="1:13" x14ac:dyDescent="0.3">
      <c r="A258" s="9">
        <v>26</v>
      </c>
      <c r="B258" s="9" t="s">
        <v>101</v>
      </c>
      <c r="C258" s="10" t="s">
        <v>29</v>
      </c>
      <c r="D258" s="3"/>
      <c r="E258" s="3"/>
      <c r="F258" s="3"/>
      <c r="G258" s="11" t="str">
        <f>IF(D258="","",SUMIFS(RaceResults!$C:$C,RaceResults!$A:$A,$A258,RaceResults!$D:$D,D258))</f>
        <v/>
      </c>
      <c r="H258" s="11" t="str">
        <f>IF(E258="","",SUMIFS(RaceResults!$C:$C,RaceResults!$A:$A,$A258,RaceResults!$D:$D,E258))</f>
        <v/>
      </c>
      <c r="I258" s="11" t="str">
        <f>IF(F258="","",SUMIFS(RaceResults!$C:$C,RaceResults!$A:$A,$A258,RaceResults!$D:$D,F258))</f>
        <v/>
      </c>
      <c r="J258" s="11" t="str">
        <f>IF(D258="","",SUMIFS(RaceResults!$E:$E,RaceResults!$A:$A,$A258,RaceResults!$D:$D,D258))</f>
        <v/>
      </c>
      <c r="K258" s="11" t="str">
        <f>IF(E258="","",SUMIFS(RaceResults!$E:$E,RaceResults!$A:$A,$A258,RaceResults!$D:$D,E258))</f>
        <v/>
      </c>
      <c r="L258" s="11" t="str">
        <f>IF(F258="","",SUMIFS(RaceResults!$E:$E,RaceResults!$A:$A,$A258,RaceResults!$D:$D,F258))</f>
        <v/>
      </c>
      <c r="M258" s="11">
        <f t="shared" ref="M258:M321" si="4">SUM(J258:L258)</f>
        <v>0</v>
      </c>
    </row>
    <row r="259" spans="1:13" x14ac:dyDescent="0.3">
      <c r="A259" s="9">
        <v>26</v>
      </c>
      <c r="B259" s="9" t="s">
        <v>101</v>
      </c>
      <c r="C259" s="10" t="s">
        <v>30</v>
      </c>
      <c r="D259" s="3"/>
      <c r="E259" s="3"/>
      <c r="F259" s="3"/>
      <c r="G259" s="11" t="str">
        <f>IF(D259="","",SUMIFS(RaceResults!$C:$C,RaceResults!$A:$A,$A259,RaceResults!$D:$D,D259))</f>
        <v/>
      </c>
      <c r="H259" s="11" t="str">
        <f>IF(E259="","",SUMIFS(RaceResults!$C:$C,RaceResults!$A:$A,$A259,RaceResults!$D:$D,E259))</f>
        <v/>
      </c>
      <c r="I259" s="11" t="str">
        <f>IF(F259="","",SUMIFS(RaceResults!$C:$C,RaceResults!$A:$A,$A259,RaceResults!$D:$D,F259))</f>
        <v/>
      </c>
      <c r="J259" s="11" t="str">
        <f>IF(D259="","",SUMIFS(RaceResults!$E:$E,RaceResults!$A:$A,$A259,RaceResults!$D:$D,D259))</f>
        <v/>
      </c>
      <c r="K259" s="11" t="str">
        <f>IF(E259="","",SUMIFS(RaceResults!$E:$E,RaceResults!$A:$A,$A259,RaceResults!$D:$D,E259))</f>
        <v/>
      </c>
      <c r="L259" s="11" t="str">
        <f>IF(F259="","",SUMIFS(RaceResults!$E:$E,RaceResults!$A:$A,$A259,RaceResults!$D:$D,F259))</f>
        <v/>
      </c>
      <c r="M259" s="11">
        <f t="shared" si="4"/>
        <v>0</v>
      </c>
    </row>
    <row r="260" spans="1:13" x14ac:dyDescent="0.3">
      <c r="A260" s="9">
        <v>26</v>
      </c>
      <c r="B260" s="9" t="s">
        <v>101</v>
      </c>
      <c r="C260" s="10" t="s">
        <v>31</v>
      </c>
      <c r="D260" s="3"/>
      <c r="E260" s="3"/>
      <c r="F260" s="3"/>
      <c r="G260" s="11" t="str">
        <f>IF(D260="","",SUMIFS(RaceResults!$C:$C,RaceResults!$A:$A,$A260,RaceResults!$D:$D,D260))</f>
        <v/>
      </c>
      <c r="H260" s="11" t="str">
        <f>IF(E260="","",SUMIFS(RaceResults!$C:$C,RaceResults!$A:$A,$A260,RaceResults!$D:$D,E260))</f>
        <v/>
      </c>
      <c r="I260" s="11" t="str">
        <f>IF(F260="","",SUMIFS(RaceResults!$C:$C,RaceResults!$A:$A,$A260,RaceResults!$D:$D,F260))</f>
        <v/>
      </c>
      <c r="J260" s="11" t="str">
        <f>IF(D260="","",SUMIFS(RaceResults!$E:$E,RaceResults!$A:$A,$A260,RaceResults!$D:$D,D260))</f>
        <v/>
      </c>
      <c r="K260" s="11" t="str">
        <f>IF(E260="","",SUMIFS(RaceResults!$E:$E,RaceResults!$A:$A,$A260,RaceResults!$D:$D,E260))</f>
        <v/>
      </c>
      <c r="L260" s="11" t="str">
        <f>IF(F260="","",SUMIFS(RaceResults!$E:$E,RaceResults!$A:$A,$A260,RaceResults!$D:$D,F260))</f>
        <v/>
      </c>
      <c r="M260" s="11">
        <f t="shared" si="4"/>
        <v>0</v>
      </c>
    </row>
    <row r="261" spans="1:13" x14ac:dyDescent="0.3">
      <c r="A261" s="9">
        <v>26</v>
      </c>
      <c r="B261" s="9" t="s">
        <v>101</v>
      </c>
      <c r="C261" s="10" t="s">
        <v>32</v>
      </c>
      <c r="D261" s="3"/>
      <c r="E261" s="3"/>
      <c r="F261" s="3"/>
      <c r="G261" s="11" t="str">
        <f>IF(D261="","",SUMIFS(RaceResults!$C:$C,RaceResults!$A:$A,$A261,RaceResults!$D:$D,D261))</f>
        <v/>
      </c>
      <c r="H261" s="11" t="str">
        <f>IF(E261="","",SUMIFS(RaceResults!$C:$C,RaceResults!$A:$A,$A261,RaceResults!$D:$D,E261))</f>
        <v/>
      </c>
      <c r="I261" s="11" t="str">
        <f>IF(F261="","",SUMIFS(RaceResults!$C:$C,RaceResults!$A:$A,$A261,RaceResults!$D:$D,F261))</f>
        <v/>
      </c>
      <c r="J261" s="11" t="str">
        <f>IF(D261="","",SUMIFS(RaceResults!$E:$E,RaceResults!$A:$A,$A261,RaceResults!$D:$D,D261))</f>
        <v/>
      </c>
      <c r="K261" s="11" t="str">
        <f>IF(E261="","",SUMIFS(RaceResults!$E:$E,RaceResults!$A:$A,$A261,RaceResults!$D:$D,E261))</f>
        <v/>
      </c>
      <c r="L261" s="11" t="str">
        <f>IF(F261="","",SUMIFS(RaceResults!$E:$E,RaceResults!$A:$A,$A261,RaceResults!$D:$D,F261))</f>
        <v/>
      </c>
      <c r="M261" s="11">
        <f t="shared" si="4"/>
        <v>0</v>
      </c>
    </row>
    <row r="262" spans="1:13" x14ac:dyDescent="0.3">
      <c r="A262" s="9">
        <v>27</v>
      </c>
      <c r="B262" s="9" t="s">
        <v>59</v>
      </c>
      <c r="C262" s="10" t="s">
        <v>21</v>
      </c>
      <c r="D262" s="3"/>
      <c r="E262" s="3"/>
      <c r="F262" s="3"/>
      <c r="G262" s="11" t="str">
        <f>IF(D262="","",SUMIFS(RaceResults!$C:$C,RaceResults!$A:$A,$A262,RaceResults!$D:$D,D262))</f>
        <v/>
      </c>
      <c r="H262" s="11" t="str">
        <f>IF(E262="","",SUMIFS(RaceResults!$C:$C,RaceResults!$A:$A,$A262,RaceResults!$D:$D,E262))</f>
        <v/>
      </c>
      <c r="I262" s="11" t="str">
        <f>IF(F262="","",SUMIFS(RaceResults!$C:$C,RaceResults!$A:$A,$A262,RaceResults!$D:$D,F262))</f>
        <v/>
      </c>
      <c r="J262" s="11" t="str">
        <f>IF(D262="","",SUMIFS(RaceResults!$E:$E,RaceResults!$A:$A,$A262,RaceResults!$D:$D,D262))</f>
        <v/>
      </c>
      <c r="K262" s="11" t="str">
        <f>IF(E262="","",SUMIFS(RaceResults!$E:$E,RaceResults!$A:$A,$A262,RaceResults!$D:$D,E262))</f>
        <v/>
      </c>
      <c r="L262" s="11" t="str">
        <f>IF(F262="","",SUMIFS(RaceResults!$E:$E,RaceResults!$A:$A,$A262,RaceResults!$D:$D,F262))</f>
        <v/>
      </c>
      <c r="M262" s="11">
        <f t="shared" si="4"/>
        <v>0</v>
      </c>
    </row>
    <row r="263" spans="1:13" x14ac:dyDescent="0.3">
      <c r="A263" s="9">
        <v>27</v>
      </c>
      <c r="B263" s="9" t="s">
        <v>59</v>
      </c>
      <c r="C263" s="10" t="s">
        <v>22</v>
      </c>
      <c r="D263" s="3"/>
      <c r="E263" s="3"/>
      <c r="F263" s="3"/>
      <c r="G263" s="11" t="str">
        <f>IF(D263="","",SUMIFS(RaceResults!$C:$C,RaceResults!$A:$A,$A263,RaceResults!$D:$D,D263))</f>
        <v/>
      </c>
      <c r="H263" s="11" t="str">
        <f>IF(E263="","",SUMIFS(RaceResults!$C:$C,RaceResults!$A:$A,$A263,RaceResults!$D:$D,E263))</f>
        <v/>
      </c>
      <c r="I263" s="11" t="str">
        <f>IF(F263="","",SUMIFS(RaceResults!$C:$C,RaceResults!$A:$A,$A263,RaceResults!$D:$D,F263))</f>
        <v/>
      </c>
      <c r="J263" s="11" t="str">
        <f>IF(D263="","",SUMIFS(RaceResults!$E:$E,RaceResults!$A:$A,$A263,RaceResults!$D:$D,D263))</f>
        <v/>
      </c>
      <c r="K263" s="11" t="str">
        <f>IF(E263="","",SUMIFS(RaceResults!$E:$E,RaceResults!$A:$A,$A263,RaceResults!$D:$D,E263))</f>
        <v/>
      </c>
      <c r="L263" s="11" t="str">
        <f>IF(F263="","",SUMIFS(RaceResults!$E:$E,RaceResults!$A:$A,$A263,RaceResults!$D:$D,F263))</f>
        <v/>
      </c>
      <c r="M263" s="11">
        <f t="shared" si="4"/>
        <v>0</v>
      </c>
    </row>
    <row r="264" spans="1:13" x14ac:dyDescent="0.3">
      <c r="A264" s="9">
        <v>27</v>
      </c>
      <c r="B264" s="9" t="s">
        <v>59</v>
      </c>
      <c r="C264" s="10" t="s">
        <v>25</v>
      </c>
      <c r="D264" s="3"/>
      <c r="E264" s="3"/>
      <c r="F264" s="3"/>
      <c r="G264" s="11" t="str">
        <f>IF(D264="","",SUMIFS(RaceResults!$C:$C,RaceResults!$A:$A,$A264,RaceResults!$D:$D,D264))</f>
        <v/>
      </c>
      <c r="H264" s="11" t="str">
        <f>IF(E264="","",SUMIFS(RaceResults!$C:$C,RaceResults!$A:$A,$A264,RaceResults!$D:$D,E264))</f>
        <v/>
      </c>
      <c r="I264" s="11" t="str">
        <f>IF(F264="","",SUMIFS(RaceResults!$C:$C,RaceResults!$A:$A,$A264,RaceResults!$D:$D,F264))</f>
        <v/>
      </c>
      <c r="J264" s="11" t="str">
        <f>IF(D264="","",SUMIFS(RaceResults!$E:$E,RaceResults!$A:$A,$A264,RaceResults!$D:$D,D264))</f>
        <v/>
      </c>
      <c r="K264" s="11" t="str">
        <f>IF(E264="","",SUMIFS(RaceResults!$E:$E,RaceResults!$A:$A,$A264,RaceResults!$D:$D,E264))</f>
        <v/>
      </c>
      <c r="L264" s="11" t="str">
        <f>IF(F264="","",SUMIFS(RaceResults!$E:$E,RaceResults!$A:$A,$A264,RaceResults!$D:$D,F264))</f>
        <v/>
      </c>
      <c r="M264" s="11">
        <f t="shared" si="4"/>
        <v>0</v>
      </c>
    </row>
    <row r="265" spans="1:13" x14ac:dyDescent="0.3">
      <c r="A265" s="9">
        <v>27</v>
      </c>
      <c r="B265" s="9" t="s">
        <v>59</v>
      </c>
      <c r="C265" s="10" t="s">
        <v>26</v>
      </c>
      <c r="D265" s="3"/>
      <c r="E265" s="3"/>
      <c r="F265" s="3"/>
      <c r="G265" s="11" t="str">
        <f>IF(D265="","",SUMIFS(RaceResults!$C:$C,RaceResults!$A:$A,$A265,RaceResults!$D:$D,D265))</f>
        <v/>
      </c>
      <c r="H265" s="11" t="str">
        <f>IF(E265="","",SUMIFS(RaceResults!$C:$C,RaceResults!$A:$A,$A265,RaceResults!$D:$D,E265))</f>
        <v/>
      </c>
      <c r="I265" s="11" t="str">
        <f>IF(F265="","",SUMIFS(RaceResults!$C:$C,RaceResults!$A:$A,$A265,RaceResults!$D:$D,F265))</f>
        <v/>
      </c>
      <c r="J265" s="11" t="str">
        <f>IF(D265="","",SUMIFS(RaceResults!$E:$E,RaceResults!$A:$A,$A265,RaceResults!$D:$D,D265))</f>
        <v/>
      </c>
      <c r="K265" s="11" t="str">
        <f>IF(E265="","",SUMIFS(RaceResults!$E:$E,RaceResults!$A:$A,$A265,RaceResults!$D:$D,E265))</f>
        <v/>
      </c>
      <c r="L265" s="11" t="str">
        <f>IF(F265="","",SUMIFS(RaceResults!$E:$E,RaceResults!$A:$A,$A265,RaceResults!$D:$D,F265))</f>
        <v/>
      </c>
      <c r="M265" s="11">
        <f t="shared" si="4"/>
        <v>0</v>
      </c>
    </row>
    <row r="266" spans="1:13" x14ac:dyDescent="0.3">
      <c r="A266" s="9">
        <v>27</v>
      </c>
      <c r="B266" s="9" t="s">
        <v>59</v>
      </c>
      <c r="C266" s="10" t="s">
        <v>27</v>
      </c>
      <c r="D266" s="3"/>
      <c r="E266" s="3"/>
      <c r="F266" s="3"/>
      <c r="G266" s="11" t="str">
        <f>IF(D266="","",SUMIFS(RaceResults!$C:$C,RaceResults!$A:$A,$A266,RaceResults!$D:$D,D266))</f>
        <v/>
      </c>
      <c r="H266" s="11" t="str">
        <f>IF(E266="","",SUMIFS(RaceResults!$C:$C,RaceResults!$A:$A,$A266,RaceResults!$D:$D,E266))</f>
        <v/>
      </c>
      <c r="I266" s="11" t="str">
        <f>IF(F266="","",SUMIFS(RaceResults!$C:$C,RaceResults!$A:$A,$A266,RaceResults!$D:$D,F266))</f>
        <v/>
      </c>
      <c r="J266" s="11" t="str">
        <f>IF(D266="","",SUMIFS(RaceResults!$E:$E,RaceResults!$A:$A,$A266,RaceResults!$D:$D,D266))</f>
        <v/>
      </c>
      <c r="K266" s="11" t="str">
        <f>IF(E266="","",SUMIFS(RaceResults!$E:$E,RaceResults!$A:$A,$A266,RaceResults!$D:$D,E266))</f>
        <v/>
      </c>
      <c r="L266" s="11" t="str">
        <f>IF(F266="","",SUMIFS(RaceResults!$E:$E,RaceResults!$A:$A,$A266,RaceResults!$D:$D,F266))</f>
        <v/>
      </c>
      <c r="M266" s="11">
        <f t="shared" si="4"/>
        <v>0</v>
      </c>
    </row>
    <row r="267" spans="1:13" x14ac:dyDescent="0.3">
      <c r="A267" s="9">
        <v>27</v>
      </c>
      <c r="B267" s="9" t="s">
        <v>59</v>
      </c>
      <c r="C267" s="10" t="s">
        <v>28</v>
      </c>
      <c r="D267" s="3"/>
      <c r="E267" s="3"/>
      <c r="F267" s="3"/>
      <c r="G267" s="11" t="str">
        <f>IF(D267="","",SUMIFS(RaceResults!$C:$C,RaceResults!$A:$A,$A267,RaceResults!$D:$D,D267))</f>
        <v/>
      </c>
      <c r="H267" s="11" t="str">
        <f>IF(E267="","",SUMIFS(RaceResults!$C:$C,RaceResults!$A:$A,$A267,RaceResults!$D:$D,E267))</f>
        <v/>
      </c>
      <c r="I267" s="11" t="str">
        <f>IF(F267="","",SUMIFS(RaceResults!$C:$C,RaceResults!$A:$A,$A267,RaceResults!$D:$D,F267))</f>
        <v/>
      </c>
      <c r="J267" s="11" t="str">
        <f>IF(D267="","",SUMIFS(RaceResults!$E:$E,RaceResults!$A:$A,$A267,RaceResults!$D:$D,D267))</f>
        <v/>
      </c>
      <c r="K267" s="11" t="str">
        <f>IF(E267="","",SUMIFS(RaceResults!$E:$E,RaceResults!$A:$A,$A267,RaceResults!$D:$D,E267))</f>
        <v/>
      </c>
      <c r="L267" s="11" t="str">
        <f>IF(F267="","",SUMIFS(RaceResults!$E:$E,RaceResults!$A:$A,$A267,RaceResults!$D:$D,F267))</f>
        <v/>
      </c>
      <c r="M267" s="11">
        <f t="shared" si="4"/>
        <v>0</v>
      </c>
    </row>
    <row r="268" spans="1:13" x14ac:dyDescent="0.3">
      <c r="A268" s="9">
        <v>27</v>
      </c>
      <c r="B268" s="9" t="s">
        <v>59</v>
      </c>
      <c r="C268" s="10" t="s">
        <v>29</v>
      </c>
      <c r="D268" s="3"/>
      <c r="E268" s="3"/>
      <c r="F268" s="3"/>
      <c r="G268" s="11" t="str">
        <f>IF(D268="","",SUMIFS(RaceResults!$C:$C,RaceResults!$A:$A,$A268,RaceResults!$D:$D,D268))</f>
        <v/>
      </c>
      <c r="H268" s="11" t="str">
        <f>IF(E268="","",SUMIFS(RaceResults!$C:$C,RaceResults!$A:$A,$A268,RaceResults!$D:$D,E268))</f>
        <v/>
      </c>
      <c r="I268" s="11" t="str">
        <f>IF(F268="","",SUMIFS(RaceResults!$C:$C,RaceResults!$A:$A,$A268,RaceResults!$D:$D,F268))</f>
        <v/>
      </c>
      <c r="J268" s="11" t="str">
        <f>IF(D268="","",SUMIFS(RaceResults!$E:$E,RaceResults!$A:$A,$A268,RaceResults!$D:$D,D268))</f>
        <v/>
      </c>
      <c r="K268" s="11" t="str">
        <f>IF(E268="","",SUMIFS(RaceResults!$E:$E,RaceResults!$A:$A,$A268,RaceResults!$D:$D,E268))</f>
        <v/>
      </c>
      <c r="L268" s="11" t="str">
        <f>IF(F268="","",SUMIFS(RaceResults!$E:$E,RaceResults!$A:$A,$A268,RaceResults!$D:$D,F268))</f>
        <v/>
      </c>
      <c r="M268" s="11">
        <f t="shared" si="4"/>
        <v>0</v>
      </c>
    </row>
    <row r="269" spans="1:13" x14ac:dyDescent="0.3">
      <c r="A269" s="9">
        <v>27</v>
      </c>
      <c r="B269" s="9" t="s">
        <v>59</v>
      </c>
      <c r="C269" s="10" t="s">
        <v>30</v>
      </c>
      <c r="D269" s="3"/>
      <c r="E269" s="3"/>
      <c r="F269" s="3"/>
      <c r="G269" s="11" t="str">
        <f>IF(D269="","",SUMIFS(RaceResults!$C:$C,RaceResults!$A:$A,$A269,RaceResults!$D:$D,D269))</f>
        <v/>
      </c>
      <c r="H269" s="11" t="str">
        <f>IF(E269="","",SUMIFS(RaceResults!$C:$C,RaceResults!$A:$A,$A269,RaceResults!$D:$D,E269))</f>
        <v/>
      </c>
      <c r="I269" s="11" t="str">
        <f>IF(F269="","",SUMIFS(RaceResults!$C:$C,RaceResults!$A:$A,$A269,RaceResults!$D:$D,F269))</f>
        <v/>
      </c>
      <c r="J269" s="11" t="str">
        <f>IF(D269="","",SUMIFS(RaceResults!$E:$E,RaceResults!$A:$A,$A269,RaceResults!$D:$D,D269))</f>
        <v/>
      </c>
      <c r="K269" s="11" t="str">
        <f>IF(E269="","",SUMIFS(RaceResults!$E:$E,RaceResults!$A:$A,$A269,RaceResults!$D:$D,E269))</f>
        <v/>
      </c>
      <c r="L269" s="11" t="str">
        <f>IF(F269="","",SUMIFS(RaceResults!$E:$E,RaceResults!$A:$A,$A269,RaceResults!$D:$D,F269))</f>
        <v/>
      </c>
      <c r="M269" s="11">
        <f t="shared" si="4"/>
        <v>0</v>
      </c>
    </row>
    <row r="270" spans="1:13" x14ac:dyDescent="0.3">
      <c r="A270" s="9">
        <v>27</v>
      </c>
      <c r="B270" s="9" t="s">
        <v>59</v>
      </c>
      <c r="C270" s="10" t="s">
        <v>31</v>
      </c>
      <c r="D270" s="3"/>
      <c r="E270" s="3"/>
      <c r="F270" s="3"/>
      <c r="G270" s="11" t="str">
        <f>IF(D270="","",SUMIFS(RaceResults!$C:$C,RaceResults!$A:$A,$A270,RaceResults!$D:$D,D270))</f>
        <v/>
      </c>
      <c r="H270" s="11" t="str">
        <f>IF(E270="","",SUMIFS(RaceResults!$C:$C,RaceResults!$A:$A,$A270,RaceResults!$D:$D,E270))</f>
        <v/>
      </c>
      <c r="I270" s="11" t="str">
        <f>IF(F270="","",SUMIFS(RaceResults!$C:$C,RaceResults!$A:$A,$A270,RaceResults!$D:$D,F270))</f>
        <v/>
      </c>
      <c r="J270" s="11" t="str">
        <f>IF(D270="","",SUMIFS(RaceResults!$E:$E,RaceResults!$A:$A,$A270,RaceResults!$D:$D,D270))</f>
        <v/>
      </c>
      <c r="K270" s="11" t="str">
        <f>IF(E270="","",SUMIFS(RaceResults!$E:$E,RaceResults!$A:$A,$A270,RaceResults!$D:$D,E270))</f>
        <v/>
      </c>
      <c r="L270" s="11" t="str">
        <f>IF(F270="","",SUMIFS(RaceResults!$E:$E,RaceResults!$A:$A,$A270,RaceResults!$D:$D,F270))</f>
        <v/>
      </c>
      <c r="M270" s="11">
        <f t="shared" si="4"/>
        <v>0</v>
      </c>
    </row>
    <row r="271" spans="1:13" x14ac:dyDescent="0.3">
      <c r="A271" s="9">
        <v>27</v>
      </c>
      <c r="B271" s="9" t="s">
        <v>59</v>
      </c>
      <c r="C271" s="10" t="s">
        <v>32</v>
      </c>
      <c r="D271" s="3"/>
      <c r="E271" s="3"/>
      <c r="F271" s="3"/>
      <c r="G271" s="11" t="str">
        <f>IF(D271="","",SUMIFS(RaceResults!$C:$C,RaceResults!$A:$A,$A271,RaceResults!$D:$D,D271))</f>
        <v/>
      </c>
      <c r="H271" s="11" t="str">
        <f>IF(E271="","",SUMIFS(RaceResults!$C:$C,RaceResults!$A:$A,$A271,RaceResults!$D:$D,E271))</f>
        <v/>
      </c>
      <c r="I271" s="11" t="str">
        <f>IF(F271="","",SUMIFS(RaceResults!$C:$C,RaceResults!$A:$A,$A271,RaceResults!$D:$D,F271))</f>
        <v/>
      </c>
      <c r="J271" s="11" t="str">
        <f>IF(D271="","",SUMIFS(RaceResults!$E:$E,RaceResults!$A:$A,$A271,RaceResults!$D:$D,D271))</f>
        <v/>
      </c>
      <c r="K271" s="11" t="str">
        <f>IF(E271="","",SUMIFS(RaceResults!$E:$E,RaceResults!$A:$A,$A271,RaceResults!$D:$D,E271))</f>
        <v/>
      </c>
      <c r="L271" s="11" t="str">
        <f>IF(F271="","",SUMIFS(RaceResults!$E:$E,RaceResults!$A:$A,$A271,RaceResults!$D:$D,F271))</f>
        <v/>
      </c>
      <c r="M271" s="11">
        <f t="shared" si="4"/>
        <v>0</v>
      </c>
    </row>
    <row r="272" spans="1:13" x14ac:dyDescent="0.3">
      <c r="A272" s="9">
        <v>28</v>
      </c>
      <c r="B272" s="9" t="s">
        <v>106</v>
      </c>
      <c r="C272" s="10" t="s">
        <v>21</v>
      </c>
      <c r="D272" s="3"/>
      <c r="E272" s="3"/>
      <c r="F272" s="3"/>
      <c r="G272" s="11" t="str">
        <f>IF(D272="","",SUMIFS(RaceResults!$C:$C,RaceResults!$A:$A,$A272,RaceResults!$D:$D,D272))</f>
        <v/>
      </c>
      <c r="H272" s="11" t="str">
        <f>IF(E272="","",SUMIFS(RaceResults!$C:$C,RaceResults!$A:$A,$A272,RaceResults!$D:$D,E272))</f>
        <v/>
      </c>
      <c r="I272" s="11" t="str">
        <f>IF(F272="","",SUMIFS(RaceResults!$C:$C,RaceResults!$A:$A,$A272,RaceResults!$D:$D,F272))</f>
        <v/>
      </c>
      <c r="J272" s="11" t="str">
        <f>IF(D272="","",SUMIFS(RaceResults!$E:$E,RaceResults!$A:$A,$A272,RaceResults!$D:$D,D272))</f>
        <v/>
      </c>
      <c r="K272" s="11" t="str">
        <f>IF(E272="","",SUMIFS(RaceResults!$E:$E,RaceResults!$A:$A,$A272,RaceResults!$D:$D,E272))</f>
        <v/>
      </c>
      <c r="L272" s="11" t="str">
        <f>IF(F272="","",SUMIFS(RaceResults!$E:$E,RaceResults!$A:$A,$A272,RaceResults!$D:$D,F272))</f>
        <v/>
      </c>
      <c r="M272" s="11">
        <f t="shared" si="4"/>
        <v>0</v>
      </c>
    </row>
    <row r="273" spans="1:13" x14ac:dyDescent="0.3">
      <c r="A273" s="9">
        <v>28</v>
      </c>
      <c r="B273" s="9" t="s">
        <v>106</v>
      </c>
      <c r="C273" s="10" t="s">
        <v>22</v>
      </c>
      <c r="D273" s="3"/>
      <c r="E273" s="3"/>
      <c r="F273" s="3"/>
      <c r="G273" s="11" t="str">
        <f>IF(D273="","",SUMIFS(RaceResults!$C:$C,RaceResults!$A:$A,$A273,RaceResults!$D:$D,D273))</f>
        <v/>
      </c>
      <c r="H273" s="11" t="str">
        <f>IF(E273="","",SUMIFS(RaceResults!$C:$C,RaceResults!$A:$A,$A273,RaceResults!$D:$D,E273))</f>
        <v/>
      </c>
      <c r="I273" s="11" t="str">
        <f>IF(F273="","",SUMIFS(RaceResults!$C:$C,RaceResults!$A:$A,$A273,RaceResults!$D:$D,F273))</f>
        <v/>
      </c>
      <c r="J273" s="11" t="str">
        <f>IF(D273="","",SUMIFS(RaceResults!$E:$E,RaceResults!$A:$A,$A273,RaceResults!$D:$D,D273))</f>
        <v/>
      </c>
      <c r="K273" s="11" t="str">
        <f>IF(E273="","",SUMIFS(RaceResults!$E:$E,RaceResults!$A:$A,$A273,RaceResults!$D:$D,E273))</f>
        <v/>
      </c>
      <c r="L273" s="11" t="str">
        <f>IF(F273="","",SUMIFS(RaceResults!$E:$E,RaceResults!$A:$A,$A273,RaceResults!$D:$D,F273))</f>
        <v/>
      </c>
      <c r="M273" s="11">
        <f t="shared" si="4"/>
        <v>0</v>
      </c>
    </row>
    <row r="274" spans="1:13" x14ac:dyDescent="0.3">
      <c r="A274" s="9">
        <v>28</v>
      </c>
      <c r="B274" s="9" t="s">
        <v>106</v>
      </c>
      <c r="C274" s="10" t="s">
        <v>25</v>
      </c>
      <c r="D274" s="3"/>
      <c r="E274" s="3"/>
      <c r="F274" s="3"/>
      <c r="G274" s="11" t="str">
        <f>IF(D274="","",SUMIFS(RaceResults!$C:$C,RaceResults!$A:$A,$A274,RaceResults!$D:$D,D274))</f>
        <v/>
      </c>
      <c r="H274" s="11" t="str">
        <f>IF(E274="","",SUMIFS(RaceResults!$C:$C,RaceResults!$A:$A,$A274,RaceResults!$D:$D,E274))</f>
        <v/>
      </c>
      <c r="I274" s="11" t="str">
        <f>IF(F274="","",SUMIFS(RaceResults!$C:$C,RaceResults!$A:$A,$A274,RaceResults!$D:$D,F274))</f>
        <v/>
      </c>
      <c r="J274" s="11" t="str">
        <f>IF(D274="","",SUMIFS(RaceResults!$E:$E,RaceResults!$A:$A,$A274,RaceResults!$D:$D,D274))</f>
        <v/>
      </c>
      <c r="K274" s="11" t="str">
        <f>IF(E274="","",SUMIFS(RaceResults!$E:$E,RaceResults!$A:$A,$A274,RaceResults!$D:$D,E274))</f>
        <v/>
      </c>
      <c r="L274" s="11" t="str">
        <f>IF(F274="","",SUMIFS(RaceResults!$E:$E,RaceResults!$A:$A,$A274,RaceResults!$D:$D,F274))</f>
        <v/>
      </c>
      <c r="M274" s="11">
        <f t="shared" si="4"/>
        <v>0</v>
      </c>
    </row>
    <row r="275" spans="1:13" x14ac:dyDescent="0.3">
      <c r="A275" s="9">
        <v>28</v>
      </c>
      <c r="B275" s="9" t="s">
        <v>106</v>
      </c>
      <c r="C275" s="10" t="s">
        <v>26</v>
      </c>
      <c r="D275" s="3"/>
      <c r="E275" s="3"/>
      <c r="F275" s="3"/>
      <c r="G275" s="11" t="str">
        <f>IF(D275="","",SUMIFS(RaceResults!$C:$C,RaceResults!$A:$A,$A275,RaceResults!$D:$D,D275))</f>
        <v/>
      </c>
      <c r="H275" s="11" t="str">
        <f>IF(E275="","",SUMIFS(RaceResults!$C:$C,RaceResults!$A:$A,$A275,RaceResults!$D:$D,E275))</f>
        <v/>
      </c>
      <c r="I275" s="11" t="str">
        <f>IF(F275="","",SUMIFS(RaceResults!$C:$C,RaceResults!$A:$A,$A275,RaceResults!$D:$D,F275))</f>
        <v/>
      </c>
      <c r="J275" s="11" t="str">
        <f>IF(D275="","",SUMIFS(RaceResults!$E:$E,RaceResults!$A:$A,$A275,RaceResults!$D:$D,D275))</f>
        <v/>
      </c>
      <c r="K275" s="11" t="str">
        <f>IF(E275="","",SUMIFS(RaceResults!$E:$E,RaceResults!$A:$A,$A275,RaceResults!$D:$D,E275))</f>
        <v/>
      </c>
      <c r="L275" s="11" t="str">
        <f>IF(F275="","",SUMIFS(RaceResults!$E:$E,RaceResults!$A:$A,$A275,RaceResults!$D:$D,F275))</f>
        <v/>
      </c>
      <c r="M275" s="11">
        <f t="shared" si="4"/>
        <v>0</v>
      </c>
    </row>
    <row r="276" spans="1:13" x14ac:dyDescent="0.3">
      <c r="A276" s="9">
        <v>28</v>
      </c>
      <c r="B276" s="9" t="s">
        <v>106</v>
      </c>
      <c r="C276" s="10" t="s">
        <v>27</v>
      </c>
      <c r="D276" s="3"/>
      <c r="E276" s="3"/>
      <c r="F276" s="3"/>
      <c r="G276" s="11" t="str">
        <f>IF(D276="","",SUMIFS(RaceResults!$C:$C,RaceResults!$A:$A,$A276,RaceResults!$D:$D,D276))</f>
        <v/>
      </c>
      <c r="H276" s="11" t="str">
        <f>IF(E276="","",SUMIFS(RaceResults!$C:$C,RaceResults!$A:$A,$A276,RaceResults!$D:$D,E276))</f>
        <v/>
      </c>
      <c r="I276" s="11" t="str">
        <f>IF(F276="","",SUMIFS(RaceResults!$C:$C,RaceResults!$A:$A,$A276,RaceResults!$D:$D,F276))</f>
        <v/>
      </c>
      <c r="J276" s="11" t="str">
        <f>IF(D276="","",SUMIFS(RaceResults!$E:$E,RaceResults!$A:$A,$A276,RaceResults!$D:$D,D276))</f>
        <v/>
      </c>
      <c r="K276" s="11" t="str">
        <f>IF(E276="","",SUMIFS(RaceResults!$E:$E,RaceResults!$A:$A,$A276,RaceResults!$D:$D,E276))</f>
        <v/>
      </c>
      <c r="L276" s="11" t="str">
        <f>IF(F276="","",SUMIFS(RaceResults!$E:$E,RaceResults!$A:$A,$A276,RaceResults!$D:$D,F276))</f>
        <v/>
      </c>
      <c r="M276" s="11">
        <f t="shared" si="4"/>
        <v>0</v>
      </c>
    </row>
    <row r="277" spans="1:13" x14ac:dyDescent="0.3">
      <c r="A277" s="9">
        <v>28</v>
      </c>
      <c r="B277" s="9" t="s">
        <v>106</v>
      </c>
      <c r="C277" s="10" t="s">
        <v>28</v>
      </c>
      <c r="D277" s="3"/>
      <c r="E277" s="3"/>
      <c r="F277" s="3"/>
      <c r="G277" s="11" t="str">
        <f>IF(D277="","",SUMIFS(RaceResults!$C:$C,RaceResults!$A:$A,$A277,RaceResults!$D:$D,D277))</f>
        <v/>
      </c>
      <c r="H277" s="11" t="str">
        <f>IF(E277="","",SUMIFS(RaceResults!$C:$C,RaceResults!$A:$A,$A277,RaceResults!$D:$D,E277))</f>
        <v/>
      </c>
      <c r="I277" s="11" t="str">
        <f>IF(F277="","",SUMIFS(RaceResults!$C:$C,RaceResults!$A:$A,$A277,RaceResults!$D:$D,F277))</f>
        <v/>
      </c>
      <c r="J277" s="11" t="str">
        <f>IF(D277="","",SUMIFS(RaceResults!$E:$E,RaceResults!$A:$A,$A277,RaceResults!$D:$D,D277))</f>
        <v/>
      </c>
      <c r="K277" s="11" t="str">
        <f>IF(E277="","",SUMIFS(RaceResults!$E:$E,RaceResults!$A:$A,$A277,RaceResults!$D:$D,E277))</f>
        <v/>
      </c>
      <c r="L277" s="11" t="str">
        <f>IF(F277="","",SUMIFS(RaceResults!$E:$E,RaceResults!$A:$A,$A277,RaceResults!$D:$D,F277))</f>
        <v/>
      </c>
      <c r="M277" s="11">
        <f t="shared" si="4"/>
        <v>0</v>
      </c>
    </row>
    <row r="278" spans="1:13" x14ac:dyDescent="0.3">
      <c r="A278" s="9">
        <v>28</v>
      </c>
      <c r="B278" s="9" t="s">
        <v>106</v>
      </c>
      <c r="C278" s="10" t="s">
        <v>29</v>
      </c>
      <c r="D278" s="3"/>
      <c r="E278" s="3"/>
      <c r="F278" s="3"/>
      <c r="G278" s="11" t="str">
        <f>IF(D278="","",SUMIFS(RaceResults!$C:$C,RaceResults!$A:$A,$A278,RaceResults!$D:$D,D278))</f>
        <v/>
      </c>
      <c r="H278" s="11" t="str">
        <f>IF(E278="","",SUMIFS(RaceResults!$C:$C,RaceResults!$A:$A,$A278,RaceResults!$D:$D,E278))</f>
        <v/>
      </c>
      <c r="I278" s="11" t="str">
        <f>IF(F278="","",SUMIFS(RaceResults!$C:$C,RaceResults!$A:$A,$A278,RaceResults!$D:$D,F278))</f>
        <v/>
      </c>
      <c r="J278" s="11" t="str">
        <f>IF(D278="","",SUMIFS(RaceResults!$E:$E,RaceResults!$A:$A,$A278,RaceResults!$D:$D,D278))</f>
        <v/>
      </c>
      <c r="K278" s="11" t="str">
        <f>IF(E278="","",SUMIFS(RaceResults!$E:$E,RaceResults!$A:$A,$A278,RaceResults!$D:$D,E278))</f>
        <v/>
      </c>
      <c r="L278" s="11" t="str">
        <f>IF(F278="","",SUMIFS(RaceResults!$E:$E,RaceResults!$A:$A,$A278,RaceResults!$D:$D,F278))</f>
        <v/>
      </c>
      <c r="M278" s="11">
        <f t="shared" si="4"/>
        <v>0</v>
      </c>
    </row>
    <row r="279" spans="1:13" x14ac:dyDescent="0.3">
      <c r="A279" s="9">
        <v>28</v>
      </c>
      <c r="B279" s="9" t="s">
        <v>106</v>
      </c>
      <c r="C279" s="10" t="s">
        <v>30</v>
      </c>
      <c r="D279" s="3"/>
      <c r="E279" s="3"/>
      <c r="F279" s="3"/>
      <c r="G279" s="11" t="str">
        <f>IF(D279="","",SUMIFS(RaceResults!$C:$C,RaceResults!$A:$A,$A279,RaceResults!$D:$D,D279))</f>
        <v/>
      </c>
      <c r="H279" s="11" t="str">
        <f>IF(E279="","",SUMIFS(RaceResults!$C:$C,RaceResults!$A:$A,$A279,RaceResults!$D:$D,E279))</f>
        <v/>
      </c>
      <c r="I279" s="11" t="str">
        <f>IF(F279="","",SUMIFS(RaceResults!$C:$C,RaceResults!$A:$A,$A279,RaceResults!$D:$D,F279))</f>
        <v/>
      </c>
      <c r="J279" s="11" t="str">
        <f>IF(D279="","",SUMIFS(RaceResults!$E:$E,RaceResults!$A:$A,$A279,RaceResults!$D:$D,D279))</f>
        <v/>
      </c>
      <c r="K279" s="11" t="str">
        <f>IF(E279="","",SUMIFS(RaceResults!$E:$E,RaceResults!$A:$A,$A279,RaceResults!$D:$D,E279))</f>
        <v/>
      </c>
      <c r="L279" s="11" t="str">
        <f>IF(F279="","",SUMIFS(RaceResults!$E:$E,RaceResults!$A:$A,$A279,RaceResults!$D:$D,F279))</f>
        <v/>
      </c>
      <c r="M279" s="11">
        <f t="shared" si="4"/>
        <v>0</v>
      </c>
    </row>
    <row r="280" spans="1:13" x14ac:dyDescent="0.3">
      <c r="A280" s="9">
        <v>28</v>
      </c>
      <c r="B280" s="9" t="s">
        <v>106</v>
      </c>
      <c r="C280" s="10" t="s">
        <v>31</v>
      </c>
      <c r="D280" s="3"/>
      <c r="E280" s="3"/>
      <c r="F280" s="3"/>
      <c r="G280" s="11" t="str">
        <f>IF(D280="","",SUMIFS(RaceResults!$C:$C,RaceResults!$A:$A,$A280,RaceResults!$D:$D,D280))</f>
        <v/>
      </c>
      <c r="H280" s="11" t="str">
        <f>IF(E280="","",SUMIFS(RaceResults!$C:$C,RaceResults!$A:$A,$A280,RaceResults!$D:$D,E280))</f>
        <v/>
      </c>
      <c r="I280" s="11" t="str">
        <f>IF(F280="","",SUMIFS(RaceResults!$C:$C,RaceResults!$A:$A,$A280,RaceResults!$D:$D,F280))</f>
        <v/>
      </c>
      <c r="J280" s="11" t="str">
        <f>IF(D280="","",SUMIFS(RaceResults!$E:$E,RaceResults!$A:$A,$A280,RaceResults!$D:$D,D280))</f>
        <v/>
      </c>
      <c r="K280" s="11" t="str">
        <f>IF(E280="","",SUMIFS(RaceResults!$E:$E,RaceResults!$A:$A,$A280,RaceResults!$D:$D,E280))</f>
        <v/>
      </c>
      <c r="L280" s="11" t="str">
        <f>IF(F280="","",SUMIFS(RaceResults!$E:$E,RaceResults!$A:$A,$A280,RaceResults!$D:$D,F280))</f>
        <v/>
      </c>
      <c r="M280" s="11">
        <f t="shared" si="4"/>
        <v>0</v>
      </c>
    </row>
    <row r="281" spans="1:13" x14ac:dyDescent="0.3">
      <c r="A281" s="9">
        <v>28</v>
      </c>
      <c r="B281" s="9" t="s">
        <v>106</v>
      </c>
      <c r="C281" s="10" t="s">
        <v>32</v>
      </c>
      <c r="D281" s="3"/>
      <c r="E281" s="3"/>
      <c r="F281" s="3"/>
      <c r="G281" s="11" t="str">
        <f>IF(D281="","",SUMIFS(RaceResults!$C:$C,RaceResults!$A:$A,$A281,RaceResults!$D:$D,D281))</f>
        <v/>
      </c>
      <c r="H281" s="11" t="str">
        <f>IF(E281="","",SUMIFS(RaceResults!$C:$C,RaceResults!$A:$A,$A281,RaceResults!$D:$D,E281))</f>
        <v/>
      </c>
      <c r="I281" s="11" t="str">
        <f>IF(F281="","",SUMIFS(RaceResults!$C:$C,RaceResults!$A:$A,$A281,RaceResults!$D:$D,F281))</f>
        <v/>
      </c>
      <c r="J281" s="11" t="str">
        <f>IF(D281="","",SUMIFS(RaceResults!$E:$E,RaceResults!$A:$A,$A281,RaceResults!$D:$D,D281))</f>
        <v/>
      </c>
      <c r="K281" s="11" t="str">
        <f>IF(E281="","",SUMIFS(RaceResults!$E:$E,RaceResults!$A:$A,$A281,RaceResults!$D:$D,E281))</f>
        <v/>
      </c>
      <c r="L281" s="11" t="str">
        <f>IF(F281="","",SUMIFS(RaceResults!$E:$E,RaceResults!$A:$A,$A281,RaceResults!$D:$D,F281))</f>
        <v/>
      </c>
      <c r="M281" s="11">
        <f t="shared" si="4"/>
        <v>0</v>
      </c>
    </row>
    <row r="282" spans="1:13" x14ac:dyDescent="0.3">
      <c r="A282" s="9">
        <v>29</v>
      </c>
      <c r="B282" s="9" t="s">
        <v>63</v>
      </c>
      <c r="C282" s="10" t="s">
        <v>21</v>
      </c>
      <c r="D282" s="3"/>
      <c r="E282" s="3"/>
      <c r="F282" s="3"/>
      <c r="G282" s="11" t="str">
        <f>IF(D282="","",SUMIFS(RaceResults!$C:$C,RaceResults!$A:$A,$A282,RaceResults!$D:$D,D282))</f>
        <v/>
      </c>
      <c r="H282" s="11" t="str">
        <f>IF(E282="","",SUMIFS(RaceResults!$C:$C,RaceResults!$A:$A,$A282,RaceResults!$D:$D,E282))</f>
        <v/>
      </c>
      <c r="I282" s="11" t="str">
        <f>IF(F282="","",SUMIFS(RaceResults!$C:$C,RaceResults!$A:$A,$A282,RaceResults!$D:$D,F282))</f>
        <v/>
      </c>
      <c r="J282" s="11" t="str">
        <f>IF(D282="","",SUMIFS(RaceResults!$E:$E,RaceResults!$A:$A,$A282,RaceResults!$D:$D,D282))</f>
        <v/>
      </c>
      <c r="K282" s="11" t="str">
        <f>IF(E282="","",SUMIFS(RaceResults!$E:$E,RaceResults!$A:$A,$A282,RaceResults!$D:$D,E282))</f>
        <v/>
      </c>
      <c r="L282" s="11" t="str">
        <f>IF(F282="","",SUMIFS(RaceResults!$E:$E,RaceResults!$A:$A,$A282,RaceResults!$D:$D,F282))</f>
        <v/>
      </c>
      <c r="M282" s="11">
        <f t="shared" si="4"/>
        <v>0</v>
      </c>
    </row>
    <row r="283" spans="1:13" x14ac:dyDescent="0.3">
      <c r="A283" s="9">
        <v>29</v>
      </c>
      <c r="B283" s="9" t="s">
        <v>63</v>
      </c>
      <c r="C283" s="10" t="s">
        <v>22</v>
      </c>
      <c r="D283" s="3"/>
      <c r="E283" s="3"/>
      <c r="F283" s="3"/>
      <c r="G283" s="11" t="str">
        <f>IF(D283="","",SUMIFS(RaceResults!$C:$C,RaceResults!$A:$A,$A283,RaceResults!$D:$D,D283))</f>
        <v/>
      </c>
      <c r="H283" s="11" t="str">
        <f>IF(E283="","",SUMIFS(RaceResults!$C:$C,RaceResults!$A:$A,$A283,RaceResults!$D:$D,E283))</f>
        <v/>
      </c>
      <c r="I283" s="11" t="str">
        <f>IF(F283="","",SUMIFS(RaceResults!$C:$C,RaceResults!$A:$A,$A283,RaceResults!$D:$D,F283))</f>
        <v/>
      </c>
      <c r="J283" s="11" t="str">
        <f>IF(D283="","",SUMIFS(RaceResults!$E:$E,RaceResults!$A:$A,$A283,RaceResults!$D:$D,D283))</f>
        <v/>
      </c>
      <c r="K283" s="11" t="str">
        <f>IF(E283="","",SUMIFS(RaceResults!$E:$E,RaceResults!$A:$A,$A283,RaceResults!$D:$D,E283))</f>
        <v/>
      </c>
      <c r="L283" s="11" t="str">
        <f>IF(F283="","",SUMIFS(RaceResults!$E:$E,RaceResults!$A:$A,$A283,RaceResults!$D:$D,F283))</f>
        <v/>
      </c>
      <c r="M283" s="11">
        <f t="shared" si="4"/>
        <v>0</v>
      </c>
    </row>
    <row r="284" spans="1:13" x14ac:dyDescent="0.3">
      <c r="A284" s="9">
        <v>29</v>
      </c>
      <c r="B284" s="9" t="s">
        <v>63</v>
      </c>
      <c r="C284" s="10" t="s">
        <v>25</v>
      </c>
      <c r="D284" s="3"/>
      <c r="E284" s="3"/>
      <c r="F284" s="3"/>
      <c r="G284" s="11" t="str">
        <f>IF(D284="","",SUMIFS(RaceResults!$C:$C,RaceResults!$A:$A,$A284,RaceResults!$D:$D,D284))</f>
        <v/>
      </c>
      <c r="H284" s="11" t="str">
        <f>IF(E284="","",SUMIFS(RaceResults!$C:$C,RaceResults!$A:$A,$A284,RaceResults!$D:$D,E284))</f>
        <v/>
      </c>
      <c r="I284" s="11" t="str">
        <f>IF(F284="","",SUMIFS(RaceResults!$C:$C,RaceResults!$A:$A,$A284,RaceResults!$D:$D,F284))</f>
        <v/>
      </c>
      <c r="J284" s="11" t="str">
        <f>IF(D284="","",SUMIFS(RaceResults!$E:$E,RaceResults!$A:$A,$A284,RaceResults!$D:$D,D284))</f>
        <v/>
      </c>
      <c r="K284" s="11" t="str">
        <f>IF(E284="","",SUMIFS(RaceResults!$E:$E,RaceResults!$A:$A,$A284,RaceResults!$D:$D,E284))</f>
        <v/>
      </c>
      <c r="L284" s="11" t="str">
        <f>IF(F284="","",SUMIFS(RaceResults!$E:$E,RaceResults!$A:$A,$A284,RaceResults!$D:$D,F284))</f>
        <v/>
      </c>
      <c r="M284" s="11">
        <f t="shared" si="4"/>
        <v>0</v>
      </c>
    </row>
    <row r="285" spans="1:13" x14ac:dyDescent="0.3">
      <c r="A285" s="9">
        <v>29</v>
      </c>
      <c r="B285" s="9" t="s">
        <v>63</v>
      </c>
      <c r="C285" s="10" t="s">
        <v>26</v>
      </c>
      <c r="D285" s="3"/>
      <c r="E285" s="3"/>
      <c r="F285" s="3"/>
      <c r="G285" s="11" t="str">
        <f>IF(D285="","",SUMIFS(RaceResults!$C:$C,RaceResults!$A:$A,$A285,RaceResults!$D:$D,D285))</f>
        <v/>
      </c>
      <c r="H285" s="11" t="str">
        <f>IF(E285="","",SUMIFS(RaceResults!$C:$C,RaceResults!$A:$A,$A285,RaceResults!$D:$D,E285))</f>
        <v/>
      </c>
      <c r="I285" s="11" t="str">
        <f>IF(F285="","",SUMIFS(RaceResults!$C:$C,RaceResults!$A:$A,$A285,RaceResults!$D:$D,F285))</f>
        <v/>
      </c>
      <c r="J285" s="11" t="str">
        <f>IF(D285="","",SUMIFS(RaceResults!$E:$E,RaceResults!$A:$A,$A285,RaceResults!$D:$D,D285))</f>
        <v/>
      </c>
      <c r="K285" s="11" t="str">
        <f>IF(E285="","",SUMIFS(RaceResults!$E:$E,RaceResults!$A:$A,$A285,RaceResults!$D:$D,E285))</f>
        <v/>
      </c>
      <c r="L285" s="11" t="str">
        <f>IF(F285="","",SUMIFS(RaceResults!$E:$E,RaceResults!$A:$A,$A285,RaceResults!$D:$D,F285))</f>
        <v/>
      </c>
      <c r="M285" s="11">
        <f t="shared" si="4"/>
        <v>0</v>
      </c>
    </row>
    <row r="286" spans="1:13" x14ac:dyDescent="0.3">
      <c r="A286" s="9">
        <v>29</v>
      </c>
      <c r="B286" s="9" t="s">
        <v>63</v>
      </c>
      <c r="C286" s="10" t="s">
        <v>27</v>
      </c>
      <c r="D286" s="3"/>
      <c r="E286" s="3"/>
      <c r="F286" s="3"/>
      <c r="G286" s="11" t="str">
        <f>IF(D286="","",SUMIFS(RaceResults!$C:$C,RaceResults!$A:$A,$A286,RaceResults!$D:$D,D286))</f>
        <v/>
      </c>
      <c r="H286" s="11" t="str">
        <f>IF(E286="","",SUMIFS(RaceResults!$C:$C,RaceResults!$A:$A,$A286,RaceResults!$D:$D,E286))</f>
        <v/>
      </c>
      <c r="I286" s="11" t="str">
        <f>IF(F286="","",SUMIFS(RaceResults!$C:$C,RaceResults!$A:$A,$A286,RaceResults!$D:$D,F286))</f>
        <v/>
      </c>
      <c r="J286" s="11" t="str">
        <f>IF(D286="","",SUMIFS(RaceResults!$E:$E,RaceResults!$A:$A,$A286,RaceResults!$D:$D,D286))</f>
        <v/>
      </c>
      <c r="K286" s="11" t="str">
        <f>IF(E286="","",SUMIFS(RaceResults!$E:$E,RaceResults!$A:$A,$A286,RaceResults!$D:$D,E286))</f>
        <v/>
      </c>
      <c r="L286" s="11" t="str">
        <f>IF(F286="","",SUMIFS(RaceResults!$E:$E,RaceResults!$A:$A,$A286,RaceResults!$D:$D,F286))</f>
        <v/>
      </c>
      <c r="M286" s="11">
        <f t="shared" si="4"/>
        <v>0</v>
      </c>
    </row>
    <row r="287" spans="1:13" x14ac:dyDescent="0.3">
      <c r="A287" s="9">
        <v>29</v>
      </c>
      <c r="B287" s="9" t="s">
        <v>63</v>
      </c>
      <c r="C287" s="10" t="s">
        <v>28</v>
      </c>
      <c r="D287" s="3"/>
      <c r="E287" s="3"/>
      <c r="F287" s="3"/>
      <c r="G287" s="11" t="str">
        <f>IF(D287="","",SUMIFS(RaceResults!$C:$C,RaceResults!$A:$A,$A287,RaceResults!$D:$D,D287))</f>
        <v/>
      </c>
      <c r="H287" s="11" t="str">
        <f>IF(E287="","",SUMIFS(RaceResults!$C:$C,RaceResults!$A:$A,$A287,RaceResults!$D:$D,E287))</f>
        <v/>
      </c>
      <c r="I287" s="11" t="str">
        <f>IF(F287="","",SUMIFS(RaceResults!$C:$C,RaceResults!$A:$A,$A287,RaceResults!$D:$D,F287))</f>
        <v/>
      </c>
      <c r="J287" s="11" t="str">
        <f>IF(D287="","",SUMIFS(RaceResults!$E:$E,RaceResults!$A:$A,$A287,RaceResults!$D:$D,D287))</f>
        <v/>
      </c>
      <c r="K287" s="11" t="str">
        <f>IF(E287="","",SUMIFS(RaceResults!$E:$E,RaceResults!$A:$A,$A287,RaceResults!$D:$D,E287))</f>
        <v/>
      </c>
      <c r="L287" s="11" t="str">
        <f>IF(F287="","",SUMIFS(RaceResults!$E:$E,RaceResults!$A:$A,$A287,RaceResults!$D:$D,F287))</f>
        <v/>
      </c>
      <c r="M287" s="11">
        <f t="shared" si="4"/>
        <v>0</v>
      </c>
    </row>
    <row r="288" spans="1:13" x14ac:dyDescent="0.3">
      <c r="A288" s="9">
        <v>29</v>
      </c>
      <c r="B288" s="9" t="s">
        <v>63</v>
      </c>
      <c r="C288" s="10" t="s">
        <v>29</v>
      </c>
      <c r="D288" s="3"/>
      <c r="E288" s="3"/>
      <c r="F288" s="3"/>
      <c r="G288" s="11" t="str">
        <f>IF(D288="","",SUMIFS(RaceResults!$C:$C,RaceResults!$A:$A,$A288,RaceResults!$D:$D,D288))</f>
        <v/>
      </c>
      <c r="H288" s="11" t="str">
        <f>IF(E288="","",SUMIFS(RaceResults!$C:$C,RaceResults!$A:$A,$A288,RaceResults!$D:$D,E288))</f>
        <v/>
      </c>
      <c r="I288" s="11" t="str">
        <f>IF(F288="","",SUMIFS(RaceResults!$C:$C,RaceResults!$A:$A,$A288,RaceResults!$D:$D,F288))</f>
        <v/>
      </c>
      <c r="J288" s="11" t="str">
        <f>IF(D288="","",SUMIFS(RaceResults!$E:$E,RaceResults!$A:$A,$A288,RaceResults!$D:$D,D288))</f>
        <v/>
      </c>
      <c r="K288" s="11" t="str">
        <f>IF(E288="","",SUMIFS(RaceResults!$E:$E,RaceResults!$A:$A,$A288,RaceResults!$D:$D,E288))</f>
        <v/>
      </c>
      <c r="L288" s="11" t="str">
        <f>IF(F288="","",SUMIFS(RaceResults!$E:$E,RaceResults!$A:$A,$A288,RaceResults!$D:$D,F288))</f>
        <v/>
      </c>
      <c r="M288" s="11">
        <f t="shared" si="4"/>
        <v>0</v>
      </c>
    </row>
    <row r="289" spans="1:13" x14ac:dyDescent="0.3">
      <c r="A289" s="9">
        <v>29</v>
      </c>
      <c r="B289" s="9" t="s">
        <v>63</v>
      </c>
      <c r="C289" s="10" t="s">
        <v>30</v>
      </c>
      <c r="D289" s="3"/>
      <c r="E289" s="3"/>
      <c r="F289" s="3"/>
      <c r="G289" s="11" t="str">
        <f>IF(D289="","",SUMIFS(RaceResults!$C:$C,RaceResults!$A:$A,$A289,RaceResults!$D:$D,D289))</f>
        <v/>
      </c>
      <c r="H289" s="11" t="str">
        <f>IF(E289="","",SUMIFS(RaceResults!$C:$C,RaceResults!$A:$A,$A289,RaceResults!$D:$D,E289))</f>
        <v/>
      </c>
      <c r="I289" s="11" t="str">
        <f>IF(F289="","",SUMIFS(RaceResults!$C:$C,RaceResults!$A:$A,$A289,RaceResults!$D:$D,F289))</f>
        <v/>
      </c>
      <c r="J289" s="11" t="str">
        <f>IF(D289="","",SUMIFS(RaceResults!$E:$E,RaceResults!$A:$A,$A289,RaceResults!$D:$D,D289))</f>
        <v/>
      </c>
      <c r="K289" s="11" t="str">
        <f>IF(E289="","",SUMIFS(RaceResults!$E:$E,RaceResults!$A:$A,$A289,RaceResults!$D:$D,E289))</f>
        <v/>
      </c>
      <c r="L289" s="11" t="str">
        <f>IF(F289="","",SUMIFS(RaceResults!$E:$E,RaceResults!$A:$A,$A289,RaceResults!$D:$D,F289))</f>
        <v/>
      </c>
      <c r="M289" s="11">
        <f t="shared" si="4"/>
        <v>0</v>
      </c>
    </row>
    <row r="290" spans="1:13" x14ac:dyDescent="0.3">
      <c r="A290" s="9">
        <v>29</v>
      </c>
      <c r="B290" s="9" t="s">
        <v>63</v>
      </c>
      <c r="C290" s="10" t="s">
        <v>31</v>
      </c>
      <c r="D290" s="3"/>
      <c r="E290" s="3"/>
      <c r="F290" s="3"/>
      <c r="G290" s="11" t="str">
        <f>IF(D290="","",SUMIFS(RaceResults!$C:$C,RaceResults!$A:$A,$A290,RaceResults!$D:$D,D290))</f>
        <v/>
      </c>
      <c r="H290" s="11" t="str">
        <f>IF(E290="","",SUMIFS(RaceResults!$C:$C,RaceResults!$A:$A,$A290,RaceResults!$D:$D,E290))</f>
        <v/>
      </c>
      <c r="I290" s="11" t="str">
        <f>IF(F290="","",SUMIFS(RaceResults!$C:$C,RaceResults!$A:$A,$A290,RaceResults!$D:$D,F290))</f>
        <v/>
      </c>
      <c r="J290" s="11" t="str">
        <f>IF(D290="","",SUMIFS(RaceResults!$E:$E,RaceResults!$A:$A,$A290,RaceResults!$D:$D,D290))</f>
        <v/>
      </c>
      <c r="K290" s="11" t="str">
        <f>IF(E290="","",SUMIFS(RaceResults!$E:$E,RaceResults!$A:$A,$A290,RaceResults!$D:$D,E290))</f>
        <v/>
      </c>
      <c r="L290" s="11" t="str">
        <f>IF(F290="","",SUMIFS(RaceResults!$E:$E,RaceResults!$A:$A,$A290,RaceResults!$D:$D,F290))</f>
        <v/>
      </c>
      <c r="M290" s="11">
        <f t="shared" si="4"/>
        <v>0</v>
      </c>
    </row>
    <row r="291" spans="1:13" x14ac:dyDescent="0.3">
      <c r="A291" s="9">
        <v>29</v>
      </c>
      <c r="B291" s="9" t="s">
        <v>63</v>
      </c>
      <c r="C291" s="10" t="s">
        <v>32</v>
      </c>
      <c r="D291" s="3"/>
      <c r="E291" s="3"/>
      <c r="F291" s="3"/>
      <c r="G291" s="11" t="str">
        <f>IF(D291="","",SUMIFS(RaceResults!$C:$C,RaceResults!$A:$A,$A291,RaceResults!$D:$D,D291))</f>
        <v/>
      </c>
      <c r="H291" s="11" t="str">
        <f>IF(E291="","",SUMIFS(RaceResults!$C:$C,RaceResults!$A:$A,$A291,RaceResults!$D:$D,E291))</f>
        <v/>
      </c>
      <c r="I291" s="11" t="str">
        <f>IF(F291="","",SUMIFS(RaceResults!$C:$C,RaceResults!$A:$A,$A291,RaceResults!$D:$D,F291))</f>
        <v/>
      </c>
      <c r="J291" s="11" t="str">
        <f>IF(D291="","",SUMIFS(RaceResults!$E:$E,RaceResults!$A:$A,$A291,RaceResults!$D:$D,D291))</f>
        <v/>
      </c>
      <c r="K291" s="11" t="str">
        <f>IF(E291="","",SUMIFS(RaceResults!$E:$E,RaceResults!$A:$A,$A291,RaceResults!$D:$D,E291))</f>
        <v/>
      </c>
      <c r="L291" s="11" t="str">
        <f>IF(F291="","",SUMIFS(RaceResults!$E:$E,RaceResults!$A:$A,$A291,RaceResults!$D:$D,F291))</f>
        <v/>
      </c>
      <c r="M291" s="11">
        <f t="shared" si="4"/>
        <v>0</v>
      </c>
    </row>
    <row r="292" spans="1:13" x14ac:dyDescent="0.3">
      <c r="A292" s="9">
        <v>30</v>
      </c>
      <c r="B292" s="9" t="s">
        <v>65</v>
      </c>
      <c r="C292" s="10" t="s">
        <v>21</v>
      </c>
      <c r="D292" s="3"/>
      <c r="E292" s="3"/>
      <c r="F292" s="3"/>
      <c r="G292" s="11" t="str">
        <f>IF(D292="","",SUMIFS(RaceResults!$C:$C,RaceResults!$A:$A,$A292,RaceResults!$D:$D,D292))</f>
        <v/>
      </c>
      <c r="H292" s="11" t="str">
        <f>IF(E292="","",SUMIFS(RaceResults!$C:$C,RaceResults!$A:$A,$A292,RaceResults!$D:$D,E292))</f>
        <v/>
      </c>
      <c r="I292" s="11" t="str">
        <f>IF(F292="","",SUMIFS(RaceResults!$C:$C,RaceResults!$A:$A,$A292,RaceResults!$D:$D,F292))</f>
        <v/>
      </c>
      <c r="J292" s="11" t="str">
        <f>IF(D292="","",SUMIFS(RaceResults!$E:$E,RaceResults!$A:$A,$A292,RaceResults!$D:$D,D292))</f>
        <v/>
      </c>
      <c r="K292" s="11" t="str">
        <f>IF(E292="","",SUMIFS(RaceResults!$E:$E,RaceResults!$A:$A,$A292,RaceResults!$D:$D,E292))</f>
        <v/>
      </c>
      <c r="L292" s="11" t="str">
        <f>IF(F292="","",SUMIFS(RaceResults!$E:$E,RaceResults!$A:$A,$A292,RaceResults!$D:$D,F292))</f>
        <v/>
      </c>
      <c r="M292" s="11">
        <f t="shared" si="4"/>
        <v>0</v>
      </c>
    </row>
    <row r="293" spans="1:13" x14ac:dyDescent="0.3">
      <c r="A293" s="9">
        <v>30</v>
      </c>
      <c r="B293" s="9" t="s">
        <v>65</v>
      </c>
      <c r="C293" s="10" t="s">
        <v>22</v>
      </c>
      <c r="D293" s="3"/>
      <c r="E293" s="3"/>
      <c r="F293" s="3"/>
      <c r="G293" s="11" t="str">
        <f>IF(D293="","",SUMIFS(RaceResults!$C:$C,RaceResults!$A:$A,$A293,RaceResults!$D:$D,D293))</f>
        <v/>
      </c>
      <c r="H293" s="11" t="str">
        <f>IF(E293="","",SUMIFS(RaceResults!$C:$C,RaceResults!$A:$A,$A293,RaceResults!$D:$D,E293))</f>
        <v/>
      </c>
      <c r="I293" s="11" t="str">
        <f>IF(F293="","",SUMIFS(RaceResults!$C:$C,RaceResults!$A:$A,$A293,RaceResults!$D:$D,F293))</f>
        <v/>
      </c>
      <c r="J293" s="11" t="str">
        <f>IF(D293="","",SUMIFS(RaceResults!$E:$E,RaceResults!$A:$A,$A293,RaceResults!$D:$D,D293))</f>
        <v/>
      </c>
      <c r="K293" s="11" t="str">
        <f>IF(E293="","",SUMIFS(RaceResults!$E:$E,RaceResults!$A:$A,$A293,RaceResults!$D:$D,E293))</f>
        <v/>
      </c>
      <c r="L293" s="11" t="str">
        <f>IF(F293="","",SUMIFS(RaceResults!$E:$E,RaceResults!$A:$A,$A293,RaceResults!$D:$D,F293))</f>
        <v/>
      </c>
      <c r="M293" s="11">
        <f t="shared" si="4"/>
        <v>0</v>
      </c>
    </row>
    <row r="294" spans="1:13" x14ac:dyDescent="0.3">
      <c r="A294" s="9">
        <v>30</v>
      </c>
      <c r="B294" s="9" t="s">
        <v>65</v>
      </c>
      <c r="C294" s="10" t="s">
        <v>25</v>
      </c>
      <c r="D294" s="3"/>
      <c r="E294" s="3"/>
      <c r="F294" s="3"/>
      <c r="G294" s="11" t="str">
        <f>IF(D294="","",SUMIFS(RaceResults!$C:$C,RaceResults!$A:$A,$A294,RaceResults!$D:$D,D294))</f>
        <v/>
      </c>
      <c r="H294" s="11" t="str">
        <f>IF(E294="","",SUMIFS(RaceResults!$C:$C,RaceResults!$A:$A,$A294,RaceResults!$D:$D,E294))</f>
        <v/>
      </c>
      <c r="I294" s="11" t="str">
        <f>IF(F294="","",SUMIFS(RaceResults!$C:$C,RaceResults!$A:$A,$A294,RaceResults!$D:$D,F294))</f>
        <v/>
      </c>
      <c r="J294" s="11" t="str">
        <f>IF(D294="","",SUMIFS(RaceResults!$E:$E,RaceResults!$A:$A,$A294,RaceResults!$D:$D,D294))</f>
        <v/>
      </c>
      <c r="K294" s="11" t="str">
        <f>IF(E294="","",SUMIFS(RaceResults!$E:$E,RaceResults!$A:$A,$A294,RaceResults!$D:$D,E294))</f>
        <v/>
      </c>
      <c r="L294" s="11" t="str">
        <f>IF(F294="","",SUMIFS(RaceResults!$E:$E,RaceResults!$A:$A,$A294,RaceResults!$D:$D,F294))</f>
        <v/>
      </c>
      <c r="M294" s="11">
        <f t="shared" si="4"/>
        <v>0</v>
      </c>
    </row>
    <row r="295" spans="1:13" x14ac:dyDescent="0.3">
      <c r="A295" s="9">
        <v>30</v>
      </c>
      <c r="B295" s="9" t="s">
        <v>65</v>
      </c>
      <c r="C295" s="10" t="s">
        <v>26</v>
      </c>
      <c r="D295" s="3"/>
      <c r="E295" s="3"/>
      <c r="F295" s="3"/>
      <c r="G295" s="11" t="str">
        <f>IF(D295="","",SUMIFS(RaceResults!$C:$C,RaceResults!$A:$A,$A295,RaceResults!$D:$D,D295))</f>
        <v/>
      </c>
      <c r="H295" s="11" t="str">
        <f>IF(E295="","",SUMIFS(RaceResults!$C:$C,RaceResults!$A:$A,$A295,RaceResults!$D:$D,E295))</f>
        <v/>
      </c>
      <c r="I295" s="11" t="str">
        <f>IF(F295="","",SUMIFS(RaceResults!$C:$C,RaceResults!$A:$A,$A295,RaceResults!$D:$D,F295))</f>
        <v/>
      </c>
      <c r="J295" s="11" t="str">
        <f>IF(D295="","",SUMIFS(RaceResults!$E:$E,RaceResults!$A:$A,$A295,RaceResults!$D:$D,D295))</f>
        <v/>
      </c>
      <c r="K295" s="11" t="str">
        <f>IF(E295="","",SUMIFS(RaceResults!$E:$E,RaceResults!$A:$A,$A295,RaceResults!$D:$D,E295))</f>
        <v/>
      </c>
      <c r="L295" s="11" t="str">
        <f>IF(F295="","",SUMIFS(RaceResults!$E:$E,RaceResults!$A:$A,$A295,RaceResults!$D:$D,F295))</f>
        <v/>
      </c>
      <c r="M295" s="11">
        <f t="shared" si="4"/>
        <v>0</v>
      </c>
    </row>
    <row r="296" spans="1:13" x14ac:dyDescent="0.3">
      <c r="A296" s="9">
        <v>30</v>
      </c>
      <c r="B296" s="9" t="s">
        <v>65</v>
      </c>
      <c r="C296" s="10" t="s">
        <v>27</v>
      </c>
      <c r="D296" s="3"/>
      <c r="E296" s="3"/>
      <c r="F296" s="3"/>
      <c r="G296" s="11" t="str">
        <f>IF(D296="","",SUMIFS(RaceResults!$C:$C,RaceResults!$A:$A,$A296,RaceResults!$D:$D,D296))</f>
        <v/>
      </c>
      <c r="H296" s="11" t="str">
        <f>IF(E296="","",SUMIFS(RaceResults!$C:$C,RaceResults!$A:$A,$A296,RaceResults!$D:$D,E296))</f>
        <v/>
      </c>
      <c r="I296" s="11" t="str">
        <f>IF(F296="","",SUMIFS(RaceResults!$C:$C,RaceResults!$A:$A,$A296,RaceResults!$D:$D,F296))</f>
        <v/>
      </c>
      <c r="J296" s="11" t="str">
        <f>IF(D296="","",SUMIFS(RaceResults!$E:$E,RaceResults!$A:$A,$A296,RaceResults!$D:$D,D296))</f>
        <v/>
      </c>
      <c r="K296" s="11" t="str">
        <f>IF(E296="","",SUMIFS(RaceResults!$E:$E,RaceResults!$A:$A,$A296,RaceResults!$D:$D,E296))</f>
        <v/>
      </c>
      <c r="L296" s="11" t="str">
        <f>IF(F296="","",SUMIFS(RaceResults!$E:$E,RaceResults!$A:$A,$A296,RaceResults!$D:$D,F296))</f>
        <v/>
      </c>
      <c r="M296" s="11">
        <f t="shared" si="4"/>
        <v>0</v>
      </c>
    </row>
    <row r="297" spans="1:13" x14ac:dyDescent="0.3">
      <c r="A297" s="9">
        <v>30</v>
      </c>
      <c r="B297" s="9" t="s">
        <v>65</v>
      </c>
      <c r="C297" s="10" t="s">
        <v>28</v>
      </c>
      <c r="D297" s="3"/>
      <c r="E297" s="3"/>
      <c r="F297" s="3"/>
      <c r="G297" s="11" t="str">
        <f>IF(D297="","",SUMIFS(RaceResults!$C:$C,RaceResults!$A:$A,$A297,RaceResults!$D:$D,D297))</f>
        <v/>
      </c>
      <c r="H297" s="11" t="str">
        <f>IF(E297="","",SUMIFS(RaceResults!$C:$C,RaceResults!$A:$A,$A297,RaceResults!$D:$D,E297))</f>
        <v/>
      </c>
      <c r="I297" s="11" t="str">
        <f>IF(F297="","",SUMIFS(RaceResults!$C:$C,RaceResults!$A:$A,$A297,RaceResults!$D:$D,F297))</f>
        <v/>
      </c>
      <c r="J297" s="11" t="str">
        <f>IF(D297="","",SUMIFS(RaceResults!$E:$E,RaceResults!$A:$A,$A297,RaceResults!$D:$D,D297))</f>
        <v/>
      </c>
      <c r="K297" s="11" t="str">
        <f>IF(E297="","",SUMIFS(RaceResults!$E:$E,RaceResults!$A:$A,$A297,RaceResults!$D:$D,E297))</f>
        <v/>
      </c>
      <c r="L297" s="11" t="str">
        <f>IF(F297="","",SUMIFS(RaceResults!$E:$E,RaceResults!$A:$A,$A297,RaceResults!$D:$D,F297))</f>
        <v/>
      </c>
      <c r="M297" s="11">
        <f t="shared" si="4"/>
        <v>0</v>
      </c>
    </row>
    <row r="298" spans="1:13" x14ac:dyDescent="0.3">
      <c r="A298" s="9">
        <v>30</v>
      </c>
      <c r="B298" s="9" t="s">
        <v>65</v>
      </c>
      <c r="C298" s="10" t="s">
        <v>29</v>
      </c>
      <c r="D298" s="3"/>
      <c r="E298" s="3"/>
      <c r="F298" s="3"/>
      <c r="G298" s="11" t="str">
        <f>IF(D298="","",SUMIFS(RaceResults!$C:$C,RaceResults!$A:$A,$A298,RaceResults!$D:$D,D298))</f>
        <v/>
      </c>
      <c r="H298" s="11" t="str">
        <f>IF(E298="","",SUMIFS(RaceResults!$C:$C,RaceResults!$A:$A,$A298,RaceResults!$D:$D,E298))</f>
        <v/>
      </c>
      <c r="I298" s="11" t="str">
        <f>IF(F298="","",SUMIFS(RaceResults!$C:$C,RaceResults!$A:$A,$A298,RaceResults!$D:$D,F298))</f>
        <v/>
      </c>
      <c r="J298" s="11" t="str">
        <f>IF(D298="","",SUMIFS(RaceResults!$E:$E,RaceResults!$A:$A,$A298,RaceResults!$D:$D,D298))</f>
        <v/>
      </c>
      <c r="K298" s="11" t="str">
        <f>IF(E298="","",SUMIFS(RaceResults!$E:$E,RaceResults!$A:$A,$A298,RaceResults!$D:$D,E298))</f>
        <v/>
      </c>
      <c r="L298" s="11" t="str">
        <f>IF(F298="","",SUMIFS(RaceResults!$E:$E,RaceResults!$A:$A,$A298,RaceResults!$D:$D,F298))</f>
        <v/>
      </c>
      <c r="M298" s="11">
        <f t="shared" si="4"/>
        <v>0</v>
      </c>
    </row>
    <row r="299" spans="1:13" x14ac:dyDescent="0.3">
      <c r="A299" s="9">
        <v>30</v>
      </c>
      <c r="B299" s="9" t="s">
        <v>65</v>
      </c>
      <c r="C299" s="10" t="s">
        <v>30</v>
      </c>
      <c r="D299" s="3"/>
      <c r="E299" s="3"/>
      <c r="F299" s="3"/>
      <c r="G299" s="11" t="str">
        <f>IF(D299="","",SUMIFS(RaceResults!$C:$C,RaceResults!$A:$A,$A299,RaceResults!$D:$D,D299))</f>
        <v/>
      </c>
      <c r="H299" s="11" t="str">
        <f>IF(E299="","",SUMIFS(RaceResults!$C:$C,RaceResults!$A:$A,$A299,RaceResults!$D:$D,E299))</f>
        <v/>
      </c>
      <c r="I299" s="11" t="str">
        <f>IF(F299="","",SUMIFS(RaceResults!$C:$C,RaceResults!$A:$A,$A299,RaceResults!$D:$D,F299))</f>
        <v/>
      </c>
      <c r="J299" s="11" t="str">
        <f>IF(D299="","",SUMIFS(RaceResults!$E:$E,RaceResults!$A:$A,$A299,RaceResults!$D:$D,D299))</f>
        <v/>
      </c>
      <c r="K299" s="11" t="str">
        <f>IF(E299="","",SUMIFS(RaceResults!$E:$E,RaceResults!$A:$A,$A299,RaceResults!$D:$D,E299))</f>
        <v/>
      </c>
      <c r="L299" s="11" t="str">
        <f>IF(F299="","",SUMIFS(RaceResults!$E:$E,RaceResults!$A:$A,$A299,RaceResults!$D:$D,F299))</f>
        <v/>
      </c>
      <c r="M299" s="11">
        <f t="shared" si="4"/>
        <v>0</v>
      </c>
    </row>
    <row r="300" spans="1:13" x14ac:dyDescent="0.3">
      <c r="A300" s="9">
        <v>30</v>
      </c>
      <c r="B300" s="9" t="s">
        <v>65</v>
      </c>
      <c r="C300" s="10" t="s">
        <v>31</v>
      </c>
      <c r="D300" s="3"/>
      <c r="E300" s="3"/>
      <c r="F300" s="3"/>
      <c r="G300" s="11" t="str">
        <f>IF(D300="","",SUMIFS(RaceResults!$C:$C,RaceResults!$A:$A,$A300,RaceResults!$D:$D,D300))</f>
        <v/>
      </c>
      <c r="H300" s="11" t="str">
        <f>IF(E300="","",SUMIFS(RaceResults!$C:$C,RaceResults!$A:$A,$A300,RaceResults!$D:$D,E300))</f>
        <v/>
      </c>
      <c r="I300" s="11" t="str">
        <f>IF(F300="","",SUMIFS(RaceResults!$C:$C,RaceResults!$A:$A,$A300,RaceResults!$D:$D,F300))</f>
        <v/>
      </c>
      <c r="J300" s="11" t="str">
        <f>IF(D300="","",SUMIFS(RaceResults!$E:$E,RaceResults!$A:$A,$A300,RaceResults!$D:$D,D300))</f>
        <v/>
      </c>
      <c r="K300" s="11" t="str">
        <f>IF(E300="","",SUMIFS(RaceResults!$E:$E,RaceResults!$A:$A,$A300,RaceResults!$D:$D,E300))</f>
        <v/>
      </c>
      <c r="L300" s="11" t="str">
        <f>IF(F300="","",SUMIFS(RaceResults!$E:$E,RaceResults!$A:$A,$A300,RaceResults!$D:$D,F300))</f>
        <v/>
      </c>
      <c r="M300" s="11">
        <f t="shared" si="4"/>
        <v>0</v>
      </c>
    </row>
    <row r="301" spans="1:13" x14ac:dyDescent="0.3">
      <c r="A301" s="9">
        <v>30</v>
      </c>
      <c r="B301" s="9" t="s">
        <v>65</v>
      </c>
      <c r="C301" s="10" t="s">
        <v>32</v>
      </c>
      <c r="D301" s="3"/>
      <c r="E301" s="3"/>
      <c r="F301" s="3"/>
      <c r="G301" s="11" t="str">
        <f>IF(D301="","",SUMIFS(RaceResults!$C:$C,RaceResults!$A:$A,$A301,RaceResults!$D:$D,D301))</f>
        <v/>
      </c>
      <c r="H301" s="11" t="str">
        <f>IF(E301="","",SUMIFS(RaceResults!$C:$C,RaceResults!$A:$A,$A301,RaceResults!$D:$D,E301))</f>
        <v/>
      </c>
      <c r="I301" s="11" t="str">
        <f>IF(F301="","",SUMIFS(RaceResults!$C:$C,RaceResults!$A:$A,$A301,RaceResults!$D:$D,F301))</f>
        <v/>
      </c>
      <c r="J301" s="11" t="str">
        <f>IF(D301="","",SUMIFS(RaceResults!$E:$E,RaceResults!$A:$A,$A301,RaceResults!$D:$D,D301))</f>
        <v/>
      </c>
      <c r="K301" s="11" t="str">
        <f>IF(E301="","",SUMIFS(RaceResults!$E:$E,RaceResults!$A:$A,$A301,RaceResults!$D:$D,E301))</f>
        <v/>
      </c>
      <c r="L301" s="11" t="str">
        <f>IF(F301="","",SUMIFS(RaceResults!$E:$E,RaceResults!$A:$A,$A301,RaceResults!$D:$D,F301))</f>
        <v/>
      </c>
      <c r="M301" s="11">
        <f t="shared" si="4"/>
        <v>0</v>
      </c>
    </row>
    <row r="302" spans="1:13" x14ac:dyDescent="0.3">
      <c r="A302" s="9">
        <v>31</v>
      </c>
      <c r="B302" s="9" t="s">
        <v>57</v>
      </c>
      <c r="C302" s="10" t="s">
        <v>21</v>
      </c>
      <c r="D302" s="3"/>
      <c r="E302" s="3"/>
      <c r="F302" s="3"/>
      <c r="G302" s="11" t="str">
        <f>IF(D302="","",SUMIFS(RaceResults!$C:$C,RaceResults!$A:$A,$A302,RaceResults!$D:$D,D302))</f>
        <v/>
      </c>
      <c r="H302" s="11" t="str">
        <f>IF(E302="","",SUMIFS(RaceResults!$C:$C,RaceResults!$A:$A,$A302,RaceResults!$D:$D,E302))</f>
        <v/>
      </c>
      <c r="I302" s="11" t="str">
        <f>IF(F302="","",SUMIFS(RaceResults!$C:$C,RaceResults!$A:$A,$A302,RaceResults!$D:$D,F302))</f>
        <v/>
      </c>
      <c r="J302" s="11" t="str">
        <f>IF(D302="","",SUMIFS(RaceResults!$E:$E,RaceResults!$A:$A,$A302,RaceResults!$D:$D,D302))</f>
        <v/>
      </c>
      <c r="K302" s="11" t="str">
        <f>IF(E302="","",SUMIFS(RaceResults!$E:$E,RaceResults!$A:$A,$A302,RaceResults!$D:$D,E302))</f>
        <v/>
      </c>
      <c r="L302" s="11" t="str">
        <f>IF(F302="","",SUMIFS(RaceResults!$E:$E,RaceResults!$A:$A,$A302,RaceResults!$D:$D,F302))</f>
        <v/>
      </c>
      <c r="M302" s="11">
        <f t="shared" si="4"/>
        <v>0</v>
      </c>
    </row>
    <row r="303" spans="1:13" x14ac:dyDescent="0.3">
      <c r="A303" s="9">
        <v>31</v>
      </c>
      <c r="B303" s="9" t="s">
        <v>57</v>
      </c>
      <c r="C303" s="10" t="s">
        <v>22</v>
      </c>
      <c r="D303" s="3"/>
      <c r="E303" s="3"/>
      <c r="F303" s="3"/>
      <c r="G303" s="11" t="str">
        <f>IF(D303="","",SUMIFS(RaceResults!$C:$C,RaceResults!$A:$A,$A303,RaceResults!$D:$D,D303))</f>
        <v/>
      </c>
      <c r="H303" s="11" t="str">
        <f>IF(E303="","",SUMIFS(RaceResults!$C:$C,RaceResults!$A:$A,$A303,RaceResults!$D:$D,E303))</f>
        <v/>
      </c>
      <c r="I303" s="11" t="str">
        <f>IF(F303="","",SUMIFS(RaceResults!$C:$C,RaceResults!$A:$A,$A303,RaceResults!$D:$D,F303))</f>
        <v/>
      </c>
      <c r="J303" s="11" t="str">
        <f>IF(D303="","",SUMIFS(RaceResults!$E:$E,RaceResults!$A:$A,$A303,RaceResults!$D:$D,D303))</f>
        <v/>
      </c>
      <c r="K303" s="11" t="str">
        <f>IF(E303="","",SUMIFS(RaceResults!$E:$E,RaceResults!$A:$A,$A303,RaceResults!$D:$D,E303))</f>
        <v/>
      </c>
      <c r="L303" s="11" t="str">
        <f>IF(F303="","",SUMIFS(RaceResults!$E:$E,RaceResults!$A:$A,$A303,RaceResults!$D:$D,F303))</f>
        <v/>
      </c>
      <c r="M303" s="11">
        <f t="shared" si="4"/>
        <v>0</v>
      </c>
    </row>
    <row r="304" spans="1:13" x14ac:dyDescent="0.3">
      <c r="A304" s="9">
        <v>31</v>
      </c>
      <c r="B304" s="9" t="s">
        <v>57</v>
      </c>
      <c r="C304" s="10" t="s">
        <v>25</v>
      </c>
      <c r="D304" s="3"/>
      <c r="E304" s="3"/>
      <c r="F304" s="3"/>
      <c r="G304" s="11" t="str">
        <f>IF(D304="","",SUMIFS(RaceResults!$C:$C,RaceResults!$A:$A,$A304,RaceResults!$D:$D,D304))</f>
        <v/>
      </c>
      <c r="H304" s="11" t="str">
        <f>IF(E304="","",SUMIFS(RaceResults!$C:$C,RaceResults!$A:$A,$A304,RaceResults!$D:$D,E304))</f>
        <v/>
      </c>
      <c r="I304" s="11" t="str">
        <f>IF(F304="","",SUMIFS(RaceResults!$C:$C,RaceResults!$A:$A,$A304,RaceResults!$D:$D,F304))</f>
        <v/>
      </c>
      <c r="J304" s="11" t="str">
        <f>IF(D304="","",SUMIFS(RaceResults!$E:$E,RaceResults!$A:$A,$A304,RaceResults!$D:$D,D304))</f>
        <v/>
      </c>
      <c r="K304" s="11" t="str">
        <f>IF(E304="","",SUMIFS(RaceResults!$E:$E,RaceResults!$A:$A,$A304,RaceResults!$D:$D,E304))</f>
        <v/>
      </c>
      <c r="L304" s="11" t="str">
        <f>IF(F304="","",SUMIFS(RaceResults!$E:$E,RaceResults!$A:$A,$A304,RaceResults!$D:$D,F304))</f>
        <v/>
      </c>
      <c r="M304" s="11">
        <f t="shared" si="4"/>
        <v>0</v>
      </c>
    </row>
    <row r="305" spans="1:13" x14ac:dyDescent="0.3">
      <c r="A305" s="9">
        <v>31</v>
      </c>
      <c r="B305" s="9" t="s">
        <v>57</v>
      </c>
      <c r="C305" s="10" t="s">
        <v>26</v>
      </c>
      <c r="D305" s="3"/>
      <c r="E305" s="3"/>
      <c r="F305" s="3"/>
      <c r="G305" s="11" t="str">
        <f>IF(D305="","",SUMIFS(RaceResults!$C:$C,RaceResults!$A:$A,$A305,RaceResults!$D:$D,D305))</f>
        <v/>
      </c>
      <c r="H305" s="11" t="str">
        <f>IF(E305="","",SUMIFS(RaceResults!$C:$C,RaceResults!$A:$A,$A305,RaceResults!$D:$D,E305))</f>
        <v/>
      </c>
      <c r="I305" s="11" t="str">
        <f>IF(F305="","",SUMIFS(RaceResults!$C:$C,RaceResults!$A:$A,$A305,RaceResults!$D:$D,F305))</f>
        <v/>
      </c>
      <c r="J305" s="11" t="str">
        <f>IF(D305="","",SUMIFS(RaceResults!$E:$E,RaceResults!$A:$A,$A305,RaceResults!$D:$D,D305))</f>
        <v/>
      </c>
      <c r="K305" s="11" t="str">
        <f>IF(E305="","",SUMIFS(RaceResults!$E:$E,RaceResults!$A:$A,$A305,RaceResults!$D:$D,E305))</f>
        <v/>
      </c>
      <c r="L305" s="11" t="str">
        <f>IF(F305="","",SUMIFS(RaceResults!$E:$E,RaceResults!$A:$A,$A305,RaceResults!$D:$D,F305))</f>
        <v/>
      </c>
      <c r="M305" s="11">
        <f t="shared" si="4"/>
        <v>0</v>
      </c>
    </row>
    <row r="306" spans="1:13" x14ac:dyDescent="0.3">
      <c r="A306" s="9">
        <v>31</v>
      </c>
      <c r="B306" s="9" t="s">
        <v>57</v>
      </c>
      <c r="C306" s="10" t="s">
        <v>27</v>
      </c>
      <c r="D306" s="3"/>
      <c r="E306" s="3"/>
      <c r="F306" s="3"/>
      <c r="G306" s="11" t="str">
        <f>IF(D306="","",SUMIFS(RaceResults!$C:$C,RaceResults!$A:$A,$A306,RaceResults!$D:$D,D306))</f>
        <v/>
      </c>
      <c r="H306" s="11" t="str">
        <f>IF(E306="","",SUMIFS(RaceResults!$C:$C,RaceResults!$A:$A,$A306,RaceResults!$D:$D,E306))</f>
        <v/>
      </c>
      <c r="I306" s="11" t="str">
        <f>IF(F306="","",SUMIFS(RaceResults!$C:$C,RaceResults!$A:$A,$A306,RaceResults!$D:$D,F306))</f>
        <v/>
      </c>
      <c r="J306" s="11" t="str">
        <f>IF(D306="","",SUMIFS(RaceResults!$E:$E,RaceResults!$A:$A,$A306,RaceResults!$D:$D,D306))</f>
        <v/>
      </c>
      <c r="K306" s="11" t="str">
        <f>IF(E306="","",SUMIFS(RaceResults!$E:$E,RaceResults!$A:$A,$A306,RaceResults!$D:$D,E306))</f>
        <v/>
      </c>
      <c r="L306" s="11" t="str">
        <f>IF(F306="","",SUMIFS(RaceResults!$E:$E,RaceResults!$A:$A,$A306,RaceResults!$D:$D,F306))</f>
        <v/>
      </c>
      <c r="M306" s="11">
        <f t="shared" si="4"/>
        <v>0</v>
      </c>
    </row>
    <row r="307" spans="1:13" x14ac:dyDescent="0.3">
      <c r="A307" s="9">
        <v>31</v>
      </c>
      <c r="B307" s="9" t="s">
        <v>57</v>
      </c>
      <c r="C307" s="10" t="s">
        <v>28</v>
      </c>
      <c r="D307" s="3"/>
      <c r="E307" s="3"/>
      <c r="F307" s="3"/>
      <c r="G307" s="11" t="str">
        <f>IF(D307="","",SUMIFS(RaceResults!$C:$C,RaceResults!$A:$A,$A307,RaceResults!$D:$D,D307))</f>
        <v/>
      </c>
      <c r="H307" s="11" t="str">
        <f>IF(E307="","",SUMIFS(RaceResults!$C:$C,RaceResults!$A:$A,$A307,RaceResults!$D:$D,E307))</f>
        <v/>
      </c>
      <c r="I307" s="11" t="str">
        <f>IF(F307="","",SUMIFS(RaceResults!$C:$C,RaceResults!$A:$A,$A307,RaceResults!$D:$D,F307))</f>
        <v/>
      </c>
      <c r="J307" s="11" t="str">
        <f>IF(D307="","",SUMIFS(RaceResults!$E:$E,RaceResults!$A:$A,$A307,RaceResults!$D:$D,D307))</f>
        <v/>
      </c>
      <c r="K307" s="11" t="str">
        <f>IF(E307="","",SUMIFS(RaceResults!$E:$E,RaceResults!$A:$A,$A307,RaceResults!$D:$D,E307))</f>
        <v/>
      </c>
      <c r="L307" s="11" t="str">
        <f>IF(F307="","",SUMIFS(RaceResults!$E:$E,RaceResults!$A:$A,$A307,RaceResults!$D:$D,F307))</f>
        <v/>
      </c>
      <c r="M307" s="11">
        <f t="shared" si="4"/>
        <v>0</v>
      </c>
    </row>
    <row r="308" spans="1:13" x14ac:dyDescent="0.3">
      <c r="A308" s="9">
        <v>31</v>
      </c>
      <c r="B308" s="9" t="s">
        <v>57</v>
      </c>
      <c r="C308" s="10" t="s">
        <v>29</v>
      </c>
      <c r="D308" s="3"/>
      <c r="E308" s="3"/>
      <c r="F308" s="3"/>
      <c r="G308" s="11" t="str">
        <f>IF(D308="","",SUMIFS(RaceResults!$C:$C,RaceResults!$A:$A,$A308,RaceResults!$D:$D,D308))</f>
        <v/>
      </c>
      <c r="H308" s="11" t="str">
        <f>IF(E308="","",SUMIFS(RaceResults!$C:$C,RaceResults!$A:$A,$A308,RaceResults!$D:$D,E308))</f>
        <v/>
      </c>
      <c r="I308" s="11" t="str">
        <f>IF(F308="","",SUMIFS(RaceResults!$C:$C,RaceResults!$A:$A,$A308,RaceResults!$D:$D,F308))</f>
        <v/>
      </c>
      <c r="J308" s="11" t="str">
        <f>IF(D308="","",SUMIFS(RaceResults!$E:$E,RaceResults!$A:$A,$A308,RaceResults!$D:$D,D308))</f>
        <v/>
      </c>
      <c r="K308" s="11" t="str">
        <f>IF(E308="","",SUMIFS(RaceResults!$E:$E,RaceResults!$A:$A,$A308,RaceResults!$D:$D,E308))</f>
        <v/>
      </c>
      <c r="L308" s="11" t="str">
        <f>IF(F308="","",SUMIFS(RaceResults!$E:$E,RaceResults!$A:$A,$A308,RaceResults!$D:$D,F308))</f>
        <v/>
      </c>
      <c r="M308" s="11">
        <f t="shared" si="4"/>
        <v>0</v>
      </c>
    </row>
    <row r="309" spans="1:13" x14ac:dyDescent="0.3">
      <c r="A309" s="9">
        <v>31</v>
      </c>
      <c r="B309" s="9" t="s">
        <v>57</v>
      </c>
      <c r="C309" s="10" t="s">
        <v>30</v>
      </c>
      <c r="D309" s="3"/>
      <c r="E309" s="3"/>
      <c r="F309" s="3"/>
      <c r="G309" s="11" t="str">
        <f>IF(D309="","",SUMIFS(RaceResults!$C:$C,RaceResults!$A:$A,$A309,RaceResults!$D:$D,D309))</f>
        <v/>
      </c>
      <c r="H309" s="11" t="str">
        <f>IF(E309="","",SUMIFS(RaceResults!$C:$C,RaceResults!$A:$A,$A309,RaceResults!$D:$D,E309))</f>
        <v/>
      </c>
      <c r="I309" s="11" t="str">
        <f>IF(F309="","",SUMIFS(RaceResults!$C:$C,RaceResults!$A:$A,$A309,RaceResults!$D:$D,F309))</f>
        <v/>
      </c>
      <c r="J309" s="11" t="str">
        <f>IF(D309="","",SUMIFS(RaceResults!$E:$E,RaceResults!$A:$A,$A309,RaceResults!$D:$D,D309))</f>
        <v/>
      </c>
      <c r="K309" s="11" t="str">
        <f>IF(E309="","",SUMIFS(RaceResults!$E:$E,RaceResults!$A:$A,$A309,RaceResults!$D:$D,E309))</f>
        <v/>
      </c>
      <c r="L309" s="11" t="str">
        <f>IF(F309="","",SUMIFS(RaceResults!$E:$E,RaceResults!$A:$A,$A309,RaceResults!$D:$D,F309))</f>
        <v/>
      </c>
      <c r="M309" s="11">
        <f t="shared" si="4"/>
        <v>0</v>
      </c>
    </row>
    <row r="310" spans="1:13" x14ac:dyDescent="0.3">
      <c r="A310" s="9">
        <v>31</v>
      </c>
      <c r="B310" s="9" t="s">
        <v>57</v>
      </c>
      <c r="C310" s="10" t="s">
        <v>31</v>
      </c>
      <c r="D310" s="3"/>
      <c r="E310" s="3"/>
      <c r="F310" s="3"/>
      <c r="G310" s="11" t="str">
        <f>IF(D310="","",SUMIFS(RaceResults!$C:$C,RaceResults!$A:$A,$A310,RaceResults!$D:$D,D310))</f>
        <v/>
      </c>
      <c r="H310" s="11" t="str">
        <f>IF(E310="","",SUMIFS(RaceResults!$C:$C,RaceResults!$A:$A,$A310,RaceResults!$D:$D,E310))</f>
        <v/>
      </c>
      <c r="I310" s="11" t="str">
        <f>IF(F310="","",SUMIFS(RaceResults!$C:$C,RaceResults!$A:$A,$A310,RaceResults!$D:$D,F310))</f>
        <v/>
      </c>
      <c r="J310" s="11" t="str">
        <f>IF(D310="","",SUMIFS(RaceResults!$E:$E,RaceResults!$A:$A,$A310,RaceResults!$D:$D,D310))</f>
        <v/>
      </c>
      <c r="K310" s="11" t="str">
        <f>IF(E310="","",SUMIFS(RaceResults!$E:$E,RaceResults!$A:$A,$A310,RaceResults!$D:$D,E310))</f>
        <v/>
      </c>
      <c r="L310" s="11" t="str">
        <f>IF(F310="","",SUMIFS(RaceResults!$E:$E,RaceResults!$A:$A,$A310,RaceResults!$D:$D,F310))</f>
        <v/>
      </c>
      <c r="M310" s="11">
        <f t="shared" si="4"/>
        <v>0</v>
      </c>
    </row>
    <row r="311" spans="1:13" x14ac:dyDescent="0.3">
      <c r="A311" s="9">
        <v>31</v>
      </c>
      <c r="B311" s="9" t="s">
        <v>57</v>
      </c>
      <c r="C311" s="10" t="s">
        <v>32</v>
      </c>
      <c r="D311" s="3"/>
      <c r="E311" s="3"/>
      <c r="F311" s="3"/>
      <c r="G311" s="11" t="str">
        <f>IF(D311="","",SUMIFS(RaceResults!$C:$C,RaceResults!$A:$A,$A311,RaceResults!$D:$D,D311))</f>
        <v/>
      </c>
      <c r="H311" s="11" t="str">
        <f>IF(E311="","",SUMIFS(RaceResults!$C:$C,RaceResults!$A:$A,$A311,RaceResults!$D:$D,E311))</f>
        <v/>
      </c>
      <c r="I311" s="11" t="str">
        <f>IF(F311="","",SUMIFS(RaceResults!$C:$C,RaceResults!$A:$A,$A311,RaceResults!$D:$D,F311))</f>
        <v/>
      </c>
      <c r="J311" s="11" t="str">
        <f>IF(D311="","",SUMIFS(RaceResults!$E:$E,RaceResults!$A:$A,$A311,RaceResults!$D:$D,D311))</f>
        <v/>
      </c>
      <c r="K311" s="11" t="str">
        <f>IF(E311="","",SUMIFS(RaceResults!$E:$E,RaceResults!$A:$A,$A311,RaceResults!$D:$D,E311))</f>
        <v/>
      </c>
      <c r="L311" s="11" t="str">
        <f>IF(F311="","",SUMIFS(RaceResults!$E:$E,RaceResults!$A:$A,$A311,RaceResults!$D:$D,F311))</f>
        <v/>
      </c>
      <c r="M311" s="11">
        <f t="shared" si="4"/>
        <v>0</v>
      </c>
    </row>
    <row r="312" spans="1:13" x14ac:dyDescent="0.3">
      <c r="A312" s="9">
        <v>32</v>
      </c>
      <c r="B312" s="9" t="s">
        <v>73</v>
      </c>
      <c r="C312" s="10" t="s">
        <v>21</v>
      </c>
      <c r="D312" s="3"/>
      <c r="E312" s="3"/>
      <c r="F312" s="3"/>
      <c r="G312" s="11" t="str">
        <f>IF(D312="","",SUMIFS(RaceResults!$C:$C,RaceResults!$A:$A,$A312,RaceResults!$D:$D,D312))</f>
        <v/>
      </c>
      <c r="H312" s="11" t="str">
        <f>IF(E312="","",SUMIFS(RaceResults!$C:$C,RaceResults!$A:$A,$A312,RaceResults!$D:$D,E312))</f>
        <v/>
      </c>
      <c r="I312" s="11" t="str">
        <f>IF(F312="","",SUMIFS(RaceResults!$C:$C,RaceResults!$A:$A,$A312,RaceResults!$D:$D,F312))</f>
        <v/>
      </c>
      <c r="J312" s="11" t="str">
        <f>IF(D312="","",SUMIFS(RaceResults!$E:$E,RaceResults!$A:$A,$A312,RaceResults!$D:$D,D312))</f>
        <v/>
      </c>
      <c r="K312" s="11" t="str">
        <f>IF(E312="","",SUMIFS(RaceResults!$E:$E,RaceResults!$A:$A,$A312,RaceResults!$D:$D,E312))</f>
        <v/>
      </c>
      <c r="L312" s="11" t="str">
        <f>IF(F312="","",SUMIFS(RaceResults!$E:$E,RaceResults!$A:$A,$A312,RaceResults!$D:$D,F312))</f>
        <v/>
      </c>
      <c r="M312" s="11">
        <f t="shared" si="4"/>
        <v>0</v>
      </c>
    </row>
    <row r="313" spans="1:13" x14ac:dyDescent="0.3">
      <c r="A313" s="9">
        <v>32</v>
      </c>
      <c r="B313" s="9" t="s">
        <v>73</v>
      </c>
      <c r="C313" s="10" t="s">
        <v>22</v>
      </c>
      <c r="D313" s="3"/>
      <c r="E313" s="3"/>
      <c r="F313" s="3"/>
      <c r="G313" s="11" t="str">
        <f>IF(D313="","",SUMIFS(RaceResults!$C:$C,RaceResults!$A:$A,$A313,RaceResults!$D:$D,D313))</f>
        <v/>
      </c>
      <c r="H313" s="11" t="str">
        <f>IF(E313="","",SUMIFS(RaceResults!$C:$C,RaceResults!$A:$A,$A313,RaceResults!$D:$D,E313))</f>
        <v/>
      </c>
      <c r="I313" s="11" t="str">
        <f>IF(F313="","",SUMIFS(RaceResults!$C:$C,RaceResults!$A:$A,$A313,RaceResults!$D:$D,F313))</f>
        <v/>
      </c>
      <c r="J313" s="11" t="str">
        <f>IF(D313="","",SUMIFS(RaceResults!$E:$E,RaceResults!$A:$A,$A313,RaceResults!$D:$D,D313))</f>
        <v/>
      </c>
      <c r="K313" s="11" t="str">
        <f>IF(E313="","",SUMIFS(RaceResults!$E:$E,RaceResults!$A:$A,$A313,RaceResults!$D:$D,E313))</f>
        <v/>
      </c>
      <c r="L313" s="11" t="str">
        <f>IF(F313="","",SUMIFS(RaceResults!$E:$E,RaceResults!$A:$A,$A313,RaceResults!$D:$D,F313))</f>
        <v/>
      </c>
      <c r="M313" s="11">
        <f t="shared" si="4"/>
        <v>0</v>
      </c>
    </row>
    <row r="314" spans="1:13" x14ac:dyDescent="0.3">
      <c r="A314" s="9">
        <v>32</v>
      </c>
      <c r="B314" s="9" t="s">
        <v>73</v>
      </c>
      <c r="C314" s="10" t="s">
        <v>25</v>
      </c>
      <c r="D314" s="3"/>
      <c r="E314" s="3"/>
      <c r="F314" s="3"/>
      <c r="G314" s="11" t="str">
        <f>IF(D314="","",SUMIFS(RaceResults!$C:$C,RaceResults!$A:$A,$A314,RaceResults!$D:$D,D314))</f>
        <v/>
      </c>
      <c r="H314" s="11" t="str">
        <f>IF(E314="","",SUMIFS(RaceResults!$C:$C,RaceResults!$A:$A,$A314,RaceResults!$D:$D,E314))</f>
        <v/>
      </c>
      <c r="I314" s="11" t="str">
        <f>IF(F314="","",SUMIFS(RaceResults!$C:$C,RaceResults!$A:$A,$A314,RaceResults!$D:$D,F314))</f>
        <v/>
      </c>
      <c r="J314" s="11" t="str">
        <f>IF(D314="","",SUMIFS(RaceResults!$E:$E,RaceResults!$A:$A,$A314,RaceResults!$D:$D,D314))</f>
        <v/>
      </c>
      <c r="K314" s="11" t="str">
        <f>IF(E314="","",SUMIFS(RaceResults!$E:$E,RaceResults!$A:$A,$A314,RaceResults!$D:$D,E314))</f>
        <v/>
      </c>
      <c r="L314" s="11" t="str">
        <f>IF(F314="","",SUMIFS(RaceResults!$E:$E,RaceResults!$A:$A,$A314,RaceResults!$D:$D,F314))</f>
        <v/>
      </c>
      <c r="M314" s="11">
        <f t="shared" si="4"/>
        <v>0</v>
      </c>
    </row>
    <row r="315" spans="1:13" x14ac:dyDescent="0.3">
      <c r="A315" s="9">
        <v>32</v>
      </c>
      <c r="B315" s="9" t="s">
        <v>73</v>
      </c>
      <c r="C315" s="10" t="s">
        <v>26</v>
      </c>
      <c r="D315" s="3"/>
      <c r="E315" s="3"/>
      <c r="F315" s="3"/>
      <c r="G315" s="11" t="str">
        <f>IF(D315="","",SUMIFS(RaceResults!$C:$C,RaceResults!$A:$A,$A315,RaceResults!$D:$D,D315))</f>
        <v/>
      </c>
      <c r="H315" s="11" t="str">
        <f>IF(E315="","",SUMIFS(RaceResults!$C:$C,RaceResults!$A:$A,$A315,RaceResults!$D:$D,E315))</f>
        <v/>
      </c>
      <c r="I315" s="11" t="str">
        <f>IF(F315="","",SUMIFS(RaceResults!$C:$C,RaceResults!$A:$A,$A315,RaceResults!$D:$D,F315))</f>
        <v/>
      </c>
      <c r="J315" s="11" t="str">
        <f>IF(D315="","",SUMIFS(RaceResults!$E:$E,RaceResults!$A:$A,$A315,RaceResults!$D:$D,D315))</f>
        <v/>
      </c>
      <c r="K315" s="11" t="str">
        <f>IF(E315="","",SUMIFS(RaceResults!$E:$E,RaceResults!$A:$A,$A315,RaceResults!$D:$D,E315))</f>
        <v/>
      </c>
      <c r="L315" s="11" t="str">
        <f>IF(F315="","",SUMIFS(RaceResults!$E:$E,RaceResults!$A:$A,$A315,RaceResults!$D:$D,F315))</f>
        <v/>
      </c>
      <c r="M315" s="11">
        <f t="shared" si="4"/>
        <v>0</v>
      </c>
    </row>
    <row r="316" spans="1:13" x14ac:dyDescent="0.3">
      <c r="A316" s="9">
        <v>32</v>
      </c>
      <c r="B316" s="9" t="s">
        <v>73</v>
      </c>
      <c r="C316" s="10" t="s">
        <v>27</v>
      </c>
      <c r="D316" s="3"/>
      <c r="E316" s="3"/>
      <c r="F316" s="3"/>
      <c r="G316" s="11" t="str">
        <f>IF(D316="","",SUMIFS(RaceResults!$C:$C,RaceResults!$A:$A,$A316,RaceResults!$D:$D,D316))</f>
        <v/>
      </c>
      <c r="H316" s="11" t="str">
        <f>IF(E316="","",SUMIFS(RaceResults!$C:$C,RaceResults!$A:$A,$A316,RaceResults!$D:$D,E316))</f>
        <v/>
      </c>
      <c r="I316" s="11" t="str">
        <f>IF(F316="","",SUMIFS(RaceResults!$C:$C,RaceResults!$A:$A,$A316,RaceResults!$D:$D,F316))</f>
        <v/>
      </c>
      <c r="J316" s="11" t="str">
        <f>IF(D316="","",SUMIFS(RaceResults!$E:$E,RaceResults!$A:$A,$A316,RaceResults!$D:$D,D316))</f>
        <v/>
      </c>
      <c r="K316" s="11" t="str">
        <f>IF(E316="","",SUMIFS(RaceResults!$E:$E,RaceResults!$A:$A,$A316,RaceResults!$D:$D,E316))</f>
        <v/>
      </c>
      <c r="L316" s="11" t="str">
        <f>IF(F316="","",SUMIFS(RaceResults!$E:$E,RaceResults!$A:$A,$A316,RaceResults!$D:$D,F316))</f>
        <v/>
      </c>
      <c r="M316" s="11">
        <f t="shared" si="4"/>
        <v>0</v>
      </c>
    </row>
    <row r="317" spans="1:13" x14ac:dyDescent="0.3">
      <c r="A317" s="9">
        <v>32</v>
      </c>
      <c r="B317" s="9" t="s">
        <v>73</v>
      </c>
      <c r="C317" s="10" t="s">
        <v>28</v>
      </c>
      <c r="D317" s="3"/>
      <c r="E317" s="3"/>
      <c r="F317" s="3"/>
      <c r="G317" s="11" t="str">
        <f>IF(D317="","",SUMIFS(RaceResults!$C:$C,RaceResults!$A:$A,$A317,RaceResults!$D:$D,D317))</f>
        <v/>
      </c>
      <c r="H317" s="11" t="str">
        <f>IF(E317="","",SUMIFS(RaceResults!$C:$C,RaceResults!$A:$A,$A317,RaceResults!$D:$D,E317))</f>
        <v/>
      </c>
      <c r="I317" s="11" t="str">
        <f>IF(F317="","",SUMIFS(RaceResults!$C:$C,RaceResults!$A:$A,$A317,RaceResults!$D:$D,F317))</f>
        <v/>
      </c>
      <c r="J317" s="11" t="str">
        <f>IF(D317="","",SUMIFS(RaceResults!$E:$E,RaceResults!$A:$A,$A317,RaceResults!$D:$D,D317))</f>
        <v/>
      </c>
      <c r="K317" s="11" t="str">
        <f>IF(E317="","",SUMIFS(RaceResults!$E:$E,RaceResults!$A:$A,$A317,RaceResults!$D:$D,E317))</f>
        <v/>
      </c>
      <c r="L317" s="11" t="str">
        <f>IF(F317="","",SUMIFS(RaceResults!$E:$E,RaceResults!$A:$A,$A317,RaceResults!$D:$D,F317))</f>
        <v/>
      </c>
      <c r="M317" s="11">
        <f t="shared" si="4"/>
        <v>0</v>
      </c>
    </row>
    <row r="318" spans="1:13" x14ac:dyDescent="0.3">
      <c r="A318" s="9">
        <v>32</v>
      </c>
      <c r="B318" s="9" t="s">
        <v>73</v>
      </c>
      <c r="C318" s="10" t="s">
        <v>29</v>
      </c>
      <c r="D318" s="3"/>
      <c r="E318" s="3"/>
      <c r="F318" s="3"/>
      <c r="G318" s="11" t="str">
        <f>IF(D318="","",SUMIFS(RaceResults!$C:$C,RaceResults!$A:$A,$A318,RaceResults!$D:$D,D318))</f>
        <v/>
      </c>
      <c r="H318" s="11" t="str">
        <f>IF(E318="","",SUMIFS(RaceResults!$C:$C,RaceResults!$A:$A,$A318,RaceResults!$D:$D,E318))</f>
        <v/>
      </c>
      <c r="I318" s="11" t="str">
        <f>IF(F318="","",SUMIFS(RaceResults!$C:$C,RaceResults!$A:$A,$A318,RaceResults!$D:$D,F318))</f>
        <v/>
      </c>
      <c r="J318" s="11" t="str">
        <f>IF(D318="","",SUMIFS(RaceResults!$E:$E,RaceResults!$A:$A,$A318,RaceResults!$D:$D,D318))</f>
        <v/>
      </c>
      <c r="K318" s="11" t="str">
        <f>IF(E318="","",SUMIFS(RaceResults!$E:$E,RaceResults!$A:$A,$A318,RaceResults!$D:$D,E318))</f>
        <v/>
      </c>
      <c r="L318" s="11" t="str">
        <f>IF(F318="","",SUMIFS(RaceResults!$E:$E,RaceResults!$A:$A,$A318,RaceResults!$D:$D,F318))</f>
        <v/>
      </c>
      <c r="M318" s="11">
        <f t="shared" si="4"/>
        <v>0</v>
      </c>
    </row>
    <row r="319" spans="1:13" x14ac:dyDescent="0.3">
      <c r="A319" s="9">
        <v>32</v>
      </c>
      <c r="B319" s="9" t="s">
        <v>73</v>
      </c>
      <c r="C319" s="10" t="s">
        <v>30</v>
      </c>
      <c r="D319" s="3"/>
      <c r="E319" s="3"/>
      <c r="F319" s="3"/>
      <c r="G319" s="11" t="str">
        <f>IF(D319="","",SUMIFS(RaceResults!$C:$C,RaceResults!$A:$A,$A319,RaceResults!$D:$D,D319))</f>
        <v/>
      </c>
      <c r="H319" s="11" t="str">
        <f>IF(E319="","",SUMIFS(RaceResults!$C:$C,RaceResults!$A:$A,$A319,RaceResults!$D:$D,E319))</f>
        <v/>
      </c>
      <c r="I319" s="11" t="str">
        <f>IF(F319="","",SUMIFS(RaceResults!$C:$C,RaceResults!$A:$A,$A319,RaceResults!$D:$D,F319))</f>
        <v/>
      </c>
      <c r="J319" s="11" t="str">
        <f>IF(D319="","",SUMIFS(RaceResults!$E:$E,RaceResults!$A:$A,$A319,RaceResults!$D:$D,D319))</f>
        <v/>
      </c>
      <c r="K319" s="11" t="str">
        <f>IF(E319="","",SUMIFS(RaceResults!$E:$E,RaceResults!$A:$A,$A319,RaceResults!$D:$D,E319))</f>
        <v/>
      </c>
      <c r="L319" s="11" t="str">
        <f>IF(F319="","",SUMIFS(RaceResults!$E:$E,RaceResults!$A:$A,$A319,RaceResults!$D:$D,F319))</f>
        <v/>
      </c>
      <c r="M319" s="11">
        <f t="shared" si="4"/>
        <v>0</v>
      </c>
    </row>
    <row r="320" spans="1:13" x14ac:dyDescent="0.3">
      <c r="A320" s="9">
        <v>32</v>
      </c>
      <c r="B320" s="9" t="s">
        <v>73</v>
      </c>
      <c r="C320" s="10" t="s">
        <v>31</v>
      </c>
      <c r="D320" s="3"/>
      <c r="E320" s="3"/>
      <c r="F320" s="3"/>
      <c r="G320" s="11" t="str">
        <f>IF(D320="","",SUMIFS(RaceResults!$C:$C,RaceResults!$A:$A,$A320,RaceResults!$D:$D,D320))</f>
        <v/>
      </c>
      <c r="H320" s="11" t="str">
        <f>IF(E320="","",SUMIFS(RaceResults!$C:$C,RaceResults!$A:$A,$A320,RaceResults!$D:$D,E320))</f>
        <v/>
      </c>
      <c r="I320" s="11" t="str">
        <f>IF(F320="","",SUMIFS(RaceResults!$C:$C,RaceResults!$A:$A,$A320,RaceResults!$D:$D,F320))</f>
        <v/>
      </c>
      <c r="J320" s="11" t="str">
        <f>IF(D320="","",SUMIFS(RaceResults!$E:$E,RaceResults!$A:$A,$A320,RaceResults!$D:$D,D320))</f>
        <v/>
      </c>
      <c r="K320" s="11" t="str">
        <f>IF(E320="","",SUMIFS(RaceResults!$E:$E,RaceResults!$A:$A,$A320,RaceResults!$D:$D,E320))</f>
        <v/>
      </c>
      <c r="L320" s="11" t="str">
        <f>IF(F320="","",SUMIFS(RaceResults!$E:$E,RaceResults!$A:$A,$A320,RaceResults!$D:$D,F320))</f>
        <v/>
      </c>
      <c r="M320" s="11">
        <f t="shared" si="4"/>
        <v>0</v>
      </c>
    </row>
    <row r="321" spans="1:13" x14ac:dyDescent="0.3">
      <c r="A321" s="9">
        <v>32</v>
      </c>
      <c r="B321" s="9" t="s">
        <v>73</v>
      </c>
      <c r="C321" s="10" t="s">
        <v>32</v>
      </c>
      <c r="D321" s="3"/>
      <c r="E321" s="3"/>
      <c r="F321" s="3"/>
      <c r="G321" s="11" t="str">
        <f>IF(D321="","",SUMIFS(RaceResults!$C:$C,RaceResults!$A:$A,$A321,RaceResults!$D:$D,D321))</f>
        <v/>
      </c>
      <c r="H321" s="11" t="str">
        <f>IF(E321="","",SUMIFS(RaceResults!$C:$C,RaceResults!$A:$A,$A321,RaceResults!$D:$D,E321))</f>
        <v/>
      </c>
      <c r="I321" s="11" t="str">
        <f>IF(F321="","",SUMIFS(RaceResults!$C:$C,RaceResults!$A:$A,$A321,RaceResults!$D:$D,F321))</f>
        <v/>
      </c>
      <c r="J321" s="11" t="str">
        <f>IF(D321="","",SUMIFS(RaceResults!$E:$E,RaceResults!$A:$A,$A321,RaceResults!$D:$D,D321))</f>
        <v/>
      </c>
      <c r="K321" s="11" t="str">
        <f>IF(E321="","",SUMIFS(RaceResults!$E:$E,RaceResults!$A:$A,$A321,RaceResults!$D:$D,E321))</f>
        <v/>
      </c>
      <c r="L321" s="11" t="str">
        <f>IF(F321="","",SUMIFS(RaceResults!$E:$E,RaceResults!$A:$A,$A321,RaceResults!$D:$D,F321))</f>
        <v/>
      </c>
      <c r="M321" s="11">
        <f t="shared" si="4"/>
        <v>0</v>
      </c>
    </row>
    <row r="322" spans="1:13" x14ac:dyDescent="0.3">
      <c r="A322" s="9">
        <v>33</v>
      </c>
      <c r="B322" s="9" t="s">
        <v>54</v>
      </c>
      <c r="C322" s="10" t="s">
        <v>21</v>
      </c>
      <c r="D322" s="3"/>
      <c r="E322" s="3"/>
      <c r="F322" s="3"/>
      <c r="G322" s="11" t="str">
        <f>IF(D322="","",SUMIFS(RaceResults!$C:$C,RaceResults!$A:$A,$A322,RaceResults!$D:$D,D322))</f>
        <v/>
      </c>
      <c r="H322" s="11" t="str">
        <f>IF(E322="","",SUMIFS(RaceResults!$C:$C,RaceResults!$A:$A,$A322,RaceResults!$D:$D,E322))</f>
        <v/>
      </c>
      <c r="I322" s="11" t="str">
        <f>IF(F322="","",SUMIFS(RaceResults!$C:$C,RaceResults!$A:$A,$A322,RaceResults!$D:$D,F322))</f>
        <v/>
      </c>
      <c r="J322" s="11" t="str">
        <f>IF(D322="","",SUMIFS(RaceResults!$E:$E,RaceResults!$A:$A,$A322,RaceResults!$D:$D,D322))</f>
        <v/>
      </c>
      <c r="K322" s="11" t="str">
        <f>IF(E322="","",SUMIFS(RaceResults!$E:$E,RaceResults!$A:$A,$A322,RaceResults!$D:$D,E322))</f>
        <v/>
      </c>
      <c r="L322" s="11" t="str">
        <f>IF(F322="","",SUMIFS(RaceResults!$E:$E,RaceResults!$A:$A,$A322,RaceResults!$D:$D,F322))</f>
        <v/>
      </c>
      <c r="M322" s="11">
        <f t="shared" ref="M322:M361" si="5">SUM(J322:L322)</f>
        <v>0</v>
      </c>
    </row>
    <row r="323" spans="1:13" x14ac:dyDescent="0.3">
      <c r="A323" s="9">
        <v>33</v>
      </c>
      <c r="B323" s="9" t="s">
        <v>54</v>
      </c>
      <c r="C323" s="10" t="s">
        <v>22</v>
      </c>
      <c r="D323" s="3"/>
      <c r="E323" s="3"/>
      <c r="F323" s="3"/>
      <c r="G323" s="11" t="str">
        <f>IF(D323="","",SUMIFS(RaceResults!$C:$C,RaceResults!$A:$A,$A323,RaceResults!$D:$D,D323))</f>
        <v/>
      </c>
      <c r="H323" s="11" t="str">
        <f>IF(E323="","",SUMIFS(RaceResults!$C:$C,RaceResults!$A:$A,$A323,RaceResults!$D:$D,E323))</f>
        <v/>
      </c>
      <c r="I323" s="11" t="str">
        <f>IF(F323="","",SUMIFS(RaceResults!$C:$C,RaceResults!$A:$A,$A323,RaceResults!$D:$D,F323))</f>
        <v/>
      </c>
      <c r="J323" s="11" t="str">
        <f>IF(D323="","",SUMIFS(RaceResults!$E:$E,RaceResults!$A:$A,$A323,RaceResults!$D:$D,D323))</f>
        <v/>
      </c>
      <c r="K323" s="11" t="str">
        <f>IF(E323="","",SUMIFS(RaceResults!$E:$E,RaceResults!$A:$A,$A323,RaceResults!$D:$D,E323))</f>
        <v/>
      </c>
      <c r="L323" s="11" t="str">
        <f>IF(F323="","",SUMIFS(RaceResults!$E:$E,RaceResults!$A:$A,$A323,RaceResults!$D:$D,F323))</f>
        <v/>
      </c>
      <c r="M323" s="11">
        <f t="shared" si="5"/>
        <v>0</v>
      </c>
    </row>
    <row r="324" spans="1:13" x14ac:dyDescent="0.3">
      <c r="A324" s="9">
        <v>33</v>
      </c>
      <c r="B324" s="9" t="s">
        <v>54</v>
      </c>
      <c r="C324" s="10" t="s">
        <v>25</v>
      </c>
      <c r="D324" s="3"/>
      <c r="E324" s="3"/>
      <c r="F324" s="3"/>
      <c r="G324" s="11" t="str">
        <f>IF(D324="","",SUMIFS(RaceResults!$C:$C,RaceResults!$A:$A,$A324,RaceResults!$D:$D,D324))</f>
        <v/>
      </c>
      <c r="H324" s="11" t="str">
        <f>IF(E324="","",SUMIFS(RaceResults!$C:$C,RaceResults!$A:$A,$A324,RaceResults!$D:$D,E324))</f>
        <v/>
      </c>
      <c r="I324" s="11" t="str">
        <f>IF(F324="","",SUMIFS(RaceResults!$C:$C,RaceResults!$A:$A,$A324,RaceResults!$D:$D,F324))</f>
        <v/>
      </c>
      <c r="J324" s="11" t="str">
        <f>IF(D324="","",SUMIFS(RaceResults!$E:$E,RaceResults!$A:$A,$A324,RaceResults!$D:$D,D324))</f>
        <v/>
      </c>
      <c r="K324" s="11" t="str">
        <f>IF(E324="","",SUMIFS(RaceResults!$E:$E,RaceResults!$A:$A,$A324,RaceResults!$D:$D,E324))</f>
        <v/>
      </c>
      <c r="L324" s="11" t="str">
        <f>IF(F324="","",SUMIFS(RaceResults!$E:$E,RaceResults!$A:$A,$A324,RaceResults!$D:$D,F324))</f>
        <v/>
      </c>
      <c r="M324" s="11">
        <f t="shared" si="5"/>
        <v>0</v>
      </c>
    </row>
    <row r="325" spans="1:13" x14ac:dyDescent="0.3">
      <c r="A325" s="9">
        <v>33</v>
      </c>
      <c r="B325" s="9" t="s">
        <v>54</v>
      </c>
      <c r="C325" s="10" t="s">
        <v>26</v>
      </c>
      <c r="D325" s="3"/>
      <c r="E325" s="3"/>
      <c r="F325" s="3"/>
      <c r="G325" s="11" t="str">
        <f>IF(D325="","",SUMIFS(RaceResults!$C:$C,RaceResults!$A:$A,$A325,RaceResults!$D:$D,D325))</f>
        <v/>
      </c>
      <c r="H325" s="11" t="str">
        <f>IF(E325="","",SUMIFS(RaceResults!$C:$C,RaceResults!$A:$A,$A325,RaceResults!$D:$D,E325))</f>
        <v/>
      </c>
      <c r="I325" s="11" t="str">
        <f>IF(F325="","",SUMIFS(RaceResults!$C:$C,RaceResults!$A:$A,$A325,RaceResults!$D:$D,F325))</f>
        <v/>
      </c>
      <c r="J325" s="11" t="str">
        <f>IF(D325="","",SUMIFS(RaceResults!$E:$E,RaceResults!$A:$A,$A325,RaceResults!$D:$D,D325))</f>
        <v/>
      </c>
      <c r="K325" s="11" t="str">
        <f>IF(E325="","",SUMIFS(RaceResults!$E:$E,RaceResults!$A:$A,$A325,RaceResults!$D:$D,E325))</f>
        <v/>
      </c>
      <c r="L325" s="11" t="str">
        <f>IF(F325="","",SUMIFS(RaceResults!$E:$E,RaceResults!$A:$A,$A325,RaceResults!$D:$D,F325))</f>
        <v/>
      </c>
      <c r="M325" s="11">
        <f t="shared" si="5"/>
        <v>0</v>
      </c>
    </row>
    <row r="326" spans="1:13" x14ac:dyDescent="0.3">
      <c r="A326" s="9">
        <v>33</v>
      </c>
      <c r="B326" s="9" t="s">
        <v>54</v>
      </c>
      <c r="C326" s="10" t="s">
        <v>27</v>
      </c>
      <c r="D326" s="3"/>
      <c r="E326" s="3"/>
      <c r="F326" s="3"/>
      <c r="G326" s="11" t="str">
        <f>IF(D326="","",SUMIFS(RaceResults!$C:$C,RaceResults!$A:$A,$A326,RaceResults!$D:$D,D326))</f>
        <v/>
      </c>
      <c r="H326" s="11" t="str">
        <f>IF(E326="","",SUMIFS(RaceResults!$C:$C,RaceResults!$A:$A,$A326,RaceResults!$D:$D,E326))</f>
        <v/>
      </c>
      <c r="I326" s="11" t="str">
        <f>IF(F326="","",SUMIFS(RaceResults!$C:$C,RaceResults!$A:$A,$A326,RaceResults!$D:$D,F326))</f>
        <v/>
      </c>
      <c r="J326" s="11" t="str">
        <f>IF(D326="","",SUMIFS(RaceResults!$E:$E,RaceResults!$A:$A,$A326,RaceResults!$D:$D,D326))</f>
        <v/>
      </c>
      <c r="K326" s="11" t="str">
        <f>IF(E326="","",SUMIFS(RaceResults!$E:$E,RaceResults!$A:$A,$A326,RaceResults!$D:$D,E326))</f>
        <v/>
      </c>
      <c r="L326" s="11" t="str">
        <f>IF(F326="","",SUMIFS(RaceResults!$E:$E,RaceResults!$A:$A,$A326,RaceResults!$D:$D,F326))</f>
        <v/>
      </c>
      <c r="M326" s="11">
        <f t="shared" si="5"/>
        <v>0</v>
      </c>
    </row>
    <row r="327" spans="1:13" x14ac:dyDescent="0.3">
      <c r="A327" s="9">
        <v>33</v>
      </c>
      <c r="B327" s="9" t="s">
        <v>54</v>
      </c>
      <c r="C327" s="10" t="s">
        <v>28</v>
      </c>
      <c r="D327" s="3"/>
      <c r="E327" s="3"/>
      <c r="F327" s="3"/>
      <c r="G327" s="11" t="str">
        <f>IF(D327="","",SUMIFS(RaceResults!$C:$C,RaceResults!$A:$A,$A327,RaceResults!$D:$D,D327))</f>
        <v/>
      </c>
      <c r="H327" s="11" t="str">
        <f>IF(E327="","",SUMIFS(RaceResults!$C:$C,RaceResults!$A:$A,$A327,RaceResults!$D:$D,E327))</f>
        <v/>
      </c>
      <c r="I327" s="11" t="str">
        <f>IF(F327="","",SUMIFS(RaceResults!$C:$C,RaceResults!$A:$A,$A327,RaceResults!$D:$D,F327))</f>
        <v/>
      </c>
      <c r="J327" s="11" t="str">
        <f>IF(D327="","",SUMIFS(RaceResults!$E:$E,RaceResults!$A:$A,$A327,RaceResults!$D:$D,D327))</f>
        <v/>
      </c>
      <c r="K327" s="11" t="str">
        <f>IF(E327="","",SUMIFS(RaceResults!$E:$E,RaceResults!$A:$A,$A327,RaceResults!$D:$D,E327))</f>
        <v/>
      </c>
      <c r="L327" s="11" t="str">
        <f>IF(F327="","",SUMIFS(RaceResults!$E:$E,RaceResults!$A:$A,$A327,RaceResults!$D:$D,F327))</f>
        <v/>
      </c>
      <c r="M327" s="11">
        <f t="shared" si="5"/>
        <v>0</v>
      </c>
    </row>
    <row r="328" spans="1:13" x14ac:dyDescent="0.3">
      <c r="A328" s="9">
        <v>33</v>
      </c>
      <c r="B328" s="9" t="s">
        <v>54</v>
      </c>
      <c r="C328" s="10" t="s">
        <v>29</v>
      </c>
      <c r="D328" s="3"/>
      <c r="E328" s="3"/>
      <c r="F328" s="3"/>
      <c r="G328" s="11" t="str">
        <f>IF(D328="","",SUMIFS(RaceResults!$C:$C,RaceResults!$A:$A,$A328,RaceResults!$D:$D,D328))</f>
        <v/>
      </c>
      <c r="H328" s="11" t="str">
        <f>IF(E328="","",SUMIFS(RaceResults!$C:$C,RaceResults!$A:$A,$A328,RaceResults!$D:$D,E328))</f>
        <v/>
      </c>
      <c r="I328" s="11" t="str">
        <f>IF(F328="","",SUMIFS(RaceResults!$C:$C,RaceResults!$A:$A,$A328,RaceResults!$D:$D,F328))</f>
        <v/>
      </c>
      <c r="J328" s="11" t="str">
        <f>IF(D328="","",SUMIFS(RaceResults!$E:$E,RaceResults!$A:$A,$A328,RaceResults!$D:$D,D328))</f>
        <v/>
      </c>
      <c r="K328" s="11" t="str">
        <f>IF(E328="","",SUMIFS(RaceResults!$E:$E,RaceResults!$A:$A,$A328,RaceResults!$D:$D,E328))</f>
        <v/>
      </c>
      <c r="L328" s="11" t="str">
        <f>IF(F328="","",SUMIFS(RaceResults!$E:$E,RaceResults!$A:$A,$A328,RaceResults!$D:$D,F328))</f>
        <v/>
      </c>
      <c r="M328" s="11">
        <f t="shared" si="5"/>
        <v>0</v>
      </c>
    </row>
    <row r="329" spans="1:13" x14ac:dyDescent="0.3">
      <c r="A329" s="9">
        <v>33</v>
      </c>
      <c r="B329" s="9" t="s">
        <v>54</v>
      </c>
      <c r="C329" s="10" t="s">
        <v>30</v>
      </c>
      <c r="D329" s="3"/>
      <c r="E329" s="3"/>
      <c r="F329" s="3"/>
      <c r="G329" s="11" t="str">
        <f>IF(D329="","",SUMIFS(RaceResults!$C:$C,RaceResults!$A:$A,$A329,RaceResults!$D:$D,D329))</f>
        <v/>
      </c>
      <c r="H329" s="11" t="str">
        <f>IF(E329="","",SUMIFS(RaceResults!$C:$C,RaceResults!$A:$A,$A329,RaceResults!$D:$D,E329))</f>
        <v/>
      </c>
      <c r="I329" s="11" t="str">
        <f>IF(F329="","",SUMIFS(RaceResults!$C:$C,RaceResults!$A:$A,$A329,RaceResults!$D:$D,F329))</f>
        <v/>
      </c>
      <c r="J329" s="11" t="str">
        <f>IF(D329="","",SUMIFS(RaceResults!$E:$E,RaceResults!$A:$A,$A329,RaceResults!$D:$D,D329))</f>
        <v/>
      </c>
      <c r="K329" s="11" t="str">
        <f>IF(E329="","",SUMIFS(RaceResults!$E:$E,RaceResults!$A:$A,$A329,RaceResults!$D:$D,E329))</f>
        <v/>
      </c>
      <c r="L329" s="11" t="str">
        <f>IF(F329="","",SUMIFS(RaceResults!$E:$E,RaceResults!$A:$A,$A329,RaceResults!$D:$D,F329))</f>
        <v/>
      </c>
      <c r="M329" s="11">
        <f t="shared" si="5"/>
        <v>0</v>
      </c>
    </row>
    <row r="330" spans="1:13" x14ac:dyDescent="0.3">
      <c r="A330" s="9">
        <v>33</v>
      </c>
      <c r="B330" s="9" t="s">
        <v>54</v>
      </c>
      <c r="C330" s="10" t="s">
        <v>31</v>
      </c>
      <c r="D330" s="3"/>
      <c r="E330" s="3"/>
      <c r="F330" s="3"/>
      <c r="G330" s="11" t="str">
        <f>IF(D330="","",SUMIFS(RaceResults!$C:$C,RaceResults!$A:$A,$A330,RaceResults!$D:$D,D330))</f>
        <v/>
      </c>
      <c r="H330" s="11" t="str">
        <f>IF(E330="","",SUMIFS(RaceResults!$C:$C,RaceResults!$A:$A,$A330,RaceResults!$D:$D,E330))</f>
        <v/>
      </c>
      <c r="I330" s="11" t="str">
        <f>IF(F330="","",SUMIFS(RaceResults!$C:$C,RaceResults!$A:$A,$A330,RaceResults!$D:$D,F330))</f>
        <v/>
      </c>
      <c r="J330" s="11" t="str">
        <f>IF(D330="","",SUMIFS(RaceResults!$E:$E,RaceResults!$A:$A,$A330,RaceResults!$D:$D,D330))</f>
        <v/>
      </c>
      <c r="K330" s="11" t="str">
        <f>IF(E330="","",SUMIFS(RaceResults!$E:$E,RaceResults!$A:$A,$A330,RaceResults!$D:$D,E330))</f>
        <v/>
      </c>
      <c r="L330" s="11" t="str">
        <f>IF(F330="","",SUMIFS(RaceResults!$E:$E,RaceResults!$A:$A,$A330,RaceResults!$D:$D,F330))</f>
        <v/>
      </c>
      <c r="M330" s="11">
        <f t="shared" si="5"/>
        <v>0</v>
      </c>
    </row>
    <row r="331" spans="1:13" x14ac:dyDescent="0.3">
      <c r="A331" s="9">
        <v>33</v>
      </c>
      <c r="B331" s="9" t="s">
        <v>54</v>
      </c>
      <c r="C331" s="10" t="s">
        <v>32</v>
      </c>
      <c r="D331" s="3"/>
      <c r="E331" s="3"/>
      <c r="F331" s="3"/>
      <c r="G331" s="11" t="str">
        <f>IF(D331="","",SUMIFS(RaceResults!$C:$C,RaceResults!$A:$A,$A331,RaceResults!$D:$D,D331))</f>
        <v/>
      </c>
      <c r="H331" s="11" t="str">
        <f>IF(E331="","",SUMIFS(RaceResults!$C:$C,RaceResults!$A:$A,$A331,RaceResults!$D:$D,E331))</f>
        <v/>
      </c>
      <c r="I331" s="11" t="str">
        <f>IF(F331="","",SUMIFS(RaceResults!$C:$C,RaceResults!$A:$A,$A331,RaceResults!$D:$D,F331))</f>
        <v/>
      </c>
      <c r="J331" s="11" t="str">
        <f>IF(D331="","",SUMIFS(RaceResults!$E:$E,RaceResults!$A:$A,$A331,RaceResults!$D:$D,D331))</f>
        <v/>
      </c>
      <c r="K331" s="11" t="str">
        <f>IF(E331="","",SUMIFS(RaceResults!$E:$E,RaceResults!$A:$A,$A331,RaceResults!$D:$D,E331))</f>
        <v/>
      </c>
      <c r="L331" s="11" t="str">
        <f>IF(F331="","",SUMIFS(RaceResults!$E:$E,RaceResults!$A:$A,$A331,RaceResults!$D:$D,F331))</f>
        <v/>
      </c>
      <c r="M331" s="11">
        <f t="shared" si="5"/>
        <v>0</v>
      </c>
    </row>
    <row r="332" spans="1:13" x14ac:dyDescent="0.3">
      <c r="A332" s="9">
        <v>34</v>
      </c>
      <c r="B332" s="9" t="s">
        <v>67</v>
      </c>
      <c r="C332" s="10" t="s">
        <v>21</v>
      </c>
      <c r="D332" s="3"/>
      <c r="E332" s="3"/>
      <c r="F332" s="3"/>
      <c r="G332" s="11" t="str">
        <f>IF(D332="","",SUMIFS(RaceResults!$C:$C,RaceResults!$A:$A,$A332,RaceResults!$D:$D,D332))</f>
        <v/>
      </c>
      <c r="H332" s="11" t="str">
        <f>IF(E332="","",SUMIFS(RaceResults!$C:$C,RaceResults!$A:$A,$A332,RaceResults!$D:$D,E332))</f>
        <v/>
      </c>
      <c r="I332" s="11" t="str">
        <f>IF(F332="","",SUMIFS(RaceResults!$C:$C,RaceResults!$A:$A,$A332,RaceResults!$D:$D,F332))</f>
        <v/>
      </c>
      <c r="J332" s="11" t="str">
        <f>IF(D332="","",SUMIFS(RaceResults!$E:$E,RaceResults!$A:$A,$A332,RaceResults!$D:$D,D332))</f>
        <v/>
      </c>
      <c r="K332" s="11" t="str">
        <f>IF(E332="","",SUMIFS(RaceResults!$E:$E,RaceResults!$A:$A,$A332,RaceResults!$D:$D,E332))</f>
        <v/>
      </c>
      <c r="L332" s="11" t="str">
        <f>IF(F332="","",SUMIFS(RaceResults!$E:$E,RaceResults!$A:$A,$A332,RaceResults!$D:$D,F332))</f>
        <v/>
      </c>
      <c r="M332" s="11">
        <f t="shared" si="5"/>
        <v>0</v>
      </c>
    </row>
    <row r="333" spans="1:13" x14ac:dyDescent="0.3">
      <c r="A333" s="9">
        <v>34</v>
      </c>
      <c r="B333" s="9" t="s">
        <v>67</v>
      </c>
      <c r="C333" s="10" t="s">
        <v>22</v>
      </c>
      <c r="D333" s="3"/>
      <c r="E333" s="3"/>
      <c r="F333" s="3"/>
      <c r="G333" s="11" t="str">
        <f>IF(D333="","",SUMIFS(RaceResults!$C:$C,RaceResults!$A:$A,$A333,RaceResults!$D:$D,D333))</f>
        <v/>
      </c>
      <c r="H333" s="11" t="str">
        <f>IF(E333="","",SUMIFS(RaceResults!$C:$C,RaceResults!$A:$A,$A333,RaceResults!$D:$D,E333))</f>
        <v/>
      </c>
      <c r="I333" s="11" t="str">
        <f>IF(F333="","",SUMIFS(RaceResults!$C:$C,RaceResults!$A:$A,$A333,RaceResults!$D:$D,F333))</f>
        <v/>
      </c>
      <c r="J333" s="11" t="str">
        <f>IF(D333="","",SUMIFS(RaceResults!$E:$E,RaceResults!$A:$A,$A333,RaceResults!$D:$D,D333))</f>
        <v/>
      </c>
      <c r="K333" s="11" t="str">
        <f>IF(E333="","",SUMIFS(RaceResults!$E:$E,RaceResults!$A:$A,$A333,RaceResults!$D:$D,E333))</f>
        <v/>
      </c>
      <c r="L333" s="11" t="str">
        <f>IF(F333="","",SUMIFS(RaceResults!$E:$E,RaceResults!$A:$A,$A333,RaceResults!$D:$D,F333))</f>
        <v/>
      </c>
      <c r="M333" s="11">
        <f t="shared" si="5"/>
        <v>0</v>
      </c>
    </row>
    <row r="334" spans="1:13" x14ac:dyDescent="0.3">
      <c r="A334" s="9">
        <v>34</v>
      </c>
      <c r="B334" s="9" t="s">
        <v>67</v>
      </c>
      <c r="C334" s="10" t="s">
        <v>25</v>
      </c>
      <c r="D334" s="3"/>
      <c r="E334" s="3"/>
      <c r="F334" s="3"/>
      <c r="G334" s="11" t="str">
        <f>IF(D334="","",SUMIFS(RaceResults!$C:$C,RaceResults!$A:$A,$A334,RaceResults!$D:$D,D334))</f>
        <v/>
      </c>
      <c r="H334" s="11" t="str">
        <f>IF(E334="","",SUMIFS(RaceResults!$C:$C,RaceResults!$A:$A,$A334,RaceResults!$D:$D,E334))</f>
        <v/>
      </c>
      <c r="I334" s="11" t="str">
        <f>IF(F334="","",SUMIFS(RaceResults!$C:$C,RaceResults!$A:$A,$A334,RaceResults!$D:$D,F334))</f>
        <v/>
      </c>
      <c r="J334" s="11" t="str">
        <f>IF(D334="","",SUMIFS(RaceResults!$E:$E,RaceResults!$A:$A,$A334,RaceResults!$D:$D,D334))</f>
        <v/>
      </c>
      <c r="K334" s="11" t="str">
        <f>IF(E334="","",SUMIFS(RaceResults!$E:$E,RaceResults!$A:$A,$A334,RaceResults!$D:$D,E334))</f>
        <v/>
      </c>
      <c r="L334" s="11" t="str">
        <f>IF(F334="","",SUMIFS(RaceResults!$E:$E,RaceResults!$A:$A,$A334,RaceResults!$D:$D,F334))</f>
        <v/>
      </c>
      <c r="M334" s="11">
        <f t="shared" si="5"/>
        <v>0</v>
      </c>
    </row>
    <row r="335" spans="1:13" x14ac:dyDescent="0.3">
      <c r="A335" s="9">
        <v>34</v>
      </c>
      <c r="B335" s="9" t="s">
        <v>67</v>
      </c>
      <c r="C335" s="10" t="s">
        <v>26</v>
      </c>
      <c r="D335" s="3"/>
      <c r="E335" s="3"/>
      <c r="F335" s="3"/>
      <c r="G335" s="11" t="str">
        <f>IF(D335="","",SUMIFS(RaceResults!$C:$C,RaceResults!$A:$A,$A335,RaceResults!$D:$D,D335))</f>
        <v/>
      </c>
      <c r="H335" s="11" t="str">
        <f>IF(E335="","",SUMIFS(RaceResults!$C:$C,RaceResults!$A:$A,$A335,RaceResults!$D:$D,E335))</f>
        <v/>
      </c>
      <c r="I335" s="11" t="str">
        <f>IF(F335="","",SUMIFS(RaceResults!$C:$C,RaceResults!$A:$A,$A335,RaceResults!$D:$D,F335))</f>
        <v/>
      </c>
      <c r="J335" s="11" t="str">
        <f>IF(D335="","",SUMIFS(RaceResults!$E:$E,RaceResults!$A:$A,$A335,RaceResults!$D:$D,D335))</f>
        <v/>
      </c>
      <c r="K335" s="11" t="str">
        <f>IF(E335="","",SUMIFS(RaceResults!$E:$E,RaceResults!$A:$A,$A335,RaceResults!$D:$D,E335))</f>
        <v/>
      </c>
      <c r="L335" s="11" t="str">
        <f>IF(F335="","",SUMIFS(RaceResults!$E:$E,RaceResults!$A:$A,$A335,RaceResults!$D:$D,F335))</f>
        <v/>
      </c>
      <c r="M335" s="11">
        <f t="shared" si="5"/>
        <v>0</v>
      </c>
    </row>
    <row r="336" spans="1:13" x14ac:dyDescent="0.3">
      <c r="A336" s="9">
        <v>34</v>
      </c>
      <c r="B336" s="9" t="s">
        <v>67</v>
      </c>
      <c r="C336" s="10" t="s">
        <v>27</v>
      </c>
      <c r="D336" s="3"/>
      <c r="E336" s="3"/>
      <c r="F336" s="3"/>
      <c r="G336" s="11" t="str">
        <f>IF(D336="","",SUMIFS(RaceResults!$C:$C,RaceResults!$A:$A,$A336,RaceResults!$D:$D,D336))</f>
        <v/>
      </c>
      <c r="H336" s="11" t="str">
        <f>IF(E336="","",SUMIFS(RaceResults!$C:$C,RaceResults!$A:$A,$A336,RaceResults!$D:$D,E336))</f>
        <v/>
      </c>
      <c r="I336" s="11" t="str">
        <f>IF(F336="","",SUMIFS(RaceResults!$C:$C,RaceResults!$A:$A,$A336,RaceResults!$D:$D,F336))</f>
        <v/>
      </c>
      <c r="J336" s="11" t="str">
        <f>IF(D336="","",SUMIFS(RaceResults!$E:$E,RaceResults!$A:$A,$A336,RaceResults!$D:$D,D336))</f>
        <v/>
      </c>
      <c r="K336" s="11" t="str">
        <f>IF(E336="","",SUMIFS(RaceResults!$E:$E,RaceResults!$A:$A,$A336,RaceResults!$D:$D,E336))</f>
        <v/>
      </c>
      <c r="L336" s="11" t="str">
        <f>IF(F336="","",SUMIFS(RaceResults!$E:$E,RaceResults!$A:$A,$A336,RaceResults!$D:$D,F336))</f>
        <v/>
      </c>
      <c r="M336" s="11">
        <f t="shared" si="5"/>
        <v>0</v>
      </c>
    </row>
    <row r="337" spans="1:13" x14ac:dyDescent="0.3">
      <c r="A337" s="9">
        <v>34</v>
      </c>
      <c r="B337" s="9" t="s">
        <v>67</v>
      </c>
      <c r="C337" s="10" t="s">
        <v>28</v>
      </c>
      <c r="D337" s="3"/>
      <c r="E337" s="3"/>
      <c r="F337" s="3"/>
      <c r="G337" s="11" t="str">
        <f>IF(D337="","",SUMIFS(RaceResults!$C:$C,RaceResults!$A:$A,$A337,RaceResults!$D:$D,D337))</f>
        <v/>
      </c>
      <c r="H337" s="11" t="str">
        <f>IF(E337="","",SUMIFS(RaceResults!$C:$C,RaceResults!$A:$A,$A337,RaceResults!$D:$D,E337))</f>
        <v/>
      </c>
      <c r="I337" s="11" t="str">
        <f>IF(F337="","",SUMIFS(RaceResults!$C:$C,RaceResults!$A:$A,$A337,RaceResults!$D:$D,F337))</f>
        <v/>
      </c>
      <c r="J337" s="11" t="str">
        <f>IF(D337="","",SUMIFS(RaceResults!$E:$E,RaceResults!$A:$A,$A337,RaceResults!$D:$D,D337))</f>
        <v/>
      </c>
      <c r="K337" s="11" t="str">
        <f>IF(E337="","",SUMIFS(RaceResults!$E:$E,RaceResults!$A:$A,$A337,RaceResults!$D:$D,E337))</f>
        <v/>
      </c>
      <c r="L337" s="11" t="str">
        <f>IF(F337="","",SUMIFS(RaceResults!$E:$E,RaceResults!$A:$A,$A337,RaceResults!$D:$D,F337))</f>
        <v/>
      </c>
      <c r="M337" s="11">
        <f t="shared" si="5"/>
        <v>0</v>
      </c>
    </row>
    <row r="338" spans="1:13" x14ac:dyDescent="0.3">
      <c r="A338" s="9">
        <v>34</v>
      </c>
      <c r="B338" s="9" t="s">
        <v>67</v>
      </c>
      <c r="C338" s="10" t="s">
        <v>29</v>
      </c>
      <c r="D338" s="3"/>
      <c r="E338" s="3"/>
      <c r="F338" s="3"/>
      <c r="G338" s="11" t="str">
        <f>IF(D338="","",SUMIFS(RaceResults!$C:$C,RaceResults!$A:$A,$A338,RaceResults!$D:$D,D338))</f>
        <v/>
      </c>
      <c r="H338" s="11" t="str">
        <f>IF(E338="","",SUMIFS(RaceResults!$C:$C,RaceResults!$A:$A,$A338,RaceResults!$D:$D,E338))</f>
        <v/>
      </c>
      <c r="I338" s="11" t="str">
        <f>IF(F338="","",SUMIFS(RaceResults!$C:$C,RaceResults!$A:$A,$A338,RaceResults!$D:$D,F338))</f>
        <v/>
      </c>
      <c r="J338" s="11" t="str">
        <f>IF(D338="","",SUMIFS(RaceResults!$E:$E,RaceResults!$A:$A,$A338,RaceResults!$D:$D,D338))</f>
        <v/>
      </c>
      <c r="K338" s="11" t="str">
        <f>IF(E338="","",SUMIFS(RaceResults!$E:$E,RaceResults!$A:$A,$A338,RaceResults!$D:$D,E338))</f>
        <v/>
      </c>
      <c r="L338" s="11" t="str">
        <f>IF(F338="","",SUMIFS(RaceResults!$E:$E,RaceResults!$A:$A,$A338,RaceResults!$D:$D,F338))</f>
        <v/>
      </c>
      <c r="M338" s="11">
        <f t="shared" si="5"/>
        <v>0</v>
      </c>
    </row>
    <row r="339" spans="1:13" x14ac:dyDescent="0.3">
      <c r="A339" s="9">
        <v>34</v>
      </c>
      <c r="B339" s="9" t="s">
        <v>67</v>
      </c>
      <c r="C339" s="10" t="s">
        <v>30</v>
      </c>
      <c r="D339" s="3"/>
      <c r="E339" s="3"/>
      <c r="F339" s="3"/>
      <c r="G339" s="11" t="str">
        <f>IF(D339="","",SUMIFS(RaceResults!$C:$C,RaceResults!$A:$A,$A339,RaceResults!$D:$D,D339))</f>
        <v/>
      </c>
      <c r="H339" s="11" t="str">
        <f>IF(E339="","",SUMIFS(RaceResults!$C:$C,RaceResults!$A:$A,$A339,RaceResults!$D:$D,E339))</f>
        <v/>
      </c>
      <c r="I339" s="11" t="str">
        <f>IF(F339="","",SUMIFS(RaceResults!$C:$C,RaceResults!$A:$A,$A339,RaceResults!$D:$D,F339))</f>
        <v/>
      </c>
      <c r="J339" s="11" t="str">
        <f>IF(D339="","",SUMIFS(RaceResults!$E:$E,RaceResults!$A:$A,$A339,RaceResults!$D:$D,D339))</f>
        <v/>
      </c>
      <c r="K339" s="11" t="str">
        <f>IF(E339="","",SUMIFS(RaceResults!$E:$E,RaceResults!$A:$A,$A339,RaceResults!$D:$D,E339))</f>
        <v/>
      </c>
      <c r="L339" s="11" t="str">
        <f>IF(F339="","",SUMIFS(RaceResults!$E:$E,RaceResults!$A:$A,$A339,RaceResults!$D:$D,F339))</f>
        <v/>
      </c>
      <c r="M339" s="11">
        <f t="shared" si="5"/>
        <v>0</v>
      </c>
    </row>
    <row r="340" spans="1:13" x14ac:dyDescent="0.3">
      <c r="A340" s="9">
        <v>34</v>
      </c>
      <c r="B340" s="9" t="s">
        <v>67</v>
      </c>
      <c r="C340" s="10" t="s">
        <v>31</v>
      </c>
      <c r="D340" s="3"/>
      <c r="E340" s="3"/>
      <c r="F340" s="3"/>
      <c r="G340" s="11" t="str">
        <f>IF(D340="","",SUMIFS(RaceResults!$C:$C,RaceResults!$A:$A,$A340,RaceResults!$D:$D,D340))</f>
        <v/>
      </c>
      <c r="H340" s="11" t="str">
        <f>IF(E340="","",SUMIFS(RaceResults!$C:$C,RaceResults!$A:$A,$A340,RaceResults!$D:$D,E340))</f>
        <v/>
      </c>
      <c r="I340" s="11" t="str">
        <f>IF(F340="","",SUMIFS(RaceResults!$C:$C,RaceResults!$A:$A,$A340,RaceResults!$D:$D,F340))</f>
        <v/>
      </c>
      <c r="J340" s="11" t="str">
        <f>IF(D340="","",SUMIFS(RaceResults!$E:$E,RaceResults!$A:$A,$A340,RaceResults!$D:$D,D340))</f>
        <v/>
      </c>
      <c r="K340" s="11" t="str">
        <f>IF(E340="","",SUMIFS(RaceResults!$E:$E,RaceResults!$A:$A,$A340,RaceResults!$D:$D,E340))</f>
        <v/>
      </c>
      <c r="L340" s="11" t="str">
        <f>IF(F340="","",SUMIFS(RaceResults!$E:$E,RaceResults!$A:$A,$A340,RaceResults!$D:$D,F340))</f>
        <v/>
      </c>
      <c r="M340" s="11">
        <f t="shared" si="5"/>
        <v>0</v>
      </c>
    </row>
    <row r="341" spans="1:13" x14ac:dyDescent="0.3">
      <c r="A341" s="9">
        <v>34</v>
      </c>
      <c r="B341" s="9" t="s">
        <v>67</v>
      </c>
      <c r="C341" s="10" t="s">
        <v>32</v>
      </c>
      <c r="D341" s="3"/>
      <c r="E341" s="3"/>
      <c r="F341" s="3"/>
      <c r="G341" s="11" t="str">
        <f>IF(D341="","",SUMIFS(RaceResults!$C:$C,RaceResults!$A:$A,$A341,RaceResults!$D:$D,D341))</f>
        <v/>
      </c>
      <c r="H341" s="11" t="str">
        <f>IF(E341="","",SUMIFS(RaceResults!$C:$C,RaceResults!$A:$A,$A341,RaceResults!$D:$D,E341))</f>
        <v/>
      </c>
      <c r="I341" s="11" t="str">
        <f>IF(F341="","",SUMIFS(RaceResults!$C:$C,RaceResults!$A:$A,$A341,RaceResults!$D:$D,F341))</f>
        <v/>
      </c>
      <c r="J341" s="11" t="str">
        <f>IF(D341="","",SUMIFS(RaceResults!$E:$E,RaceResults!$A:$A,$A341,RaceResults!$D:$D,D341))</f>
        <v/>
      </c>
      <c r="K341" s="11" t="str">
        <f>IF(E341="","",SUMIFS(RaceResults!$E:$E,RaceResults!$A:$A,$A341,RaceResults!$D:$D,E341))</f>
        <v/>
      </c>
      <c r="L341" s="11" t="str">
        <f>IF(F341="","",SUMIFS(RaceResults!$E:$E,RaceResults!$A:$A,$A341,RaceResults!$D:$D,F341))</f>
        <v/>
      </c>
      <c r="M341" s="11">
        <f t="shared" si="5"/>
        <v>0</v>
      </c>
    </row>
    <row r="342" spans="1:13" x14ac:dyDescent="0.3">
      <c r="A342" s="9">
        <v>35</v>
      </c>
      <c r="B342" s="9" t="s">
        <v>61</v>
      </c>
      <c r="C342" s="10" t="s">
        <v>21</v>
      </c>
      <c r="D342" s="3"/>
      <c r="E342" s="3"/>
      <c r="F342" s="3"/>
      <c r="G342" s="11" t="str">
        <f>IF(D342="","",SUMIFS(RaceResults!$C:$C,RaceResults!$A:$A,$A342,RaceResults!$D:$D,D342))</f>
        <v/>
      </c>
      <c r="H342" s="11" t="str">
        <f>IF(E342="","",SUMIFS(RaceResults!$C:$C,RaceResults!$A:$A,$A342,RaceResults!$D:$D,E342))</f>
        <v/>
      </c>
      <c r="I342" s="11" t="str">
        <f>IF(F342="","",SUMIFS(RaceResults!$C:$C,RaceResults!$A:$A,$A342,RaceResults!$D:$D,F342))</f>
        <v/>
      </c>
      <c r="J342" s="11" t="str">
        <f>IF(D342="","",SUMIFS(RaceResults!$E:$E,RaceResults!$A:$A,$A342,RaceResults!$D:$D,D342))</f>
        <v/>
      </c>
      <c r="K342" s="11" t="str">
        <f>IF(E342="","",SUMIFS(RaceResults!$E:$E,RaceResults!$A:$A,$A342,RaceResults!$D:$D,E342))</f>
        <v/>
      </c>
      <c r="L342" s="11" t="str">
        <f>IF(F342="","",SUMIFS(RaceResults!$E:$E,RaceResults!$A:$A,$A342,RaceResults!$D:$D,F342))</f>
        <v/>
      </c>
      <c r="M342" s="11">
        <f t="shared" si="5"/>
        <v>0</v>
      </c>
    </row>
    <row r="343" spans="1:13" x14ac:dyDescent="0.3">
      <c r="A343" s="9">
        <v>35</v>
      </c>
      <c r="B343" s="9" t="s">
        <v>61</v>
      </c>
      <c r="C343" s="10" t="s">
        <v>22</v>
      </c>
      <c r="D343" s="3"/>
      <c r="E343" s="3"/>
      <c r="F343" s="3"/>
      <c r="G343" s="11" t="str">
        <f>IF(D343="","",SUMIFS(RaceResults!$C:$C,RaceResults!$A:$A,$A343,RaceResults!$D:$D,D343))</f>
        <v/>
      </c>
      <c r="H343" s="11" t="str">
        <f>IF(E343="","",SUMIFS(RaceResults!$C:$C,RaceResults!$A:$A,$A343,RaceResults!$D:$D,E343))</f>
        <v/>
      </c>
      <c r="I343" s="11" t="str">
        <f>IF(F343="","",SUMIFS(RaceResults!$C:$C,RaceResults!$A:$A,$A343,RaceResults!$D:$D,F343))</f>
        <v/>
      </c>
      <c r="J343" s="11" t="str">
        <f>IF(D343="","",SUMIFS(RaceResults!$E:$E,RaceResults!$A:$A,$A343,RaceResults!$D:$D,D343))</f>
        <v/>
      </c>
      <c r="K343" s="11" t="str">
        <f>IF(E343="","",SUMIFS(RaceResults!$E:$E,RaceResults!$A:$A,$A343,RaceResults!$D:$D,E343))</f>
        <v/>
      </c>
      <c r="L343" s="11" t="str">
        <f>IF(F343="","",SUMIFS(RaceResults!$E:$E,RaceResults!$A:$A,$A343,RaceResults!$D:$D,F343))</f>
        <v/>
      </c>
      <c r="M343" s="11">
        <f t="shared" si="5"/>
        <v>0</v>
      </c>
    </row>
    <row r="344" spans="1:13" x14ac:dyDescent="0.3">
      <c r="A344" s="9">
        <v>35</v>
      </c>
      <c r="B344" s="9" t="s">
        <v>61</v>
      </c>
      <c r="C344" s="10" t="s">
        <v>25</v>
      </c>
      <c r="D344" s="3"/>
      <c r="E344" s="3"/>
      <c r="F344" s="3"/>
      <c r="G344" s="11" t="str">
        <f>IF(D344="","",SUMIFS(RaceResults!$C:$C,RaceResults!$A:$A,$A344,RaceResults!$D:$D,D344))</f>
        <v/>
      </c>
      <c r="H344" s="11" t="str">
        <f>IF(E344="","",SUMIFS(RaceResults!$C:$C,RaceResults!$A:$A,$A344,RaceResults!$D:$D,E344))</f>
        <v/>
      </c>
      <c r="I344" s="11" t="str">
        <f>IF(F344="","",SUMIFS(RaceResults!$C:$C,RaceResults!$A:$A,$A344,RaceResults!$D:$D,F344))</f>
        <v/>
      </c>
      <c r="J344" s="11" t="str">
        <f>IF(D344="","",SUMIFS(RaceResults!$E:$E,RaceResults!$A:$A,$A344,RaceResults!$D:$D,D344))</f>
        <v/>
      </c>
      <c r="K344" s="11" t="str">
        <f>IF(E344="","",SUMIFS(RaceResults!$E:$E,RaceResults!$A:$A,$A344,RaceResults!$D:$D,E344))</f>
        <v/>
      </c>
      <c r="L344" s="11" t="str">
        <f>IF(F344="","",SUMIFS(RaceResults!$E:$E,RaceResults!$A:$A,$A344,RaceResults!$D:$D,F344))</f>
        <v/>
      </c>
      <c r="M344" s="11">
        <f t="shared" si="5"/>
        <v>0</v>
      </c>
    </row>
    <row r="345" spans="1:13" x14ac:dyDescent="0.3">
      <c r="A345" s="9">
        <v>35</v>
      </c>
      <c r="B345" s="9" t="s">
        <v>61</v>
      </c>
      <c r="C345" s="10" t="s">
        <v>26</v>
      </c>
      <c r="D345" s="3"/>
      <c r="E345" s="3"/>
      <c r="F345" s="3"/>
      <c r="G345" s="11" t="str">
        <f>IF(D345="","",SUMIFS(RaceResults!$C:$C,RaceResults!$A:$A,$A345,RaceResults!$D:$D,D345))</f>
        <v/>
      </c>
      <c r="H345" s="11" t="str">
        <f>IF(E345="","",SUMIFS(RaceResults!$C:$C,RaceResults!$A:$A,$A345,RaceResults!$D:$D,E345))</f>
        <v/>
      </c>
      <c r="I345" s="11" t="str">
        <f>IF(F345="","",SUMIFS(RaceResults!$C:$C,RaceResults!$A:$A,$A345,RaceResults!$D:$D,F345))</f>
        <v/>
      </c>
      <c r="J345" s="11" t="str">
        <f>IF(D345="","",SUMIFS(RaceResults!$E:$E,RaceResults!$A:$A,$A345,RaceResults!$D:$D,D345))</f>
        <v/>
      </c>
      <c r="K345" s="11" t="str">
        <f>IF(E345="","",SUMIFS(RaceResults!$E:$E,RaceResults!$A:$A,$A345,RaceResults!$D:$D,E345))</f>
        <v/>
      </c>
      <c r="L345" s="11" t="str">
        <f>IF(F345="","",SUMIFS(RaceResults!$E:$E,RaceResults!$A:$A,$A345,RaceResults!$D:$D,F345))</f>
        <v/>
      </c>
      <c r="M345" s="11">
        <f t="shared" si="5"/>
        <v>0</v>
      </c>
    </row>
    <row r="346" spans="1:13" x14ac:dyDescent="0.3">
      <c r="A346" s="9">
        <v>35</v>
      </c>
      <c r="B346" s="9" t="s">
        <v>61</v>
      </c>
      <c r="C346" s="10" t="s">
        <v>27</v>
      </c>
      <c r="D346" s="3"/>
      <c r="E346" s="3"/>
      <c r="F346" s="3"/>
      <c r="G346" s="11" t="str">
        <f>IF(D346="","",SUMIFS(RaceResults!$C:$C,RaceResults!$A:$A,$A346,RaceResults!$D:$D,D346))</f>
        <v/>
      </c>
      <c r="H346" s="11" t="str">
        <f>IF(E346="","",SUMIFS(RaceResults!$C:$C,RaceResults!$A:$A,$A346,RaceResults!$D:$D,E346))</f>
        <v/>
      </c>
      <c r="I346" s="11" t="str">
        <f>IF(F346="","",SUMIFS(RaceResults!$C:$C,RaceResults!$A:$A,$A346,RaceResults!$D:$D,F346))</f>
        <v/>
      </c>
      <c r="J346" s="11" t="str">
        <f>IF(D346="","",SUMIFS(RaceResults!$E:$E,RaceResults!$A:$A,$A346,RaceResults!$D:$D,D346))</f>
        <v/>
      </c>
      <c r="K346" s="11" t="str">
        <f>IF(E346="","",SUMIFS(RaceResults!$E:$E,RaceResults!$A:$A,$A346,RaceResults!$D:$D,E346))</f>
        <v/>
      </c>
      <c r="L346" s="11" t="str">
        <f>IF(F346="","",SUMIFS(RaceResults!$E:$E,RaceResults!$A:$A,$A346,RaceResults!$D:$D,F346))</f>
        <v/>
      </c>
      <c r="M346" s="11">
        <f t="shared" si="5"/>
        <v>0</v>
      </c>
    </row>
    <row r="347" spans="1:13" x14ac:dyDescent="0.3">
      <c r="A347" s="9">
        <v>35</v>
      </c>
      <c r="B347" s="9" t="s">
        <v>61</v>
      </c>
      <c r="C347" s="10" t="s">
        <v>28</v>
      </c>
      <c r="D347" s="3"/>
      <c r="E347" s="3"/>
      <c r="F347" s="3"/>
      <c r="G347" s="11" t="str">
        <f>IF(D347="","",SUMIFS(RaceResults!$C:$C,RaceResults!$A:$A,$A347,RaceResults!$D:$D,D347))</f>
        <v/>
      </c>
      <c r="H347" s="11" t="str">
        <f>IF(E347="","",SUMIFS(RaceResults!$C:$C,RaceResults!$A:$A,$A347,RaceResults!$D:$D,E347))</f>
        <v/>
      </c>
      <c r="I347" s="11" t="str">
        <f>IF(F347="","",SUMIFS(RaceResults!$C:$C,RaceResults!$A:$A,$A347,RaceResults!$D:$D,F347))</f>
        <v/>
      </c>
      <c r="J347" s="11" t="str">
        <f>IF(D347="","",SUMIFS(RaceResults!$E:$E,RaceResults!$A:$A,$A347,RaceResults!$D:$D,D347))</f>
        <v/>
      </c>
      <c r="K347" s="11" t="str">
        <f>IF(E347="","",SUMIFS(RaceResults!$E:$E,RaceResults!$A:$A,$A347,RaceResults!$D:$D,E347))</f>
        <v/>
      </c>
      <c r="L347" s="11" t="str">
        <f>IF(F347="","",SUMIFS(RaceResults!$E:$E,RaceResults!$A:$A,$A347,RaceResults!$D:$D,F347))</f>
        <v/>
      </c>
      <c r="M347" s="11">
        <f t="shared" si="5"/>
        <v>0</v>
      </c>
    </row>
    <row r="348" spans="1:13" x14ac:dyDescent="0.3">
      <c r="A348" s="9">
        <v>35</v>
      </c>
      <c r="B348" s="9" t="s">
        <v>61</v>
      </c>
      <c r="C348" s="10" t="s">
        <v>29</v>
      </c>
      <c r="D348" s="3"/>
      <c r="E348" s="3"/>
      <c r="F348" s="3"/>
      <c r="G348" s="11" t="str">
        <f>IF(D348="","",SUMIFS(RaceResults!$C:$C,RaceResults!$A:$A,$A348,RaceResults!$D:$D,D348))</f>
        <v/>
      </c>
      <c r="H348" s="11" t="str">
        <f>IF(E348="","",SUMIFS(RaceResults!$C:$C,RaceResults!$A:$A,$A348,RaceResults!$D:$D,E348))</f>
        <v/>
      </c>
      <c r="I348" s="11" t="str">
        <f>IF(F348="","",SUMIFS(RaceResults!$C:$C,RaceResults!$A:$A,$A348,RaceResults!$D:$D,F348))</f>
        <v/>
      </c>
      <c r="J348" s="11" t="str">
        <f>IF(D348="","",SUMIFS(RaceResults!$E:$E,RaceResults!$A:$A,$A348,RaceResults!$D:$D,D348))</f>
        <v/>
      </c>
      <c r="K348" s="11" t="str">
        <f>IF(E348="","",SUMIFS(RaceResults!$E:$E,RaceResults!$A:$A,$A348,RaceResults!$D:$D,E348))</f>
        <v/>
      </c>
      <c r="L348" s="11" t="str">
        <f>IF(F348="","",SUMIFS(RaceResults!$E:$E,RaceResults!$A:$A,$A348,RaceResults!$D:$D,F348))</f>
        <v/>
      </c>
      <c r="M348" s="11">
        <f t="shared" si="5"/>
        <v>0</v>
      </c>
    </row>
    <row r="349" spans="1:13" x14ac:dyDescent="0.3">
      <c r="A349" s="9">
        <v>35</v>
      </c>
      <c r="B349" s="9" t="s">
        <v>61</v>
      </c>
      <c r="C349" s="10" t="s">
        <v>30</v>
      </c>
      <c r="D349" s="3"/>
      <c r="E349" s="3"/>
      <c r="F349" s="3"/>
      <c r="G349" s="11" t="str">
        <f>IF(D349="","",SUMIFS(RaceResults!$C:$C,RaceResults!$A:$A,$A349,RaceResults!$D:$D,D349))</f>
        <v/>
      </c>
      <c r="H349" s="11" t="str">
        <f>IF(E349="","",SUMIFS(RaceResults!$C:$C,RaceResults!$A:$A,$A349,RaceResults!$D:$D,E349))</f>
        <v/>
      </c>
      <c r="I349" s="11" t="str">
        <f>IF(F349="","",SUMIFS(RaceResults!$C:$C,RaceResults!$A:$A,$A349,RaceResults!$D:$D,F349))</f>
        <v/>
      </c>
      <c r="J349" s="11" t="str">
        <f>IF(D349="","",SUMIFS(RaceResults!$E:$E,RaceResults!$A:$A,$A349,RaceResults!$D:$D,D349))</f>
        <v/>
      </c>
      <c r="K349" s="11" t="str">
        <f>IF(E349="","",SUMIFS(RaceResults!$E:$E,RaceResults!$A:$A,$A349,RaceResults!$D:$D,E349))</f>
        <v/>
      </c>
      <c r="L349" s="11" t="str">
        <f>IF(F349="","",SUMIFS(RaceResults!$E:$E,RaceResults!$A:$A,$A349,RaceResults!$D:$D,F349))</f>
        <v/>
      </c>
      <c r="M349" s="11">
        <f t="shared" si="5"/>
        <v>0</v>
      </c>
    </row>
    <row r="350" spans="1:13" x14ac:dyDescent="0.3">
      <c r="A350" s="9">
        <v>35</v>
      </c>
      <c r="B350" s="9" t="s">
        <v>61</v>
      </c>
      <c r="C350" s="10" t="s">
        <v>31</v>
      </c>
      <c r="D350" s="3"/>
      <c r="E350" s="3"/>
      <c r="F350" s="3"/>
      <c r="G350" s="11" t="str">
        <f>IF(D350="","",SUMIFS(RaceResults!$C:$C,RaceResults!$A:$A,$A350,RaceResults!$D:$D,D350))</f>
        <v/>
      </c>
      <c r="H350" s="11" t="str">
        <f>IF(E350="","",SUMIFS(RaceResults!$C:$C,RaceResults!$A:$A,$A350,RaceResults!$D:$D,E350))</f>
        <v/>
      </c>
      <c r="I350" s="11" t="str">
        <f>IF(F350="","",SUMIFS(RaceResults!$C:$C,RaceResults!$A:$A,$A350,RaceResults!$D:$D,F350))</f>
        <v/>
      </c>
      <c r="J350" s="11" t="str">
        <f>IF(D350="","",SUMIFS(RaceResults!$E:$E,RaceResults!$A:$A,$A350,RaceResults!$D:$D,D350))</f>
        <v/>
      </c>
      <c r="K350" s="11" t="str">
        <f>IF(E350="","",SUMIFS(RaceResults!$E:$E,RaceResults!$A:$A,$A350,RaceResults!$D:$D,E350))</f>
        <v/>
      </c>
      <c r="L350" s="11" t="str">
        <f>IF(F350="","",SUMIFS(RaceResults!$E:$E,RaceResults!$A:$A,$A350,RaceResults!$D:$D,F350))</f>
        <v/>
      </c>
      <c r="M350" s="11">
        <f t="shared" si="5"/>
        <v>0</v>
      </c>
    </row>
    <row r="351" spans="1:13" x14ac:dyDescent="0.3">
      <c r="A351" s="9">
        <v>35</v>
      </c>
      <c r="B351" s="9" t="s">
        <v>61</v>
      </c>
      <c r="C351" s="10" t="s">
        <v>32</v>
      </c>
      <c r="D351" s="3"/>
      <c r="E351" s="3"/>
      <c r="F351" s="3"/>
      <c r="G351" s="11" t="str">
        <f>IF(D351="","",SUMIFS(RaceResults!$C:$C,RaceResults!$A:$A,$A351,RaceResults!$D:$D,D351))</f>
        <v/>
      </c>
      <c r="H351" s="11" t="str">
        <f>IF(E351="","",SUMIFS(RaceResults!$C:$C,RaceResults!$A:$A,$A351,RaceResults!$D:$D,E351))</f>
        <v/>
      </c>
      <c r="I351" s="11" t="str">
        <f>IF(F351="","",SUMIFS(RaceResults!$C:$C,RaceResults!$A:$A,$A351,RaceResults!$D:$D,F351))</f>
        <v/>
      </c>
      <c r="J351" s="11" t="str">
        <f>IF(D351="","",SUMIFS(RaceResults!$E:$E,RaceResults!$A:$A,$A351,RaceResults!$D:$D,D351))</f>
        <v/>
      </c>
      <c r="K351" s="11" t="str">
        <f>IF(E351="","",SUMIFS(RaceResults!$E:$E,RaceResults!$A:$A,$A351,RaceResults!$D:$D,E351))</f>
        <v/>
      </c>
      <c r="L351" s="11" t="str">
        <f>IF(F351="","",SUMIFS(RaceResults!$E:$E,RaceResults!$A:$A,$A351,RaceResults!$D:$D,F351))</f>
        <v/>
      </c>
      <c r="M351" s="11">
        <f t="shared" si="5"/>
        <v>0</v>
      </c>
    </row>
    <row r="352" spans="1:13" x14ac:dyDescent="0.3">
      <c r="A352" s="9">
        <v>36</v>
      </c>
      <c r="B352" s="9" t="s">
        <v>115</v>
      </c>
      <c r="C352" s="10" t="s">
        <v>21</v>
      </c>
      <c r="D352" s="3"/>
      <c r="E352" s="3"/>
      <c r="F352" s="3"/>
      <c r="G352" s="11" t="str">
        <f>IF(D352="","",SUMIFS(RaceResults!$C:$C,RaceResults!$A:$A,$A352,RaceResults!$D:$D,D352))</f>
        <v/>
      </c>
      <c r="H352" s="11" t="str">
        <f>IF(E352="","",SUMIFS(RaceResults!$C:$C,RaceResults!$A:$A,$A352,RaceResults!$D:$D,E352))</f>
        <v/>
      </c>
      <c r="I352" s="11" t="str">
        <f>IF(F352="","",SUMIFS(RaceResults!$C:$C,RaceResults!$A:$A,$A352,RaceResults!$D:$D,F352))</f>
        <v/>
      </c>
      <c r="J352" s="11" t="str">
        <f>IF(D352="","",SUMIFS(RaceResults!$E:$E,RaceResults!$A:$A,$A352,RaceResults!$D:$D,D352))</f>
        <v/>
      </c>
      <c r="K352" s="11" t="str">
        <f>IF(E352="","",SUMIFS(RaceResults!$E:$E,RaceResults!$A:$A,$A352,RaceResults!$D:$D,E352))</f>
        <v/>
      </c>
      <c r="L352" s="11" t="str">
        <f>IF(F352="","",SUMIFS(RaceResults!$E:$E,RaceResults!$A:$A,$A352,RaceResults!$D:$D,F352))</f>
        <v/>
      </c>
      <c r="M352" s="11">
        <f t="shared" si="5"/>
        <v>0</v>
      </c>
    </row>
    <row r="353" spans="1:13" x14ac:dyDescent="0.3">
      <c r="A353" s="9">
        <v>36</v>
      </c>
      <c r="B353" s="9" t="s">
        <v>115</v>
      </c>
      <c r="C353" s="10" t="s">
        <v>22</v>
      </c>
      <c r="D353" s="3"/>
      <c r="E353" s="3"/>
      <c r="F353" s="3"/>
      <c r="G353" s="11" t="str">
        <f>IF(D353="","",SUMIFS(RaceResults!$C:$C,RaceResults!$A:$A,$A353,RaceResults!$D:$D,D353))</f>
        <v/>
      </c>
      <c r="H353" s="11" t="str">
        <f>IF(E353="","",SUMIFS(RaceResults!$C:$C,RaceResults!$A:$A,$A353,RaceResults!$D:$D,E353))</f>
        <v/>
      </c>
      <c r="I353" s="11" t="str">
        <f>IF(F353="","",SUMIFS(RaceResults!$C:$C,RaceResults!$A:$A,$A353,RaceResults!$D:$D,F353))</f>
        <v/>
      </c>
      <c r="J353" s="11" t="str">
        <f>IF(D353="","",SUMIFS(RaceResults!$E:$E,RaceResults!$A:$A,$A353,RaceResults!$D:$D,D353))</f>
        <v/>
      </c>
      <c r="K353" s="11" t="str">
        <f>IF(E353="","",SUMIFS(RaceResults!$E:$E,RaceResults!$A:$A,$A353,RaceResults!$D:$D,E353))</f>
        <v/>
      </c>
      <c r="L353" s="11" t="str">
        <f>IF(F353="","",SUMIFS(RaceResults!$E:$E,RaceResults!$A:$A,$A353,RaceResults!$D:$D,F353))</f>
        <v/>
      </c>
      <c r="M353" s="11">
        <f t="shared" si="5"/>
        <v>0</v>
      </c>
    </row>
    <row r="354" spans="1:13" x14ac:dyDescent="0.3">
      <c r="A354" s="9">
        <v>36</v>
      </c>
      <c r="B354" s="9" t="s">
        <v>115</v>
      </c>
      <c r="C354" s="10" t="s">
        <v>25</v>
      </c>
      <c r="D354" s="3"/>
      <c r="E354" s="3"/>
      <c r="F354" s="3"/>
      <c r="G354" s="11" t="str">
        <f>IF(D354="","",SUMIFS(RaceResults!$C:$C,RaceResults!$A:$A,$A354,RaceResults!$D:$D,D354))</f>
        <v/>
      </c>
      <c r="H354" s="11" t="str">
        <f>IF(E354="","",SUMIFS(RaceResults!$C:$C,RaceResults!$A:$A,$A354,RaceResults!$D:$D,E354))</f>
        <v/>
      </c>
      <c r="I354" s="11" t="str">
        <f>IF(F354="","",SUMIFS(RaceResults!$C:$C,RaceResults!$A:$A,$A354,RaceResults!$D:$D,F354))</f>
        <v/>
      </c>
      <c r="J354" s="11" t="str">
        <f>IF(D354="","",SUMIFS(RaceResults!$E:$E,RaceResults!$A:$A,$A354,RaceResults!$D:$D,D354))</f>
        <v/>
      </c>
      <c r="K354" s="11" t="str">
        <f>IF(E354="","",SUMIFS(RaceResults!$E:$E,RaceResults!$A:$A,$A354,RaceResults!$D:$D,E354))</f>
        <v/>
      </c>
      <c r="L354" s="11" t="str">
        <f>IF(F354="","",SUMIFS(RaceResults!$E:$E,RaceResults!$A:$A,$A354,RaceResults!$D:$D,F354))</f>
        <v/>
      </c>
      <c r="M354" s="11">
        <f t="shared" si="5"/>
        <v>0</v>
      </c>
    </row>
    <row r="355" spans="1:13" x14ac:dyDescent="0.3">
      <c r="A355" s="9">
        <v>36</v>
      </c>
      <c r="B355" s="9" t="s">
        <v>115</v>
      </c>
      <c r="C355" s="10" t="s">
        <v>26</v>
      </c>
      <c r="D355" s="3"/>
      <c r="E355" s="3"/>
      <c r="F355" s="3"/>
      <c r="G355" s="11" t="str">
        <f>IF(D355="","",SUMIFS(RaceResults!$C:$C,RaceResults!$A:$A,$A355,RaceResults!$D:$D,D355))</f>
        <v/>
      </c>
      <c r="H355" s="11" t="str">
        <f>IF(E355="","",SUMIFS(RaceResults!$C:$C,RaceResults!$A:$A,$A355,RaceResults!$D:$D,E355))</f>
        <v/>
      </c>
      <c r="I355" s="11" t="str">
        <f>IF(F355="","",SUMIFS(RaceResults!$C:$C,RaceResults!$A:$A,$A355,RaceResults!$D:$D,F355))</f>
        <v/>
      </c>
      <c r="J355" s="11" t="str">
        <f>IF(D355="","",SUMIFS(RaceResults!$E:$E,RaceResults!$A:$A,$A355,RaceResults!$D:$D,D355))</f>
        <v/>
      </c>
      <c r="K355" s="11" t="str">
        <f>IF(E355="","",SUMIFS(RaceResults!$E:$E,RaceResults!$A:$A,$A355,RaceResults!$D:$D,E355))</f>
        <v/>
      </c>
      <c r="L355" s="11" t="str">
        <f>IF(F355="","",SUMIFS(RaceResults!$E:$E,RaceResults!$A:$A,$A355,RaceResults!$D:$D,F355))</f>
        <v/>
      </c>
      <c r="M355" s="11">
        <f t="shared" si="5"/>
        <v>0</v>
      </c>
    </row>
    <row r="356" spans="1:13" x14ac:dyDescent="0.3">
      <c r="A356" s="9">
        <v>36</v>
      </c>
      <c r="B356" s="9" t="s">
        <v>115</v>
      </c>
      <c r="C356" s="10" t="s">
        <v>27</v>
      </c>
      <c r="D356" s="3"/>
      <c r="E356" s="3"/>
      <c r="F356" s="3"/>
      <c r="G356" s="11" t="str">
        <f>IF(D356="","",SUMIFS(RaceResults!$C:$C,RaceResults!$A:$A,$A356,RaceResults!$D:$D,D356))</f>
        <v/>
      </c>
      <c r="H356" s="11" t="str">
        <f>IF(E356="","",SUMIFS(RaceResults!$C:$C,RaceResults!$A:$A,$A356,RaceResults!$D:$D,E356))</f>
        <v/>
      </c>
      <c r="I356" s="11" t="str">
        <f>IF(F356="","",SUMIFS(RaceResults!$C:$C,RaceResults!$A:$A,$A356,RaceResults!$D:$D,F356))</f>
        <v/>
      </c>
      <c r="J356" s="11" t="str">
        <f>IF(D356="","",SUMIFS(RaceResults!$E:$E,RaceResults!$A:$A,$A356,RaceResults!$D:$D,D356))</f>
        <v/>
      </c>
      <c r="K356" s="11" t="str">
        <f>IF(E356="","",SUMIFS(RaceResults!$E:$E,RaceResults!$A:$A,$A356,RaceResults!$D:$D,E356))</f>
        <v/>
      </c>
      <c r="L356" s="11" t="str">
        <f>IF(F356="","",SUMIFS(RaceResults!$E:$E,RaceResults!$A:$A,$A356,RaceResults!$D:$D,F356))</f>
        <v/>
      </c>
      <c r="M356" s="11">
        <f t="shared" si="5"/>
        <v>0</v>
      </c>
    </row>
    <row r="357" spans="1:13" x14ac:dyDescent="0.3">
      <c r="A357" s="9">
        <v>36</v>
      </c>
      <c r="B357" s="9" t="s">
        <v>115</v>
      </c>
      <c r="C357" s="10" t="s">
        <v>28</v>
      </c>
      <c r="D357" s="3"/>
      <c r="E357" s="3"/>
      <c r="F357" s="3"/>
      <c r="G357" s="11" t="str">
        <f>IF(D357="","",SUMIFS(RaceResults!$C:$C,RaceResults!$A:$A,$A357,RaceResults!$D:$D,D357))</f>
        <v/>
      </c>
      <c r="H357" s="11" t="str">
        <f>IF(E357="","",SUMIFS(RaceResults!$C:$C,RaceResults!$A:$A,$A357,RaceResults!$D:$D,E357))</f>
        <v/>
      </c>
      <c r="I357" s="11" t="str">
        <f>IF(F357="","",SUMIFS(RaceResults!$C:$C,RaceResults!$A:$A,$A357,RaceResults!$D:$D,F357))</f>
        <v/>
      </c>
      <c r="J357" s="11" t="str">
        <f>IF(D357="","",SUMIFS(RaceResults!$E:$E,RaceResults!$A:$A,$A357,RaceResults!$D:$D,D357))</f>
        <v/>
      </c>
      <c r="K357" s="11" t="str">
        <f>IF(E357="","",SUMIFS(RaceResults!$E:$E,RaceResults!$A:$A,$A357,RaceResults!$D:$D,E357))</f>
        <v/>
      </c>
      <c r="L357" s="11" t="str">
        <f>IF(F357="","",SUMIFS(RaceResults!$E:$E,RaceResults!$A:$A,$A357,RaceResults!$D:$D,F357))</f>
        <v/>
      </c>
      <c r="M357" s="11">
        <f t="shared" si="5"/>
        <v>0</v>
      </c>
    </row>
    <row r="358" spans="1:13" x14ac:dyDescent="0.3">
      <c r="A358" s="9">
        <v>36</v>
      </c>
      <c r="B358" s="9" t="s">
        <v>115</v>
      </c>
      <c r="C358" s="10" t="s">
        <v>29</v>
      </c>
      <c r="D358" s="3"/>
      <c r="E358" s="3"/>
      <c r="F358" s="3"/>
      <c r="G358" s="11" t="str">
        <f>IF(D358="","",SUMIFS(RaceResults!$C:$C,RaceResults!$A:$A,$A358,RaceResults!$D:$D,D358))</f>
        <v/>
      </c>
      <c r="H358" s="11" t="str">
        <f>IF(E358="","",SUMIFS(RaceResults!$C:$C,RaceResults!$A:$A,$A358,RaceResults!$D:$D,E358))</f>
        <v/>
      </c>
      <c r="I358" s="11" t="str">
        <f>IF(F358="","",SUMIFS(RaceResults!$C:$C,RaceResults!$A:$A,$A358,RaceResults!$D:$D,F358))</f>
        <v/>
      </c>
      <c r="J358" s="11" t="str">
        <f>IF(D358="","",SUMIFS(RaceResults!$E:$E,RaceResults!$A:$A,$A358,RaceResults!$D:$D,D358))</f>
        <v/>
      </c>
      <c r="K358" s="11" t="str">
        <f>IF(E358="","",SUMIFS(RaceResults!$E:$E,RaceResults!$A:$A,$A358,RaceResults!$D:$D,E358))</f>
        <v/>
      </c>
      <c r="L358" s="11" t="str">
        <f>IF(F358="","",SUMIFS(RaceResults!$E:$E,RaceResults!$A:$A,$A358,RaceResults!$D:$D,F358))</f>
        <v/>
      </c>
      <c r="M358" s="11">
        <f t="shared" si="5"/>
        <v>0</v>
      </c>
    </row>
    <row r="359" spans="1:13" x14ac:dyDescent="0.3">
      <c r="A359" s="9">
        <v>36</v>
      </c>
      <c r="B359" s="9" t="s">
        <v>115</v>
      </c>
      <c r="C359" s="10" t="s">
        <v>30</v>
      </c>
      <c r="D359" s="3"/>
      <c r="E359" s="3"/>
      <c r="F359" s="3"/>
      <c r="G359" s="11" t="str">
        <f>IF(D359="","",SUMIFS(RaceResults!$C:$C,RaceResults!$A:$A,$A359,RaceResults!$D:$D,D359))</f>
        <v/>
      </c>
      <c r="H359" s="11" t="str">
        <f>IF(E359="","",SUMIFS(RaceResults!$C:$C,RaceResults!$A:$A,$A359,RaceResults!$D:$D,E359))</f>
        <v/>
      </c>
      <c r="I359" s="11" t="str">
        <f>IF(F359="","",SUMIFS(RaceResults!$C:$C,RaceResults!$A:$A,$A359,RaceResults!$D:$D,F359))</f>
        <v/>
      </c>
      <c r="J359" s="11" t="str">
        <f>IF(D359="","",SUMIFS(RaceResults!$E:$E,RaceResults!$A:$A,$A359,RaceResults!$D:$D,D359))</f>
        <v/>
      </c>
      <c r="K359" s="11" t="str">
        <f>IF(E359="","",SUMIFS(RaceResults!$E:$E,RaceResults!$A:$A,$A359,RaceResults!$D:$D,E359))</f>
        <v/>
      </c>
      <c r="L359" s="11" t="str">
        <f>IF(F359="","",SUMIFS(RaceResults!$E:$E,RaceResults!$A:$A,$A359,RaceResults!$D:$D,F359))</f>
        <v/>
      </c>
      <c r="M359" s="11">
        <f t="shared" si="5"/>
        <v>0</v>
      </c>
    </row>
    <row r="360" spans="1:13" x14ac:dyDescent="0.3">
      <c r="A360" s="9">
        <v>36</v>
      </c>
      <c r="B360" s="9" t="s">
        <v>115</v>
      </c>
      <c r="C360" s="10" t="s">
        <v>31</v>
      </c>
      <c r="D360" s="3"/>
      <c r="E360" s="3"/>
      <c r="F360" s="3"/>
      <c r="G360" s="11" t="str">
        <f>IF(D360="","",SUMIFS(RaceResults!$C:$C,RaceResults!$A:$A,$A360,RaceResults!$D:$D,D360))</f>
        <v/>
      </c>
      <c r="H360" s="11" t="str">
        <f>IF(E360="","",SUMIFS(RaceResults!$C:$C,RaceResults!$A:$A,$A360,RaceResults!$D:$D,E360))</f>
        <v/>
      </c>
      <c r="I360" s="11" t="str">
        <f>IF(F360="","",SUMIFS(RaceResults!$C:$C,RaceResults!$A:$A,$A360,RaceResults!$D:$D,F360))</f>
        <v/>
      </c>
      <c r="J360" s="11" t="str">
        <f>IF(D360="","",SUMIFS(RaceResults!$E:$E,RaceResults!$A:$A,$A360,RaceResults!$D:$D,D360))</f>
        <v/>
      </c>
      <c r="K360" s="11" t="str">
        <f>IF(E360="","",SUMIFS(RaceResults!$E:$E,RaceResults!$A:$A,$A360,RaceResults!$D:$D,E360))</f>
        <v/>
      </c>
      <c r="L360" s="11" t="str">
        <f>IF(F360="","",SUMIFS(RaceResults!$E:$E,RaceResults!$A:$A,$A360,RaceResults!$D:$D,F360))</f>
        <v/>
      </c>
      <c r="M360" s="11">
        <f t="shared" si="5"/>
        <v>0</v>
      </c>
    </row>
    <row r="361" spans="1:13" x14ac:dyDescent="0.3">
      <c r="A361" s="9">
        <v>36</v>
      </c>
      <c r="B361" s="9" t="s">
        <v>115</v>
      </c>
      <c r="C361" s="10" t="s">
        <v>32</v>
      </c>
      <c r="D361" s="3"/>
      <c r="E361" s="3"/>
      <c r="F361" s="3"/>
      <c r="G361" s="11" t="str">
        <f>IF(D361="","",SUMIFS(RaceResults!$C:$C,RaceResults!$A:$A,$A361,RaceResults!$D:$D,D361))</f>
        <v/>
      </c>
      <c r="H361" s="11" t="str">
        <f>IF(E361="","",SUMIFS(RaceResults!$C:$C,RaceResults!$A:$A,$A361,RaceResults!$D:$D,E361))</f>
        <v/>
      </c>
      <c r="I361" s="11" t="str">
        <f>IF(F361="","",SUMIFS(RaceResults!$C:$C,RaceResults!$A:$A,$A361,RaceResults!$D:$D,F361))</f>
        <v/>
      </c>
      <c r="J361" s="11" t="str">
        <f>IF(D361="","",SUMIFS(RaceResults!$E:$E,RaceResults!$A:$A,$A361,RaceResults!$D:$D,D361))</f>
        <v/>
      </c>
      <c r="K361" s="11" t="str">
        <f>IF(E361="","",SUMIFS(RaceResults!$E:$E,RaceResults!$A:$A,$A361,RaceResults!$D:$D,E361))</f>
        <v/>
      </c>
      <c r="L361" s="11" t="str">
        <f>IF(F361="","",SUMIFS(RaceResults!$E:$E,RaceResults!$A:$A,$A361,RaceResults!$D:$D,F361))</f>
        <v/>
      </c>
      <c r="M361" s="11">
        <f t="shared" si="5"/>
        <v>0</v>
      </c>
    </row>
  </sheetData>
  <dataValidations count="1">
    <dataValidation type="whole" sqref="D2:F146" xr:uid="{00000000-0002-0000-0400-000000000000}">
      <formula1>1</formula1>
      <formula2>99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7"/>
  <sheetViews>
    <sheetView zoomScaleNormal="100" workbookViewId="0"/>
  </sheetViews>
  <sheetFormatPr defaultColWidth="8.6640625" defaultRowHeight="14.25" customHeight="1" x14ac:dyDescent="0.3"/>
  <cols>
    <col min="1" max="1" width="8" customWidth="1"/>
    <col min="2" max="2" width="24" customWidth="1"/>
    <col min="3" max="3" width="12" customWidth="1"/>
    <col min="4" max="4" width="11" customWidth="1"/>
    <col min="5" max="5" width="18" customWidth="1"/>
    <col min="6" max="6" width="10" customWidth="1"/>
    <col min="7" max="7" width="15" customWidth="1"/>
    <col min="8" max="8" width="12" customWidth="1"/>
    <col min="9" max="9" width="14" customWidth="1"/>
  </cols>
  <sheetData>
    <row r="1" spans="1:9" x14ac:dyDescent="0.3">
      <c r="A1" s="6" t="s">
        <v>39</v>
      </c>
      <c r="B1" s="6" t="s">
        <v>40</v>
      </c>
      <c r="C1" s="6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6" t="s">
        <v>133</v>
      </c>
      <c r="I1" s="6" t="s">
        <v>134</v>
      </c>
    </row>
    <row r="2" spans="1:9" x14ac:dyDescent="0.3">
      <c r="A2">
        <v>1</v>
      </c>
      <c r="B2" t="s">
        <v>45</v>
      </c>
      <c r="C2" t="str">
        <f>IF(MAX(WeeklyPicks!$M$2:$M$11)=0,"",INDEX(WeeklyPicks!$C$2:$C$11,MATCH(MAX(WeeklyPicks!$M$2:$M$11),WeeklyPicks!$M$2:$M$11,0)))</f>
        <v/>
      </c>
      <c r="D2">
        <f>MAX(WeeklyPicks!$M$2:$M$11)</f>
        <v>0</v>
      </c>
      <c r="E2" t="str">
        <f>IF(MAX(CountCalc!$D$2:$D$100)=0,"",INDEX(CountCalc!$C$2:$C$100,MATCH(MAX(CountCalc!$D$2:$D$100),CountCalc!$D$2:$D$100,0)))</f>
        <v/>
      </c>
      <c r="F2">
        <f>MAX(CountCalc!$D$2:$D$100)</f>
        <v>0</v>
      </c>
      <c r="G2" t="str">
        <f>IF(MAX(Calc!$F$2:$F$31)=0,"",INDEX(Calc!$E$2:$E$31,MATCH(MAX(Calc!$F$2:$F$31),Calc!$F$2:$F$31,0)))</f>
        <v/>
      </c>
      <c r="H2">
        <f>MAX(Calc!$F$2:$F$31)</f>
        <v>0</v>
      </c>
      <c r="I2" t="str">
        <f>IF(H2=0,"",INDEX(Calc!$C$2:$C$31,MATCH(H2,Calc!$F$2:$F$31,0)))</f>
        <v/>
      </c>
    </row>
    <row r="3" spans="1:9" x14ac:dyDescent="0.3">
      <c r="A3">
        <v>2</v>
      </c>
      <c r="B3" t="s">
        <v>50</v>
      </c>
      <c r="C3" t="str">
        <f>IF(MAX(WeeklyPicks!$M$12:$M$21)=0,"",INDEX(WeeklyPicks!$C$12:$C$21,MATCH(MAX(WeeklyPicks!$M$12:$M$21),WeeklyPicks!$M$12:$M$21,0)))</f>
        <v/>
      </c>
      <c r="D3">
        <f>MAX(WeeklyPicks!$M$12:$M$21)</f>
        <v>0</v>
      </c>
      <c r="E3" t="str">
        <f>IF(MAX(CountCalc!$D$101:$D$199)=0,"",INDEX(CountCalc!$C$101:$C$199,MATCH(MAX(CountCalc!$D$101:$D$199),CountCalc!$D$101:$D$199,0)))</f>
        <v/>
      </c>
      <c r="F3">
        <f>MAX(CountCalc!$D$101:$D$199)</f>
        <v>0</v>
      </c>
      <c r="G3" t="str">
        <f>IF(MAX(Calc!$F$32:$F$61)=0,"",INDEX(Calc!$E$32:$E$61,MATCH(MAX(Calc!$F$32:$F$61),Calc!$F$32:$F$61,0)))</f>
        <v/>
      </c>
      <c r="H3">
        <f>MAX(Calc!$F$32:$F$61)</f>
        <v>0</v>
      </c>
      <c r="I3" t="str">
        <f>IF(H3=0,"",INDEX(Calc!$C$32:$C$61,MATCH(H3,Calc!$F$32:$F$61,0)))</f>
        <v/>
      </c>
    </row>
    <row r="4" spans="1:9" x14ac:dyDescent="0.3">
      <c r="A4">
        <v>3</v>
      </c>
      <c r="B4" t="s">
        <v>52</v>
      </c>
      <c r="C4" t="str">
        <f>IF(MAX(WeeklyPicks!$M$22:$M$31)=0,"",INDEX(WeeklyPicks!$C$22:$C$31,MATCH(MAX(WeeklyPicks!$M$22:$M$31),WeeklyPicks!$M$22:$M$31,0)))</f>
        <v>Meg</v>
      </c>
      <c r="D4">
        <f>MAX(WeeklyPicks!$M$22:$M$31)</f>
        <v>111</v>
      </c>
      <c r="E4">
        <f>IF(MAX(CountCalc!$D$200:$D$298)=0,"",INDEX(CountCalc!$C$200:$C$298,MATCH(MAX(CountCalc!$D$200:$D$298),CountCalc!$D$200:$D$298,0)))</f>
        <v>11</v>
      </c>
      <c r="F4">
        <f>MAX(CountCalc!$D$200:$D$298)</f>
        <v>2</v>
      </c>
      <c r="G4">
        <f>IF(MAX(Calc!$F$62:$F$91)=0,"",INDEX(Calc!$E$62:$E$91,MATCH(MAX(Calc!$F$62:$F$91),Calc!$F$62:$F$91,0)))</f>
        <v>19</v>
      </c>
      <c r="H4">
        <f>MAX(Calc!$F$62:$F$91)</f>
        <v>37</v>
      </c>
      <c r="I4" t="str">
        <f>IF(H4=0,"",INDEX(Calc!$C$62:$C$91,MATCH(H4,Calc!$F$62:$F$91,0)))</f>
        <v>Darin</v>
      </c>
    </row>
    <row r="5" spans="1:9" x14ac:dyDescent="0.3">
      <c r="A5">
        <v>4</v>
      </c>
      <c r="B5" t="s">
        <v>54</v>
      </c>
      <c r="C5" t="str">
        <f>IF(MAX(WeeklyPicks!$M$32:$M$41)=0,"",INDEX(WeeklyPicks!$C$32:$C$41,MATCH(MAX(WeeklyPicks!$M$32:$M$41),WeeklyPicks!$M$32:$M$41,0)))</f>
        <v>Pat</v>
      </c>
      <c r="D5">
        <f>MAX(WeeklyPicks!$M$32:$M$41)</f>
        <v>95</v>
      </c>
      <c r="E5">
        <f>IF(MAX(CountCalc!$D$299:$D$397)=0,"",INDEX(CountCalc!$C$299:$C$397,MATCH(MAX(CountCalc!$D$299:$D$397),CountCalc!$D$299:$D$397,0)))</f>
        <v>12</v>
      </c>
      <c r="F5">
        <f>MAX(CountCalc!$D$299:$D$397)</f>
        <v>3</v>
      </c>
      <c r="G5">
        <f>IF(MAX(Calc!$F$92:$F$121)=0,"",INDEX(Calc!$E$92:$E$121,MATCH(MAX(Calc!$F$92:$F$121),Calc!$F$92:$F$121,0)))</f>
        <v>19</v>
      </c>
      <c r="H5">
        <f>MAX(Calc!$F$92:$F$121)</f>
        <v>37</v>
      </c>
      <c r="I5" t="str">
        <f>IF(H5=0,"",INDEX(Calc!$C$92:$C$121,MATCH(H5,Calc!$F$92:$F$121,0)))</f>
        <v>Joe</v>
      </c>
    </row>
    <row r="6" spans="1:9" x14ac:dyDescent="0.3">
      <c r="A6">
        <v>5</v>
      </c>
      <c r="B6" t="s">
        <v>57</v>
      </c>
      <c r="C6" t="str">
        <f>IF(MAX(WeeklyPicks!$M$42:$M$51)=0,"",INDEX(WeeklyPicks!$C$42:$C$51,MATCH(MAX(WeeklyPicks!$M$42:$M$51),WeeklyPicks!$M$42:$M$51,0)))</f>
        <v>Joe</v>
      </c>
      <c r="D6">
        <f>MAX(WeeklyPicks!$M$42:$M$51)</f>
        <v>118</v>
      </c>
      <c r="E6">
        <f>IF(MAX(CountCalc!$D$398:$D$496)=0,"",INDEX(CountCalc!$C$398:$C$496,MATCH(MAX(CountCalc!$D$398:$D$496),CountCalc!$D$398:$D$496,0)))</f>
        <v>5</v>
      </c>
      <c r="F6">
        <f>MAX(CountCalc!$D$398:$D$496)</f>
        <v>4</v>
      </c>
      <c r="G6">
        <f>IF(MAX(Calc!$F$122:$F$151)=0,"",INDEX(Calc!$E$122:$E$151,MATCH(MAX(Calc!$F$122:$F$151),Calc!$F$122:$F$151,0)))</f>
        <v>12</v>
      </c>
      <c r="H6">
        <f>MAX(Calc!$F$122:$F$151)</f>
        <v>16</v>
      </c>
      <c r="I6" t="str">
        <f>IF(H6=0,"",INDEX(Calc!$C$122:$C$151,MATCH(H6,Calc!$F$122:$F$151,0)))</f>
        <v>Meg</v>
      </c>
    </row>
    <row r="7" spans="1:9" x14ac:dyDescent="0.3">
      <c r="A7">
        <v>6</v>
      </c>
      <c r="B7" t="s">
        <v>59</v>
      </c>
      <c r="C7" t="str">
        <f>IF(MAX(WeeklyPicks!$M$52:$M$61)=0,"",INDEX(WeeklyPicks!$C$52:$C$61,MATCH(MAX(WeeklyPicks!$M$52:$M$61),WeeklyPicks!$M$52:$M$61,0)))</f>
        <v>Alz</v>
      </c>
      <c r="D7">
        <f>MAX(WeeklyPicks!$M$52:$M$61)</f>
        <v>115</v>
      </c>
      <c r="E7">
        <f>IF(MAX(CountCalc!$D$497:$D$595)=0,"",INDEX(CountCalc!$C$497:$C$595,MATCH(MAX(CountCalc!$D$497:$D$595),CountCalc!$D$497:$D$595,0)))</f>
        <v>11</v>
      </c>
      <c r="F7">
        <f>MAX(CountCalc!$D$497:$D$595)</f>
        <v>7</v>
      </c>
      <c r="G7">
        <f>IF(MAX(Calc!$F$152:$F$181)=0,"",INDEX(Calc!$E$152:$E$181,MATCH(MAX(Calc!$F$152:$F$181),Calc!$F$152:$F$181,0)))</f>
        <v>22</v>
      </c>
      <c r="H7">
        <f>MAX(Calc!$F$152:$F$181)</f>
        <v>33</v>
      </c>
      <c r="I7" t="str">
        <f>IF(H7=0,"",INDEX(Calc!$C$152:$C$181,MATCH(H7,Calc!$F$152:$F$181,0)))</f>
        <v>Meg</v>
      </c>
    </row>
    <row r="8" spans="1:9" x14ac:dyDescent="0.3">
      <c r="A8">
        <v>7</v>
      </c>
      <c r="B8" t="s">
        <v>61</v>
      </c>
      <c r="C8" t="str">
        <f>IF(MAX(WeeklyPicks!$M$62:$M$71)=0,"",INDEX(WeeklyPicks!$C$62:$C$71,MATCH(MAX(WeeklyPicks!$M$62:$M$71),WeeklyPicks!$M$62:$M$71,0)))</f>
        <v>Darin</v>
      </c>
      <c r="D8">
        <f>MAX(WeeklyPicks!$M$62:$M$71)</f>
        <v>122</v>
      </c>
      <c r="E8">
        <f>IF(MAX(CountCalc!$D$596:$D$694)=0,"",INDEX(CountCalc!$C$596:$C$694,MATCH(MAX(CountCalc!$D$596:$D$694),CountCalc!$D$596:$D$694,0)))</f>
        <v>11</v>
      </c>
      <c r="F8">
        <f>MAX(CountCalc!$D$596:$D$694)</f>
        <v>8</v>
      </c>
      <c r="G8">
        <f>IF(MAX(Calc!$F$182:$F$211)=0,"",INDEX(Calc!$E$182:$E$211,MATCH(MAX(Calc!$F$182:$F$211),Calc!$F$182:$F$211,0)))</f>
        <v>23</v>
      </c>
      <c r="H8">
        <f>MAX(Calc!$F$182:$F$211)</f>
        <v>36</v>
      </c>
      <c r="I8" t="str">
        <f>IF(H8=0,"",INDEX(Calc!$C$182:$C$211,MATCH(H8,Calc!$F$182:$F$211,0)))</f>
        <v>Ryan</v>
      </c>
    </row>
    <row r="9" spans="1:9" x14ac:dyDescent="0.3">
      <c r="A9">
        <v>8</v>
      </c>
      <c r="B9" t="s">
        <v>63</v>
      </c>
      <c r="C9" t="str">
        <f>IF(MAX(WeeklyPicks!$M$72:$M$81)=0,"",INDEX(WeeklyPicks!$C$72:$C$81,MATCH(MAX(WeeklyPicks!$M$72:$M$81),WeeklyPicks!$M$72:$M$81,0)))</f>
        <v>Ryan</v>
      </c>
      <c r="D9">
        <f>MAX(WeeklyPicks!$M$72:$M$81)</f>
        <v>123</v>
      </c>
      <c r="E9">
        <f>IF(MAX(CountCalc!$D$695:$D$793)=0,"",INDEX(CountCalc!$C$695:$C$793,MATCH(MAX(CountCalc!$D$695:$D$793),CountCalc!$D$695:$D$793,0)))</f>
        <v>12</v>
      </c>
      <c r="F9">
        <f>MAX(CountCalc!$D$695:$D$793)</f>
        <v>6</v>
      </c>
      <c r="G9">
        <f>IF(MAX(Calc!$F$212:$F$241)=0,"",INDEX(Calc!$E$212:$E$241,MATCH(MAX(Calc!$F$212:$F$241),Calc!$F$212:$F$241,0)))</f>
        <v>20</v>
      </c>
      <c r="H9">
        <f>MAX(Calc!$F$212:$F$241)</f>
        <v>27</v>
      </c>
      <c r="I9" t="str">
        <f>IF(H9=0,"",INDEX(Calc!$C$212:$C$241,MATCH(H9,Calc!$F$212:$F$241,0)))</f>
        <v>Joe</v>
      </c>
    </row>
    <row r="10" spans="1:9" x14ac:dyDescent="0.3">
      <c r="A10">
        <v>9</v>
      </c>
      <c r="B10" t="s">
        <v>65</v>
      </c>
      <c r="C10" t="str">
        <f>IF(MAX(WeeklyPicks!$M$82:$M$91)=0,"",INDEX(WeeklyPicks!$C$82:$C$91,MATCH(MAX(WeeklyPicks!$M$82:$M$91),WeeklyPicks!$M$82:$M$91,0)))</f>
        <v>Pat</v>
      </c>
      <c r="D10">
        <f>MAX(WeeklyPicks!$M$82:$M$91)</f>
        <v>123</v>
      </c>
      <c r="E10">
        <f>IF(MAX(CountCalc!$D$794:$D$892)=0,"",INDEX(CountCalc!$C$794:$C$892,MATCH(MAX(CountCalc!$D$794:$D$892),CountCalc!$D$794:$D$892,0)))</f>
        <v>5</v>
      </c>
      <c r="F10">
        <f>MAX(CountCalc!$D$794:$D$892)</f>
        <v>8</v>
      </c>
      <c r="G10">
        <f>IF(MAX(Calc!$F$242:$F$271)=0,"",INDEX(Calc!$E$242:$E$271,MATCH(MAX(Calc!$F$242:$F$271),Calc!$F$242:$F$271,0)))</f>
        <v>12</v>
      </c>
      <c r="H10">
        <f>MAX(Calc!$F$242:$F$271)</f>
        <v>24</v>
      </c>
      <c r="I10" t="str">
        <f>IF(H10=0,"",INDEX(Calc!$C$242:$C$271,MATCH(H10,Calc!$F$242:$F$271,0)))</f>
        <v>Darin</v>
      </c>
    </row>
    <row r="11" spans="1:9" x14ac:dyDescent="0.3">
      <c r="A11">
        <v>10</v>
      </c>
      <c r="B11" t="s">
        <v>67</v>
      </c>
      <c r="C11" t="str">
        <f>IF(MAX(WeeklyPicks!$M$92:$M$101)=0,"",INDEX(WeeklyPicks!$C$92:$C$101,MATCH(MAX(WeeklyPicks!$M$92:$M$101),WeeklyPicks!$M$92:$M$101,0)))</f>
        <v>Meg</v>
      </c>
      <c r="D11">
        <f>MAX(WeeklyPicks!$M$92:$M$101)</f>
        <v>46</v>
      </c>
      <c r="E11">
        <f>IF(MAX(CountCalc!$D$893:$D$991)=0,"",INDEX(CountCalc!$C$893:$C$991,MATCH(MAX(CountCalc!$D$893:$D$991),CountCalc!$D$893:$D$991,0)))</f>
        <v>5</v>
      </c>
      <c r="F11">
        <f>MAX(CountCalc!$D$893:$D$991)</f>
        <v>6</v>
      </c>
      <c r="G11">
        <f>IF(MAX(Calc!$F$272:$F$301)=0,"",INDEX(Calc!$E$272:$E$301,MATCH(MAX(Calc!$F$272:$F$301),Calc!$F$272:$F$301,0)))</f>
        <v>5</v>
      </c>
      <c r="H11">
        <f>MAX(Calc!$F$272:$F$301)</f>
        <v>40</v>
      </c>
      <c r="I11" t="str">
        <f>IF(H11=0,"",INDEX(Calc!$C$272:$C$301,MATCH(H11,Calc!$F$272:$F$301,0)))</f>
        <v>Pat</v>
      </c>
    </row>
    <row r="12" spans="1:9" x14ac:dyDescent="0.3">
      <c r="A12">
        <v>11</v>
      </c>
      <c r="B12" t="s">
        <v>69</v>
      </c>
      <c r="C12" t="str">
        <f>IF(MAX(WeeklyPicks!$M$102:$M$111)=0,"",INDEX(WeeklyPicks!$C$102:$C$111,MATCH(MAX(WeeklyPicks!$M$102:$M$111),WeeklyPicks!$M$102:$M$111,0)))</f>
        <v>Meg</v>
      </c>
      <c r="D12">
        <f>MAX(WeeklyPicks!$M$102:$M$111)</f>
        <v>99</v>
      </c>
      <c r="E12">
        <f>IF(MAX(CountCalc!$D$992:$D$1090)=0,"",INDEX(CountCalc!$C$992:$C$1090,MATCH(MAX(CountCalc!$D$992:$D$1090),CountCalc!$D$992:$D$1090,0)))</f>
        <v>11</v>
      </c>
      <c r="F12">
        <f>MAX(CountCalc!$D$992:$D$1090)</f>
        <v>6</v>
      </c>
      <c r="G12">
        <f>IF(MAX(Calc!$F$302:$F$331)=0,"",INDEX(Calc!$E$302:$E$331,MATCH(MAX(Calc!$F$302:$F$331),Calc!$F$302:$F$331,0)))</f>
        <v>20</v>
      </c>
      <c r="H12">
        <f>MAX(Calc!$F$302:$F$331)</f>
        <v>38</v>
      </c>
      <c r="I12" t="str">
        <f>IF(H12=0,"",INDEX(Calc!$C$302:$C$331,MATCH(H12,Calc!$F$302:$F$331,0)))</f>
        <v>Darin</v>
      </c>
    </row>
    <row r="13" spans="1:9" x14ac:dyDescent="0.3">
      <c r="A13">
        <v>12</v>
      </c>
      <c r="B13" t="s">
        <v>71</v>
      </c>
      <c r="C13" t="str">
        <f>IF(MAX(WeeklyPicks!$M$112:$M$121)=0,"",INDEX(WeeklyPicks!$C$112:$C$121,MATCH(MAX(WeeklyPicks!$M$112:$M$121),WeeklyPicks!$M$112:$M$121,0)))</f>
        <v>Pat</v>
      </c>
      <c r="D13">
        <f>MAX(WeeklyPicks!$M$112:$M$121)</f>
        <v>109</v>
      </c>
      <c r="E13">
        <f>IF(MAX(CountCalc!$D$1091:$D$1189)=0,"",INDEX(CountCalc!$C$1091:$C$1189,MATCH(MAX(CountCalc!$D$1091:$D$1189),CountCalc!$D$1091:$D$1189,0)))</f>
        <v>97</v>
      </c>
      <c r="F13">
        <f>MAX(CountCalc!$D$1091:$D$1189)</f>
        <v>6</v>
      </c>
      <c r="G13">
        <f>IF(MAX(Calc!$F$332:$F$361)=0,"",INDEX(Calc!$E$332:$E$361,MATCH(MAX(Calc!$F$332:$F$361),Calc!$F$332:$F$361,0)))</f>
        <v>22</v>
      </c>
      <c r="H13">
        <f>MAX(Calc!$F$332:$F$361)</f>
        <v>38</v>
      </c>
      <c r="I13" t="str">
        <f>IF(H13=0,"",INDEX(Calc!$C$332:$C$361,MATCH(H13,Calc!$F$332:$F$361,0)))</f>
        <v>Joe</v>
      </c>
    </row>
    <row r="14" spans="1:9" x14ac:dyDescent="0.3">
      <c r="A14">
        <v>13</v>
      </c>
      <c r="B14" t="s">
        <v>73</v>
      </c>
      <c r="C14" t="str">
        <f>IF(MAX(WeeklyPicks!$M$122:$M$131)=0,"",INDEX(WeeklyPicks!$C$122:$C$131,MATCH(MAX(WeeklyPicks!$M$122:$M$131),WeeklyPicks!$M$122:$M$131,0)))</f>
        <v/>
      </c>
      <c r="D14">
        <f>MAX(WeeklyPicks!$M$122:$M$131)</f>
        <v>0</v>
      </c>
      <c r="E14">
        <f>IF(MAX(CountCalc!$D$1190:$D$1288)=0,"",INDEX(CountCalc!$C$1190:$C$1288,MATCH(MAX(CountCalc!$D$1190:$D$1288),CountCalc!$D$1190:$D$1288,0)))</f>
        <v>11</v>
      </c>
      <c r="F14">
        <f>MAX(CountCalc!$D$1190:$D$1288)</f>
        <v>5</v>
      </c>
      <c r="G14" t="str">
        <f>IF(MAX(Calc!$F$362:$F$391)=0,"",INDEX(Calc!$E$362:$E$391,MATCH(MAX(Calc!$F$362:$F$391),Calc!$F$362:$F$391,0)))</f>
        <v/>
      </c>
      <c r="H14">
        <f>MAX(Calc!$F$362:$F$391)</f>
        <v>0</v>
      </c>
      <c r="I14" t="str">
        <f>IF(H14=0,"",INDEX(Calc!$C$362:$C$391,MATCH(H14,Calc!$F$362:$F$391,0)))</f>
        <v/>
      </c>
    </row>
    <row r="15" spans="1:9" x14ac:dyDescent="0.3">
      <c r="A15">
        <v>14</v>
      </c>
      <c r="B15" t="s">
        <v>76</v>
      </c>
      <c r="C15" t="str">
        <f>IF(MAX(WeeklyPicks!$M$132:$M$141)=0,"",INDEX(WeeklyPicks!$C$132:$C$141,MATCH(MAX(WeeklyPicks!$M$132:$M$141),WeeklyPicks!$M$132:$M$141,0)))</f>
        <v/>
      </c>
      <c r="D15">
        <f>MAX(WeeklyPicks!$M$132:$M$141)</f>
        <v>0</v>
      </c>
      <c r="E15" t="str">
        <f>IF(MAX(CountCalc!$D$1289:$D$1387)=0,"",INDEX(CountCalc!$C$1289:$C$1387,MATCH(MAX(CountCalc!$D$1289:$D$1387),CountCalc!$D$1289:$D$1387,0)))</f>
        <v/>
      </c>
      <c r="F15">
        <f>MAX(CountCalc!$D$1289:$D$1387)</f>
        <v>0</v>
      </c>
      <c r="G15" t="str">
        <f>IF(MAX(Calc!$F$392:$F$421)=0,"",INDEX(Calc!$E$392:$E$421,MATCH(MAX(Calc!$F$392:$F$421),Calc!$F$392:$F$421,0)))</f>
        <v/>
      </c>
      <c r="H15">
        <f>MAX(Calc!$F$392:$F$421)</f>
        <v>0</v>
      </c>
      <c r="I15" t="str">
        <f>IF(H15=0,"",INDEX(Calc!$C$392:$C$421,MATCH(H15,Calc!$F$392:$F$421,0)))</f>
        <v/>
      </c>
    </row>
    <row r="16" spans="1:9" x14ac:dyDescent="0.3">
      <c r="A16">
        <v>15</v>
      </c>
      <c r="B16" t="s">
        <v>78</v>
      </c>
      <c r="C16" t="str">
        <f>IF(MAX(WeeklyPicks!$M$142:$M$151)=0,"",INDEX(WeeklyPicks!$C$142:$C$151,MATCH(MAX(WeeklyPicks!$M$142:$M$151),WeeklyPicks!$M$142:$M$151,0)))</f>
        <v/>
      </c>
      <c r="D16">
        <f>MAX(WeeklyPicks!$M$142:$M$151)</f>
        <v>0</v>
      </c>
      <c r="E16" t="str">
        <f>IF(MAX(CountCalc!$D$1388:$D$1486)=0,"",INDEX(CountCalc!$C$1388:$C$1486,MATCH(MAX(CountCalc!$D$1388:$D$1486),CountCalc!$D$1388:$D$1486,0)))</f>
        <v/>
      </c>
      <c r="F16">
        <f>MAX(CountCalc!$D$1388:$D$1486)</f>
        <v>0</v>
      </c>
      <c r="G16" t="str">
        <f>IF(MAX(Calc!$F$422:$F$451)=0,"",INDEX(Calc!$E$422:$E$451,MATCH(MAX(Calc!$F$422:$F$451),Calc!$F$422:$F$451,0)))</f>
        <v/>
      </c>
      <c r="H16">
        <f>MAX(Calc!$F$422:$F$451)</f>
        <v>0</v>
      </c>
      <c r="I16" t="str">
        <f>IF(H16=0,"",INDEX(Calc!$C$422:$C$451,MATCH(H16,Calc!$F$422:$F$451,0)))</f>
        <v/>
      </c>
    </row>
    <row r="17" spans="1:9" x14ac:dyDescent="0.3">
      <c r="A17">
        <v>16</v>
      </c>
      <c r="B17" t="s">
        <v>80</v>
      </c>
      <c r="C17" t="str">
        <f>IF(MAX(WeeklyPicks!$M$152:$M$161)=0,"",INDEX(WeeklyPicks!$C$152:$C$161,MATCH(MAX(WeeklyPicks!$M$152:$M$161),WeeklyPicks!$M$152:$M$161,0)))</f>
        <v/>
      </c>
      <c r="D17">
        <f>MAX(WeeklyPicks!$M$152:$M$161)</f>
        <v>0</v>
      </c>
      <c r="E17" t="str">
        <f>IF(MAX(CountCalc!$D$1487:$D$1585)=0,"",INDEX(CountCalc!$C$1487:$C$1585,MATCH(MAX(CountCalc!$D$1487:$D$1585),CountCalc!$D$1487:$D$1585,0)))</f>
        <v/>
      </c>
      <c r="F17">
        <f>MAX(CountCalc!$D$1487:$D$1585)</f>
        <v>0</v>
      </c>
      <c r="G17" t="str">
        <f>IF(MAX(Calc!$F$452:$F$481)=0,"",INDEX(Calc!$E$452:$E$481,MATCH(MAX(Calc!$F$452:$F$481),Calc!$F$452:$F$481,0)))</f>
        <v/>
      </c>
      <c r="H17">
        <f>MAX(Calc!$F$452:$F$481)</f>
        <v>0</v>
      </c>
      <c r="I17" t="str">
        <f>IF(H17=0,"",INDEX(Calc!$C$452:$C$481,MATCH(H17,Calc!$F$452:$F$481,0)))</f>
        <v/>
      </c>
    </row>
    <row r="18" spans="1:9" x14ac:dyDescent="0.3">
      <c r="A18">
        <v>17</v>
      </c>
      <c r="B18" t="s">
        <v>82</v>
      </c>
      <c r="C18" t="str">
        <f>IF(MAX(WeeklyPicks!$M$162:$M$171)=0,"",INDEX(WeeklyPicks!$C$162:$C$171,MATCH(MAX(WeeklyPicks!$M$162:$M$171),WeeklyPicks!$M$162:$M$171,0)))</f>
        <v/>
      </c>
      <c r="D18">
        <f>MAX(WeeklyPicks!$M$162:$M$171)</f>
        <v>0</v>
      </c>
      <c r="E18" t="str">
        <f>IF(MAX(CountCalc!$D$1586:$D$1684)=0,"",INDEX(CountCalc!$C$1586:$C$1684,MATCH(MAX(CountCalc!$D$1586:$D$1684),CountCalc!$D$1586:$D$1684,0)))</f>
        <v/>
      </c>
      <c r="F18">
        <f>MAX(CountCalc!$D$1586:$D$1684)</f>
        <v>0</v>
      </c>
      <c r="G18" t="str">
        <f>IF(MAX(Calc!$F$482:$F$511)=0,"",INDEX(Calc!$E$482:$E$511,MATCH(MAX(Calc!$F$482:$F$511),Calc!$F$482:$F$511,0)))</f>
        <v/>
      </c>
      <c r="H18">
        <f>MAX(Calc!$F$482:$F$511)</f>
        <v>0</v>
      </c>
      <c r="I18" t="str">
        <f>IF(H18=0,"",INDEX(Calc!$C$482:$C$511,MATCH(H18,Calc!$F$482:$F$511,0)))</f>
        <v/>
      </c>
    </row>
    <row r="19" spans="1:9" x14ac:dyDescent="0.3">
      <c r="A19">
        <v>18</v>
      </c>
      <c r="B19" t="s">
        <v>84</v>
      </c>
      <c r="C19" t="str">
        <f>IF(MAX(WeeklyPicks!$M$172:$M$181)=0,"",INDEX(WeeklyPicks!$C$172:$C$181,MATCH(MAX(WeeklyPicks!$M$172:$M$181),WeeklyPicks!$M$172:$M$181,0)))</f>
        <v/>
      </c>
      <c r="D19">
        <f>MAX(WeeklyPicks!$M$172:$M$181)</f>
        <v>0</v>
      </c>
      <c r="E19" t="str">
        <f>IF(MAX(CountCalc!$D$1685:$D$1783)=0,"",INDEX(CountCalc!$C$1685:$C$1783,MATCH(MAX(CountCalc!$D$1685:$D$1783),CountCalc!$D$1685:$D$1783,0)))</f>
        <v/>
      </c>
      <c r="F19">
        <f>MAX(CountCalc!$D$1685:$D$1783)</f>
        <v>0</v>
      </c>
      <c r="G19" t="str">
        <f>IF(MAX(Calc!$F$512:$F$541)=0,"",INDEX(Calc!$E$512:$E$541,MATCH(MAX(Calc!$F$512:$F$541),Calc!$F$512:$F$541,0)))</f>
        <v/>
      </c>
      <c r="H19">
        <f>MAX(Calc!$F$512:$F$541)</f>
        <v>0</v>
      </c>
      <c r="I19" t="str">
        <f>IF(H19=0,"",INDEX(Calc!$C$512:$C$541,MATCH(H19,Calc!$F$512:$F$541,0)))</f>
        <v/>
      </c>
    </row>
    <row r="20" spans="1:9" x14ac:dyDescent="0.3">
      <c r="A20">
        <v>19</v>
      </c>
      <c r="B20" t="s">
        <v>87</v>
      </c>
      <c r="C20" t="str">
        <f>IF(MAX(WeeklyPicks!$M$182:$M$191)=0,"",INDEX(WeeklyPicks!$C$182:$C$191,MATCH(MAX(WeeklyPicks!$M$182:$M$191),WeeklyPicks!$M$182:$M$191,0)))</f>
        <v/>
      </c>
      <c r="D20">
        <f>MAX(WeeklyPicks!$M$182:$M$191)</f>
        <v>0</v>
      </c>
      <c r="E20" t="str">
        <f>IF(MAX(CountCalc!$D$1784:$D$1882)=0,"",INDEX(CountCalc!$C$1784:$C$1882,MATCH(MAX(CountCalc!$D$1784:$D$1882),CountCalc!$D$1784:$D$1882,0)))</f>
        <v/>
      </c>
      <c r="F20">
        <f>MAX(CountCalc!$D$1784:$D$1882)</f>
        <v>0</v>
      </c>
      <c r="G20" t="str">
        <f>IF(MAX(Calc!$F$542:$F$571)=0,"",INDEX(Calc!$E$542:$E$571,MATCH(MAX(Calc!$F$542:$F$571),Calc!$F$542:$F$571,0)))</f>
        <v/>
      </c>
      <c r="H20">
        <f>MAX(Calc!$F$542:$F$571)</f>
        <v>0</v>
      </c>
      <c r="I20" t="str">
        <f>IF(H20=0,"",INDEX(Calc!$C$542:$C$571,MATCH(H20,Calc!$F$542:$F$571,0)))</f>
        <v/>
      </c>
    </row>
    <row r="21" spans="1:9" x14ac:dyDescent="0.3">
      <c r="A21">
        <v>20</v>
      </c>
      <c r="B21" t="s">
        <v>50</v>
      </c>
      <c r="C21" t="str">
        <f>IF(MAX(WeeklyPicks!$M$192:$M$201)=0,"",INDEX(WeeklyPicks!$C$192:$C$201,MATCH(MAX(WeeklyPicks!$M$192:$M$201),WeeklyPicks!$M$192:$M$201,0)))</f>
        <v/>
      </c>
      <c r="D21">
        <f>MAX(WeeklyPicks!$M$192:$M$201)</f>
        <v>0</v>
      </c>
      <c r="E21" t="str">
        <f>IF(MAX(CountCalc!$D$1883:$D$1981)=0,"",INDEX(CountCalc!$C$1883:$C$1981,MATCH(MAX(CountCalc!$D$1883:$D$1981),CountCalc!$D$1883:$D$1981,0)))</f>
        <v/>
      </c>
      <c r="F21">
        <f>MAX(CountCalc!$D$1883:$D$1981)</f>
        <v>0</v>
      </c>
      <c r="G21" t="str">
        <f>IF(MAX(Calc!$F$572:$F$601)=0,"",INDEX(Calc!$E$572:$E$601,MATCH(MAX(Calc!$F$572:$F$601),Calc!$F$572:$F$601,0)))</f>
        <v/>
      </c>
      <c r="H21">
        <f>MAX(Calc!$F$572:$F$601)</f>
        <v>0</v>
      </c>
      <c r="I21" t="str">
        <f>IF(H21=0,"",INDEX(Calc!$C$572:$C$601,MATCH(H21,Calc!$F$572:$F$601,0)))</f>
        <v/>
      </c>
    </row>
    <row r="22" spans="1:9" x14ac:dyDescent="0.3">
      <c r="A22">
        <v>21</v>
      </c>
      <c r="B22" t="s">
        <v>90</v>
      </c>
      <c r="C22" t="str">
        <f>IF(MAX(WeeklyPicks!$M$202:$M$211)=0,"",INDEX(WeeklyPicks!$C$202:$C$211,MATCH(MAX(WeeklyPicks!$M$202:$M$211),WeeklyPicks!$M$202:$M$211,0)))</f>
        <v/>
      </c>
      <c r="D22">
        <f>MAX(WeeklyPicks!$M$202:$M$211)</f>
        <v>0</v>
      </c>
      <c r="E22" t="str">
        <f>IF(MAX(CountCalc!$D$1982:$D$2080)=0,"",INDEX(CountCalc!$C$1982:$C$2080,MATCH(MAX(CountCalc!$D$1982:$D$2080),CountCalc!$D$1982:$D$2080,0)))</f>
        <v/>
      </c>
      <c r="F22">
        <f>MAX(CountCalc!$D$1982:$D$2080)</f>
        <v>0</v>
      </c>
      <c r="G22" t="str">
        <f>IF(MAX(Calc!$F$602:$F$631)=0,"",INDEX(Calc!$E$602:$E$631,MATCH(MAX(Calc!$F$602:$F$631),Calc!$F$602:$F$631,0)))</f>
        <v/>
      </c>
      <c r="H22">
        <f>MAX(Calc!$F$602:$F$631)</f>
        <v>0</v>
      </c>
      <c r="I22" t="str">
        <f>IF(H22=0,"",INDEX(Calc!$C$602:$C$631,MATCH(H22,Calc!$F$602:$F$631,0)))</f>
        <v/>
      </c>
    </row>
    <row r="23" spans="1:9" x14ac:dyDescent="0.3">
      <c r="A23">
        <v>22</v>
      </c>
      <c r="B23" t="s">
        <v>92</v>
      </c>
      <c r="C23" t="str">
        <f>IF(MAX(WeeklyPicks!$M$212:$M$221)=0,"",INDEX(WeeklyPicks!$C$212:$C$221,MATCH(MAX(WeeklyPicks!$M$212:$M$221),WeeklyPicks!$M$212:$M$221,0)))</f>
        <v/>
      </c>
      <c r="D23">
        <f>MAX(WeeklyPicks!$M$212:$M$221)</f>
        <v>0</v>
      </c>
      <c r="E23" t="str">
        <f>IF(MAX(CountCalc!$D$2081:$D$2179)=0,"",INDEX(CountCalc!$C$2081:$C$2179,MATCH(MAX(CountCalc!$D$2081:$D$2179),CountCalc!$D$2081:$D$2179,0)))</f>
        <v/>
      </c>
      <c r="F23">
        <f>MAX(CountCalc!$D$2081:$D$2179)</f>
        <v>0</v>
      </c>
      <c r="G23" t="str">
        <f>IF(MAX(Calc!$F$632:$F$661)=0,"",INDEX(Calc!$E$632:$E$661,MATCH(MAX(Calc!$F$632:$F$661),Calc!$F$632:$F$661,0)))</f>
        <v/>
      </c>
      <c r="H23">
        <f>MAX(Calc!$F$632:$F$661)</f>
        <v>0</v>
      </c>
      <c r="I23" t="str">
        <f>IF(H23=0,"",INDEX(Calc!$C$632:$C$661,MATCH(H23,Calc!$F$632:$F$661,0)))</f>
        <v/>
      </c>
    </row>
    <row r="24" spans="1:9" x14ac:dyDescent="0.3">
      <c r="A24">
        <v>23</v>
      </c>
      <c r="B24" t="s">
        <v>94</v>
      </c>
      <c r="C24" t="str">
        <f>IF(MAX(WeeklyPicks!$M$222:$M$231)=0,"",INDEX(WeeklyPicks!$C$222:$C$231,MATCH(MAX(WeeklyPicks!$M$222:$M$231),WeeklyPicks!$M$222:$M$231,0)))</f>
        <v/>
      </c>
      <c r="D24">
        <f>MAX(WeeklyPicks!$M$222:$M$231)</f>
        <v>0</v>
      </c>
      <c r="E24" t="str">
        <f>IF(MAX(CountCalc!$D$2180:$D$2278)=0,"",INDEX(CountCalc!$C$2180:$C$2278,MATCH(MAX(CountCalc!$D$2180:$D$2278),CountCalc!$D$2180:$D$2278,0)))</f>
        <v/>
      </c>
      <c r="F24">
        <f>MAX(CountCalc!$D$2180:$D$2278)</f>
        <v>0</v>
      </c>
      <c r="G24" t="str">
        <f>IF(MAX(Calc!$F$662:$F$691)=0,"",INDEX(Calc!$E$662:$E$691,MATCH(MAX(Calc!$F$662:$F$691),Calc!$F$662:$F$691,0)))</f>
        <v/>
      </c>
      <c r="H24">
        <f>MAX(Calc!$F$662:$F$691)</f>
        <v>0</v>
      </c>
      <c r="I24" t="str">
        <f>IF(H24=0,"",INDEX(Calc!$C$662:$C$691,MATCH(H24,Calc!$F$662:$F$691,0)))</f>
        <v/>
      </c>
    </row>
    <row r="25" spans="1:9" x14ac:dyDescent="0.3">
      <c r="A25">
        <v>24</v>
      </c>
      <c r="B25" t="s">
        <v>97</v>
      </c>
      <c r="C25" t="str">
        <f>IF(MAX(WeeklyPicks!$M$232:$M$241)=0,"",INDEX(WeeklyPicks!$C$232:$C$241,MATCH(MAX(WeeklyPicks!$M$232:$M$241),WeeklyPicks!$M$232:$M$241,0)))</f>
        <v/>
      </c>
      <c r="D25">
        <f>MAX(WeeklyPicks!$M$232:$M$241)</f>
        <v>0</v>
      </c>
      <c r="E25" t="str">
        <f>IF(MAX(CountCalc!$D$2279:$D$2377)=0,"",INDEX(CountCalc!$C$2279:$C$2377,MATCH(MAX(CountCalc!$D$2279:$D$2377),CountCalc!$D$2279:$D$2377,0)))</f>
        <v/>
      </c>
      <c r="F25">
        <f>MAX(CountCalc!$D$2279:$D$2377)</f>
        <v>0</v>
      </c>
      <c r="G25" t="str">
        <f>IF(MAX(Calc!$F$692:$F$721)=0,"",INDEX(Calc!$E$692:$E$721,MATCH(MAX(Calc!$F$692:$F$721),Calc!$F$692:$F$721,0)))</f>
        <v/>
      </c>
      <c r="H25">
        <f>MAX(Calc!$F$692:$F$721)</f>
        <v>0</v>
      </c>
      <c r="I25" t="str">
        <f>IF(H25=0,"",INDEX(Calc!$C$692:$C$721,MATCH(H25,Calc!$F$692:$F$721,0)))</f>
        <v/>
      </c>
    </row>
    <row r="26" spans="1:9" x14ac:dyDescent="0.3">
      <c r="A26">
        <v>25</v>
      </c>
      <c r="B26" t="s">
        <v>99</v>
      </c>
      <c r="C26" t="str">
        <f>IF(MAX(WeeklyPicks!$M$242:$M$251)=0,"",INDEX(WeeklyPicks!$C$242:$C$251,MATCH(MAX(WeeklyPicks!$M$242:$M$251),WeeklyPicks!$M$242:$M$251,0)))</f>
        <v/>
      </c>
      <c r="D26">
        <f>MAX(WeeklyPicks!$M$242:$M$251)</f>
        <v>0</v>
      </c>
      <c r="E26" t="str">
        <f>IF(MAX(CountCalc!$D$2378:$D$2476)=0,"",INDEX(CountCalc!$C$2378:$C$2476,MATCH(MAX(CountCalc!$D$2378:$D$2476),CountCalc!$D$2378:$D$2476,0)))</f>
        <v/>
      </c>
      <c r="F26">
        <f>MAX(CountCalc!$D$2378:$D$2476)</f>
        <v>0</v>
      </c>
      <c r="G26" t="str">
        <f>IF(MAX(Calc!$F$722:$F$751)=0,"",INDEX(Calc!$E$722:$E$751,MATCH(MAX(Calc!$F$722:$F$751),Calc!$F$722:$F$751,0)))</f>
        <v/>
      </c>
      <c r="H26">
        <f>MAX(Calc!$F$722:$F$751)</f>
        <v>0</v>
      </c>
      <c r="I26" t="str">
        <f>IF(H26=0,"",INDEX(Calc!$C$722:$C$751,MATCH(H26,Calc!$F$722:$F$751,0)))</f>
        <v/>
      </c>
    </row>
    <row r="27" spans="1:9" x14ac:dyDescent="0.3">
      <c r="A27">
        <v>26</v>
      </c>
      <c r="B27" t="s">
        <v>101</v>
      </c>
      <c r="C27" t="str">
        <f>IF(MAX(WeeklyPicks!$M$252:$M$261)=0,"",INDEX(WeeklyPicks!$C$252:$C$261,MATCH(MAX(WeeklyPicks!$M$252:$M$261),WeeklyPicks!$M$252:$M$261,0)))</f>
        <v/>
      </c>
      <c r="D27">
        <f>MAX(WeeklyPicks!$M$252:$M$261)</f>
        <v>0</v>
      </c>
      <c r="E27" t="str">
        <f>IF(MAX(CountCalc!$D$2477:$D$2575)=0,"",INDEX(CountCalc!$C$2477:$C$2575,MATCH(MAX(CountCalc!$D$2477:$D$2575),CountCalc!$D$2477:$D$2575,0)))</f>
        <v/>
      </c>
      <c r="F27">
        <f>MAX(CountCalc!$D$2477:$D$2575)</f>
        <v>0</v>
      </c>
      <c r="G27" t="str">
        <f>IF(MAX(Calc!$F$752:$F$781)=0,"",INDEX(Calc!$E$752:$E$781,MATCH(MAX(Calc!$F$752:$F$781),Calc!$F$752:$F$781,0)))</f>
        <v/>
      </c>
      <c r="H27">
        <f>MAX(Calc!$F$752:$F$781)</f>
        <v>0</v>
      </c>
      <c r="I27" t="str">
        <f>IF(H27=0,"",INDEX(Calc!$C$752:$C$781,MATCH(H27,Calc!$F$752:$F$781,0)))</f>
        <v/>
      </c>
    </row>
    <row r="28" spans="1:9" x14ac:dyDescent="0.3">
      <c r="A28">
        <v>27</v>
      </c>
      <c r="B28" t="s">
        <v>59</v>
      </c>
      <c r="C28" t="str">
        <f>IF(MAX(WeeklyPicks!$M$262:$M$271)=0,"",INDEX(WeeklyPicks!$C$262:$C$271,MATCH(MAX(WeeklyPicks!$M$262:$M$271),WeeklyPicks!$M$262:$M$271,0)))</f>
        <v/>
      </c>
      <c r="D28">
        <f>MAX(WeeklyPicks!$M$262:$M$271)</f>
        <v>0</v>
      </c>
      <c r="E28" t="str">
        <f>IF(MAX(CountCalc!$D$2576:$D$2674)=0,"",INDEX(CountCalc!$C$2576:$C$2674,MATCH(MAX(CountCalc!$D$2576:$D$2674),CountCalc!$D$2576:$D$2674,0)))</f>
        <v/>
      </c>
      <c r="F28">
        <f>MAX(CountCalc!$D$2576:$D$2674)</f>
        <v>0</v>
      </c>
      <c r="G28" t="str">
        <f>IF(MAX(Calc!$F$782:$F$811)=0,"",INDEX(Calc!$E$782:$E$811,MATCH(MAX(Calc!$F$782:$F$811),Calc!$F$782:$F$811,0)))</f>
        <v/>
      </c>
      <c r="H28">
        <f>MAX(Calc!$F$782:$F$811)</f>
        <v>0</v>
      </c>
      <c r="I28" t="str">
        <f>IF(H28=0,"",INDEX(Calc!$C$782:$C$811,MATCH(H28,Calc!$F$782:$F$811,0)))</f>
        <v/>
      </c>
    </row>
    <row r="29" spans="1:9" x14ac:dyDescent="0.3">
      <c r="A29">
        <v>28</v>
      </c>
      <c r="B29" t="s">
        <v>106</v>
      </c>
      <c r="C29" t="str">
        <f>IF(MAX(WeeklyPicks!$M$272:$M$281)=0,"",INDEX(WeeklyPicks!$C$272:$C$281,MATCH(MAX(WeeklyPicks!$M$272:$M$281),WeeklyPicks!$M$272:$M$281,0)))</f>
        <v/>
      </c>
      <c r="D29">
        <f>MAX(WeeklyPicks!$M$272:$M$281)</f>
        <v>0</v>
      </c>
      <c r="E29" t="str">
        <f>IF(MAX(CountCalc!$D$2675:$D$2773)=0,"",INDEX(CountCalc!$C$2675:$C$2773,MATCH(MAX(CountCalc!$D$2675:$D$2773),CountCalc!$D$2675:$D$2773,0)))</f>
        <v/>
      </c>
      <c r="F29">
        <f>MAX(CountCalc!$D$2675:$D$2773)</f>
        <v>0</v>
      </c>
      <c r="G29" t="str">
        <f>IF(MAX(Calc!$F$812:$F$841)=0,"",INDEX(Calc!$E$812:$E$841,MATCH(MAX(Calc!$F$812:$F$841),Calc!$F$812:$F$841,0)))</f>
        <v/>
      </c>
      <c r="H29">
        <f>MAX(Calc!$F$812:$F$841)</f>
        <v>0</v>
      </c>
      <c r="I29" t="str">
        <f>IF(H29=0,"",INDEX(Calc!$C$812:$C$841,MATCH(H29,Calc!$F$812:$F$841,0)))</f>
        <v/>
      </c>
    </row>
    <row r="30" spans="1:9" x14ac:dyDescent="0.3">
      <c r="A30">
        <v>29</v>
      </c>
      <c r="B30" t="s">
        <v>63</v>
      </c>
      <c r="C30" t="str">
        <f>IF(MAX(WeeklyPicks!$M$282:$M$291)=0,"",INDEX(WeeklyPicks!$C$282:$C$291,MATCH(MAX(WeeklyPicks!$M$282:$M$291),WeeklyPicks!$M$282:$M$291,0)))</f>
        <v/>
      </c>
      <c r="D30">
        <f>MAX(WeeklyPicks!$M$282:$M$291)</f>
        <v>0</v>
      </c>
      <c r="E30" t="str">
        <f>IF(MAX(CountCalc!$D$2774:$D$2872)=0,"",INDEX(CountCalc!$C$2774:$C$2872,MATCH(MAX(CountCalc!$D$2774:$D$2872),CountCalc!$D$2774:$D$2872,0)))</f>
        <v/>
      </c>
      <c r="F30">
        <f>MAX(CountCalc!$D$2774:$D$2872)</f>
        <v>0</v>
      </c>
      <c r="G30" t="str">
        <f>IF(MAX(Calc!$F$842:$F$871)=0,"",INDEX(Calc!$E$842:$E$871,MATCH(MAX(Calc!$F$842:$F$871),Calc!$F$842:$F$871,0)))</f>
        <v/>
      </c>
      <c r="H30">
        <f>MAX(Calc!$F$842:$F$871)</f>
        <v>0</v>
      </c>
      <c r="I30" t="str">
        <f>IF(H30=0,"",INDEX(Calc!$C$842:$C$871,MATCH(H30,Calc!$F$842:$F$871,0)))</f>
        <v/>
      </c>
    </row>
    <row r="31" spans="1:9" x14ac:dyDescent="0.3">
      <c r="A31">
        <v>30</v>
      </c>
      <c r="B31" t="s">
        <v>65</v>
      </c>
      <c r="C31" t="str">
        <f>IF(MAX(WeeklyPicks!$M$292:$M$301)=0,"",INDEX(WeeklyPicks!$C$292:$C$301,MATCH(MAX(WeeklyPicks!$M$292:$M$301),WeeklyPicks!$M$292:$M$301,0)))</f>
        <v/>
      </c>
      <c r="D31">
        <f>MAX(WeeklyPicks!$M$292:$M$301)</f>
        <v>0</v>
      </c>
      <c r="E31" t="str">
        <f>IF(MAX(CountCalc!$D$2873:$D$2971)=0,"",INDEX(CountCalc!$C$2873:$C$2971,MATCH(MAX(CountCalc!$D$2873:$D$2971),CountCalc!$D$2873:$D$2971,0)))</f>
        <v/>
      </c>
      <c r="F31">
        <f>MAX(CountCalc!$D$2873:$D$2971)</f>
        <v>0</v>
      </c>
      <c r="G31" t="str">
        <f>IF(MAX(Calc!$F$872:$F$901)=0,"",INDEX(Calc!$E$872:$E$901,MATCH(MAX(Calc!$F$872:$F$901),Calc!$F$872:$F$901,0)))</f>
        <v/>
      </c>
      <c r="H31">
        <f>MAX(Calc!$F$872:$F$901)</f>
        <v>0</v>
      </c>
      <c r="I31" t="str">
        <f>IF(H31=0,"",INDEX(Calc!$C$872:$C$901,MATCH(H31,Calc!$F$872:$F$901,0)))</f>
        <v/>
      </c>
    </row>
    <row r="32" spans="1:9" x14ac:dyDescent="0.3">
      <c r="A32">
        <v>31</v>
      </c>
      <c r="B32" t="s">
        <v>57</v>
      </c>
      <c r="C32" t="str">
        <f>IF(MAX(WeeklyPicks!$M$302:$M$311)=0,"",INDEX(WeeklyPicks!$C$302:$C$311,MATCH(MAX(WeeklyPicks!$M$302:$M$311),WeeklyPicks!$M$302:$M$311,0)))</f>
        <v/>
      </c>
      <c r="D32">
        <f>MAX(WeeklyPicks!$M$302:$M$311)</f>
        <v>0</v>
      </c>
      <c r="E32" t="str">
        <f>IF(MAX(CountCalc!$D$2972:$D$3070)=0,"",INDEX(CountCalc!$C$2972:$C$3070,MATCH(MAX(CountCalc!$D$2972:$D$3070),CountCalc!$D$2972:$D$3070,0)))</f>
        <v/>
      </c>
      <c r="F32">
        <f>MAX(CountCalc!$D$2972:$D$3070)</f>
        <v>0</v>
      </c>
      <c r="G32" t="str">
        <f>IF(MAX(Calc!$F$902:$F$931)=0,"",INDEX(Calc!$E$902:$E$931,MATCH(MAX(Calc!$F$902:$F$931),Calc!$F$902:$F$931,0)))</f>
        <v/>
      </c>
      <c r="H32">
        <f>MAX(Calc!$F$902:$F$931)</f>
        <v>0</v>
      </c>
      <c r="I32" t="str">
        <f>IF(H32=0,"",INDEX(Calc!$C$902:$C$931,MATCH(H32,Calc!$F$902:$F$931,0)))</f>
        <v/>
      </c>
    </row>
    <row r="33" spans="1:9" x14ac:dyDescent="0.3">
      <c r="A33">
        <v>32</v>
      </c>
      <c r="B33" t="s">
        <v>73</v>
      </c>
      <c r="C33" t="str">
        <f>IF(MAX(WeeklyPicks!$M$312:$M$321)=0,"",INDEX(WeeklyPicks!$C$312:$C$321,MATCH(MAX(WeeklyPicks!$M$312:$M$321),WeeklyPicks!$M$312:$M$321,0)))</f>
        <v/>
      </c>
      <c r="D33">
        <f>MAX(WeeklyPicks!$M$312:$M$321)</f>
        <v>0</v>
      </c>
      <c r="E33" t="str">
        <f>IF(MAX(CountCalc!$D$3071:$D$3169)=0,"",INDEX(CountCalc!$C$3071:$C$3169,MATCH(MAX(CountCalc!$D$3071:$D$3169),CountCalc!$D$3071:$D$3169,0)))</f>
        <v/>
      </c>
      <c r="F33">
        <f>MAX(CountCalc!$D$3071:$D$3169)</f>
        <v>0</v>
      </c>
      <c r="G33" t="str">
        <f>IF(MAX(Calc!$F$932:$F$961)=0,"",INDEX(Calc!$E$932:$E$961,MATCH(MAX(Calc!$F$932:$F$961),Calc!$F$932:$F$961,0)))</f>
        <v/>
      </c>
      <c r="H33">
        <f>MAX(Calc!$F$932:$F$961)</f>
        <v>0</v>
      </c>
      <c r="I33" t="str">
        <f>IF(H33=0,"",INDEX(Calc!$C$932:$C$961,MATCH(H33,Calc!$F$932:$F$961,0)))</f>
        <v/>
      </c>
    </row>
    <row r="34" spans="1:9" x14ac:dyDescent="0.3">
      <c r="A34">
        <v>33</v>
      </c>
      <c r="B34" t="s">
        <v>54</v>
      </c>
      <c r="C34" t="str">
        <f>IF(MAX(WeeklyPicks!$M$322:$M$331)=0,"",INDEX(WeeklyPicks!$C$322:$C$331,MATCH(MAX(WeeklyPicks!$M$322:$M$331),WeeklyPicks!$M$322:$M$331,0)))</f>
        <v/>
      </c>
      <c r="D34">
        <f>MAX(WeeklyPicks!$M$322:$M$331)</f>
        <v>0</v>
      </c>
      <c r="E34" t="str">
        <f>IF(MAX(CountCalc!$D$3170:$D$3268)=0,"",INDEX(CountCalc!$C$3170:$C$3268,MATCH(MAX(CountCalc!$D$3170:$D$3268),CountCalc!$D$3170:$D$3268,0)))</f>
        <v/>
      </c>
      <c r="F34">
        <f>MAX(CountCalc!$D$3170:$D$3268)</f>
        <v>0</v>
      </c>
      <c r="G34" t="str">
        <f>IF(MAX(Calc!$F$962:$F$991)=0,"",INDEX(Calc!$E$962:$E$991,MATCH(MAX(Calc!$F$962:$F$991),Calc!$F$962:$F$991,0)))</f>
        <v/>
      </c>
      <c r="H34">
        <f>MAX(Calc!$F$962:$F$991)</f>
        <v>0</v>
      </c>
      <c r="I34" t="str">
        <f>IF(H34=0,"",INDEX(Calc!$C$962:$C$991,MATCH(H34,Calc!$F$962:$F$991,0)))</f>
        <v/>
      </c>
    </row>
    <row r="35" spans="1:9" x14ac:dyDescent="0.3">
      <c r="A35">
        <v>34</v>
      </c>
      <c r="B35" t="s">
        <v>67</v>
      </c>
      <c r="C35" t="str">
        <f>IF(MAX(WeeklyPicks!$M$332:$M$341)=0,"",INDEX(WeeklyPicks!$C$332:$C$341,MATCH(MAX(WeeklyPicks!$M$332:$M$341),WeeklyPicks!$M$332:$M$341,0)))</f>
        <v/>
      </c>
      <c r="D35">
        <f>MAX(WeeklyPicks!$M$332:$M$341)</f>
        <v>0</v>
      </c>
      <c r="E35" t="str">
        <f>IF(MAX(CountCalc!$D$3269:$D$3367)=0,"",INDEX(CountCalc!$C$3269:$C$3367,MATCH(MAX(CountCalc!$D$3269:$D$3367),CountCalc!$D$3269:$D$3367,0)))</f>
        <v/>
      </c>
      <c r="F35">
        <f>MAX(CountCalc!$D$3269:$D$3367)</f>
        <v>0</v>
      </c>
      <c r="G35" t="str">
        <f>IF(MAX(Calc!$F$992:$F$1021)=0,"",INDEX(Calc!$E$992:$E$1021,MATCH(MAX(Calc!$F$992:$F$1021),Calc!$F$992:$F$1021,0)))</f>
        <v/>
      </c>
      <c r="H35">
        <f>MAX(Calc!$F$992:$F$1021)</f>
        <v>0</v>
      </c>
      <c r="I35" t="str">
        <f>IF(H35=0,"",INDEX(Calc!$C$992:$C$1021,MATCH(H35,Calc!$F$992:$F$1021,0)))</f>
        <v/>
      </c>
    </row>
    <row r="36" spans="1:9" x14ac:dyDescent="0.3">
      <c r="A36">
        <v>35</v>
      </c>
      <c r="B36" t="s">
        <v>61</v>
      </c>
      <c r="C36" t="str">
        <f>IF(MAX(WeeklyPicks!$M$342:$M$351)=0,"",INDEX(WeeklyPicks!$C$342:$C$351,MATCH(MAX(WeeklyPicks!$M$342:$M$351),WeeklyPicks!$M$342:$M$351,0)))</f>
        <v/>
      </c>
      <c r="D36">
        <f>MAX(WeeklyPicks!$M$342:$M$351)</f>
        <v>0</v>
      </c>
      <c r="E36" t="str">
        <f>IF(MAX(CountCalc!$D$3368:$D$3466)=0,"",INDEX(CountCalc!$C$3368:$C$3466,MATCH(MAX(CountCalc!$D$3368:$D$3466),CountCalc!$D$3368:$D$3466,0)))</f>
        <v/>
      </c>
      <c r="F36">
        <f>MAX(CountCalc!$D$3368:$D$3466)</f>
        <v>0</v>
      </c>
      <c r="G36" t="str">
        <f>IF(MAX(Calc!$F$1022:$F$1051)=0,"",INDEX(Calc!$E$1022:$E$1051,MATCH(MAX(Calc!$F$1022:$F$1051),Calc!$F$1022:$F$1051,0)))</f>
        <v/>
      </c>
      <c r="H36">
        <f>MAX(Calc!$F$1022:$F$1051)</f>
        <v>0</v>
      </c>
      <c r="I36" t="str">
        <f>IF(H36=0,"",INDEX(Calc!$C$1022:$C$1051,MATCH(H36,Calc!$F$1022:$F$1051,0)))</f>
        <v/>
      </c>
    </row>
    <row r="37" spans="1:9" x14ac:dyDescent="0.3">
      <c r="A37">
        <v>36</v>
      </c>
      <c r="B37" t="s">
        <v>115</v>
      </c>
      <c r="C37" t="str">
        <f>IF(MAX(WeeklyPicks!$M$352:$M$361)=0,"",INDEX(WeeklyPicks!$C$352:$C$361,MATCH(MAX(WeeklyPicks!$M$352:$M$361),WeeklyPicks!$M$352:$M$361,0)))</f>
        <v/>
      </c>
      <c r="D37">
        <f>MAX(WeeklyPicks!$M$352:$M$361)</f>
        <v>0</v>
      </c>
      <c r="E37" t="str">
        <f>IF(MAX(CountCalc!$D$3467:$D$3565)=0,"",INDEX(CountCalc!$C$3467:$C$3565,MATCH(MAX(CountCalc!$D$3467:$D$3565),CountCalc!$D$3467:$D$3565,0)))</f>
        <v/>
      </c>
      <c r="F37">
        <f>MAX(CountCalc!$D$3467:$D$3565)</f>
        <v>0</v>
      </c>
      <c r="G37" t="str">
        <f>IF(MAX(Calc!$F$1052:$F$1081)=0,"",INDEX(Calc!$E$1052:$E$1081,MATCH(MAX(Calc!$F$1052:$F$1081),Calc!$F$1052:$F$1081,0)))</f>
        <v/>
      </c>
      <c r="H37">
        <f>MAX(Calc!$F$1052:$F$1081)</f>
        <v>0</v>
      </c>
      <c r="I37" t="str">
        <f>IF(H37=0,"",INDEX(Calc!$C$1052:$C$1081,MATCH(H37,Calc!$F$1052:$F$1081,0)))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42"/>
  <sheetViews>
    <sheetView zoomScaleNormal="100" workbookViewId="0">
      <pane ySplit="1" topLeftCell="A479" activePane="bottomLeft" state="frozen"/>
      <selection pane="bottomLeft" activeCell="D481" sqref="D481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3" width="10" customWidth="1"/>
    <col min="4" max="4" width="9" customWidth="1"/>
    <col min="5" max="5" width="10" customWidth="1"/>
  </cols>
  <sheetData>
    <row r="1" spans="1:5" x14ac:dyDescent="0.3">
      <c r="A1" s="6" t="s">
        <v>39</v>
      </c>
      <c r="B1" s="6" t="s">
        <v>40</v>
      </c>
      <c r="C1" s="6" t="s">
        <v>33</v>
      </c>
      <c r="D1" s="6" t="s">
        <v>135</v>
      </c>
      <c r="E1" s="6" t="s">
        <v>136</v>
      </c>
    </row>
    <row r="2" spans="1:5" x14ac:dyDescent="0.3">
      <c r="A2">
        <v>1</v>
      </c>
      <c r="B2" t="s">
        <v>45</v>
      </c>
      <c r="C2">
        <v>1</v>
      </c>
      <c r="D2" s="3">
        <v>45</v>
      </c>
      <c r="E2">
        <f>IF(C2="","",VLOOKUP(C2,PointsSystem!$A$2:$B$41,2,FALSE()))</f>
        <v>55</v>
      </c>
    </row>
    <row r="3" spans="1:5" x14ac:dyDescent="0.3">
      <c r="A3">
        <v>1</v>
      </c>
      <c r="B3" t="s">
        <v>45</v>
      </c>
      <c r="C3">
        <v>2</v>
      </c>
      <c r="D3" s="3">
        <v>47</v>
      </c>
      <c r="E3">
        <f>IF(C3="","",VLOOKUP(C3,PointsSystem!$A$2:$B$41,2,FALSE()))</f>
        <v>35</v>
      </c>
    </row>
    <row r="4" spans="1:5" x14ac:dyDescent="0.3">
      <c r="A4">
        <v>1</v>
      </c>
      <c r="B4" t="s">
        <v>45</v>
      </c>
      <c r="C4">
        <v>3</v>
      </c>
      <c r="D4" s="3">
        <v>22</v>
      </c>
      <c r="E4">
        <f>IF(C4="","",VLOOKUP(C4,PointsSystem!$A$2:$B$41,2,FALSE()))</f>
        <v>34</v>
      </c>
    </row>
    <row r="5" spans="1:5" x14ac:dyDescent="0.3">
      <c r="A5">
        <v>1</v>
      </c>
      <c r="B5" t="s">
        <v>45</v>
      </c>
      <c r="C5">
        <v>4</v>
      </c>
      <c r="D5" s="3">
        <v>9</v>
      </c>
      <c r="E5">
        <f>IF(C5="","",VLOOKUP(C5,PointsSystem!$A$2:$B$41,2,FALSE()))</f>
        <v>33</v>
      </c>
    </row>
    <row r="6" spans="1:5" x14ac:dyDescent="0.3">
      <c r="A6">
        <v>1</v>
      </c>
      <c r="B6" t="s">
        <v>45</v>
      </c>
      <c r="C6">
        <v>5</v>
      </c>
      <c r="D6" s="3">
        <v>6</v>
      </c>
      <c r="E6">
        <f>IF(C6="","",VLOOKUP(C6,PointsSystem!$A$2:$B$41,2,FALSE()))</f>
        <v>32</v>
      </c>
    </row>
    <row r="7" spans="1:5" x14ac:dyDescent="0.3">
      <c r="A7">
        <v>1</v>
      </c>
      <c r="B7" t="s">
        <v>45</v>
      </c>
      <c r="C7">
        <v>6</v>
      </c>
      <c r="D7" s="3">
        <v>38</v>
      </c>
      <c r="E7">
        <f>IF(C7="","",VLOOKUP(C7,PointsSystem!$A$2:$B$41,2,FALSE()))</f>
        <v>31</v>
      </c>
    </row>
    <row r="8" spans="1:5" x14ac:dyDescent="0.3">
      <c r="A8">
        <v>1</v>
      </c>
      <c r="B8" t="s">
        <v>45</v>
      </c>
      <c r="C8">
        <v>7</v>
      </c>
      <c r="D8" s="3">
        <v>17</v>
      </c>
      <c r="E8">
        <f>IF(C8="","",VLOOKUP(C8,PointsSystem!$A$2:$B$41,2,FALSE()))</f>
        <v>30</v>
      </c>
    </row>
    <row r="9" spans="1:5" x14ac:dyDescent="0.3">
      <c r="A9">
        <v>1</v>
      </c>
      <c r="B9" t="s">
        <v>45</v>
      </c>
      <c r="C9">
        <v>8</v>
      </c>
      <c r="D9" s="3">
        <v>35</v>
      </c>
      <c r="E9">
        <f>IF(C9="","",VLOOKUP(C9,PointsSystem!$A$2:$B$41,2,FALSE()))</f>
        <v>29</v>
      </c>
    </row>
    <row r="10" spans="1:5" x14ac:dyDescent="0.3">
      <c r="A10">
        <v>1</v>
      </c>
      <c r="B10" t="s">
        <v>45</v>
      </c>
      <c r="C10">
        <v>9</v>
      </c>
      <c r="D10" s="3">
        <v>21</v>
      </c>
      <c r="E10">
        <f>IF(C10="","",VLOOKUP(C10,PointsSystem!$A$2:$B$41,2,FALSE()))</f>
        <v>28</v>
      </c>
    </row>
    <row r="11" spans="1:5" x14ac:dyDescent="0.3">
      <c r="A11">
        <v>1</v>
      </c>
      <c r="B11" t="s">
        <v>45</v>
      </c>
      <c r="C11">
        <v>10</v>
      </c>
      <c r="D11" s="3">
        <v>23</v>
      </c>
      <c r="E11">
        <f>IF(C11="","",VLOOKUP(C11,PointsSystem!$A$2:$B$41,2,FALSE()))</f>
        <v>27</v>
      </c>
    </row>
    <row r="12" spans="1:5" x14ac:dyDescent="0.3">
      <c r="A12">
        <v>1</v>
      </c>
      <c r="B12" t="s">
        <v>45</v>
      </c>
      <c r="C12">
        <v>11</v>
      </c>
      <c r="D12" s="3">
        <v>4</v>
      </c>
      <c r="E12">
        <f>IF(C12="","",VLOOKUP(C12,PointsSystem!$A$2:$B$41,2,FALSE()))</f>
        <v>26</v>
      </c>
    </row>
    <row r="13" spans="1:5" x14ac:dyDescent="0.3">
      <c r="A13">
        <v>1</v>
      </c>
      <c r="B13" t="s">
        <v>45</v>
      </c>
      <c r="C13">
        <v>12</v>
      </c>
      <c r="D13" s="3">
        <v>24</v>
      </c>
      <c r="E13">
        <f>IF(C13="","",VLOOKUP(C13,PointsSystem!$A$2:$B$41,2,FALSE()))</f>
        <v>25</v>
      </c>
    </row>
    <row r="14" spans="1:5" x14ac:dyDescent="0.3">
      <c r="A14">
        <v>1</v>
      </c>
      <c r="B14" t="s">
        <v>45</v>
      </c>
      <c r="C14">
        <v>13</v>
      </c>
      <c r="D14" s="3">
        <v>7</v>
      </c>
      <c r="E14">
        <f>IF(C14="","",VLOOKUP(C14,PointsSystem!$A$2:$B$41,2,FALSE()))</f>
        <v>24</v>
      </c>
    </row>
    <row r="15" spans="1:5" x14ac:dyDescent="0.3">
      <c r="A15">
        <v>1</v>
      </c>
      <c r="B15" t="s">
        <v>45</v>
      </c>
      <c r="C15">
        <v>14</v>
      </c>
      <c r="D15" s="3">
        <v>10</v>
      </c>
      <c r="E15">
        <f>IF(C15="","",VLOOKUP(C15,PointsSystem!$A$2:$B$41,2,FALSE()))</f>
        <v>23</v>
      </c>
    </row>
    <row r="16" spans="1:5" x14ac:dyDescent="0.3">
      <c r="A16">
        <v>1</v>
      </c>
      <c r="B16" t="s">
        <v>45</v>
      </c>
      <c r="C16">
        <v>15</v>
      </c>
      <c r="D16" s="3">
        <v>8</v>
      </c>
      <c r="E16">
        <f>IF(C16="","",VLOOKUP(C16,PointsSystem!$A$2:$B$41,2,FALSE()))</f>
        <v>22</v>
      </c>
    </row>
    <row r="17" spans="1:5" x14ac:dyDescent="0.3">
      <c r="A17">
        <v>1</v>
      </c>
      <c r="B17" t="s">
        <v>45</v>
      </c>
      <c r="C17">
        <v>16</v>
      </c>
      <c r="D17" s="3">
        <v>5</v>
      </c>
      <c r="E17">
        <f>IF(C17="","",VLOOKUP(C17,PointsSystem!$A$2:$B$41,2,FALSE()))</f>
        <v>21</v>
      </c>
    </row>
    <row r="18" spans="1:5" x14ac:dyDescent="0.3">
      <c r="A18">
        <v>1</v>
      </c>
      <c r="B18" t="s">
        <v>45</v>
      </c>
      <c r="C18">
        <v>17</v>
      </c>
      <c r="D18" s="3">
        <v>51</v>
      </c>
      <c r="E18">
        <f>IF(C18="","",VLOOKUP(C18,PointsSystem!$A$2:$B$41,2,FALSE()))</f>
        <v>20</v>
      </c>
    </row>
    <row r="19" spans="1:5" x14ac:dyDescent="0.3">
      <c r="A19">
        <v>1</v>
      </c>
      <c r="B19" t="s">
        <v>45</v>
      </c>
      <c r="C19">
        <v>18</v>
      </c>
      <c r="D19" s="3">
        <v>77</v>
      </c>
      <c r="E19">
        <f>IF(C19="","",VLOOKUP(C19,PointsSystem!$A$2:$B$41,2,FALSE()))</f>
        <v>19</v>
      </c>
    </row>
    <row r="20" spans="1:5" x14ac:dyDescent="0.3">
      <c r="A20">
        <v>1</v>
      </c>
      <c r="B20" t="s">
        <v>45</v>
      </c>
      <c r="C20">
        <v>19</v>
      </c>
      <c r="D20" s="3">
        <v>16</v>
      </c>
      <c r="E20">
        <f>IF(C20="","",VLOOKUP(C20,PointsSystem!$A$2:$B$41,2,FALSE()))</f>
        <v>18</v>
      </c>
    </row>
    <row r="21" spans="1:5" x14ac:dyDescent="0.3">
      <c r="A21">
        <v>1</v>
      </c>
      <c r="B21" t="s">
        <v>45</v>
      </c>
      <c r="C21">
        <v>20</v>
      </c>
      <c r="D21" s="3">
        <v>1</v>
      </c>
      <c r="E21">
        <f>IF(C21="","",VLOOKUP(C21,PointsSystem!$A$2:$B$41,2,FALSE()))</f>
        <v>17</v>
      </c>
    </row>
    <row r="22" spans="1:5" x14ac:dyDescent="0.3">
      <c r="A22">
        <v>1</v>
      </c>
      <c r="B22" t="s">
        <v>45</v>
      </c>
      <c r="C22">
        <v>21</v>
      </c>
      <c r="D22" s="3">
        <v>43</v>
      </c>
      <c r="E22">
        <f>IF(C22="","",VLOOKUP(C22,PointsSystem!$A$2:$B$41,2,FALSE()))</f>
        <v>16</v>
      </c>
    </row>
    <row r="23" spans="1:5" x14ac:dyDescent="0.3">
      <c r="A23">
        <v>1</v>
      </c>
      <c r="B23" t="s">
        <v>45</v>
      </c>
      <c r="C23">
        <v>22</v>
      </c>
      <c r="D23" s="3">
        <v>71</v>
      </c>
      <c r="E23">
        <f>IF(C23="","",VLOOKUP(C23,PointsSystem!$A$2:$B$41,2,FALSE()))</f>
        <v>15</v>
      </c>
    </row>
    <row r="24" spans="1:5" x14ac:dyDescent="0.3">
      <c r="A24">
        <v>1</v>
      </c>
      <c r="B24" t="s">
        <v>45</v>
      </c>
      <c r="C24">
        <v>23</v>
      </c>
      <c r="D24" s="3">
        <v>54</v>
      </c>
      <c r="E24">
        <f>IF(C24="","",VLOOKUP(C24,PointsSystem!$A$2:$B$41,2,FALSE()))</f>
        <v>14</v>
      </c>
    </row>
    <row r="25" spans="1:5" x14ac:dyDescent="0.3">
      <c r="A25">
        <v>1</v>
      </c>
      <c r="B25" t="s">
        <v>45</v>
      </c>
      <c r="C25">
        <v>24</v>
      </c>
      <c r="D25" s="3">
        <v>41</v>
      </c>
      <c r="E25">
        <f>IF(C25="","",VLOOKUP(C25,PointsSystem!$A$2:$B$41,2,FALSE()))</f>
        <v>13</v>
      </c>
    </row>
    <row r="26" spans="1:5" x14ac:dyDescent="0.3">
      <c r="A26">
        <v>1</v>
      </c>
      <c r="B26" t="s">
        <v>45</v>
      </c>
      <c r="C26">
        <v>25</v>
      </c>
      <c r="D26" s="3">
        <v>60</v>
      </c>
      <c r="E26">
        <f>IF(C26="","",VLOOKUP(C26,PointsSystem!$A$2:$B$41,2,FALSE()))</f>
        <v>12</v>
      </c>
    </row>
    <row r="27" spans="1:5" x14ac:dyDescent="0.3">
      <c r="A27">
        <v>1</v>
      </c>
      <c r="B27" t="s">
        <v>45</v>
      </c>
      <c r="C27">
        <v>26</v>
      </c>
      <c r="D27" s="3">
        <v>42</v>
      </c>
      <c r="E27">
        <f>IF(C27="","",VLOOKUP(C27,PointsSystem!$A$2:$B$41,2,FALSE()))</f>
        <v>11</v>
      </c>
    </row>
    <row r="28" spans="1:5" x14ac:dyDescent="0.3">
      <c r="A28">
        <v>1</v>
      </c>
      <c r="B28" t="s">
        <v>45</v>
      </c>
      <c r="C28">
        <v>27</v>
      </c>
      <c r="D28" s="3">
        <v>12</v>
      </c>
      <c r="E28">
        <f>IF(C28="","",VLOOKUP(C28,PointsSystem!$A$2:$B$41,2,FALSE()))</f>
        <v>10</v>
      </c>
    </row>
    <row r="29" spans="1:5" x14ac:dyDescent="0.3">
      <c r="A29">
        <v>1</v>
      </c>
      <c r="B29" t="s">
        <v>45</v>
      </c>
      <c r="C29">
        <v>28</v>
      </c>
      <c r="D29" s="3">
        <v>67</v>
      </c>
      <c r="E29">
        <f>IF(C29="","",VLOOKUP(C29,PointsSystem!$A$2:$B$41,2,FALSE()))</f>
        <v>9</v>
      </c>
    </row>
    <row r="30" spans="1:5" x14ac:dyDescent="0.3">
      <c r="A30">
        <v>1</v>
      </c>
      <c r="B30" t="s">
        <v>45</v>
      </c>
      <c r="C30">
        <v>29</v>
      </c>
      <c r="D30" s="3">
        <v>84</v>
      </c>
      <c r="E30">
        <f>IF(C30="","",VLOOKUP(C30,PointsSystem!$A$2:$B$41,2,FALSE()))</f>
        <v>8</v>
      </c>
    </row>
    <row r="31" spans="1:5" x14ac:dyDescent="0.3">
      <c r="A31">
        <v>1</v>
      </c>
      <c r="B31" t="s">
        <v>45</v>
      </c>
      <c r="C31">
        <v>30</v>
      </c>
      <c r="D31" s="3">
        <v>97</v>
      </c>
      <c r="E31">
        <f>IF(C31="","",VLOOKUP(C31,PointsSystem!$A$2:$B$41,2,FALSE()))</f>
        <v>7</v>
      </c>
    </row>
    <row r="32" spans="1:5" x14ac:dyDescent="0.3">
      <c r="A32">
        <v>1</v>
      </c>
      <c r="B32" t="s">
        <v>45</v>
      </c>
      <c r="C32">
        <v>31</v>
      </c>
      <c r="D32" s="3">
        <v>11</v>
      </c>
      <c r="E32">
        <f>IF(C32="","",VLOOKUP(C32,PointsSystem!$A$2:$B$41,2,FALSE()))</f>
        <v>6</v>
      </c>
    </row>
    <row r="33" spans="1:5" x14ac:dyDescent="0.3">
      <c r="A33">
        <v>1</v>
      </c>
      <c r="B33" t="s">
        <v>45</v>
      </c>
      <c r="C33">
        <v>32</v>
      </c>
      <c r="D33" s="3">
        <v>66</v>
      </c>
      <c r="E33">
        <f>IF(C33="","",VLOOKUP(C33,PointsSystem!$A$2:$B$41,2,FALSE()))</f>
        <v>5</v>
      </c>
    </row>
    <row r="34" spans="1:5" x14ac:dyDescent="0.3">
      <c r="A34">
        <v>1</v>
      </c>
      <c r="B34" t="s">
        <v>45</v>
      </c>
      <c r="C34">
        <v>33</v>
      </c>
      <c r="D34" s="3">
        <v>88</v>
      </c>
      <c r="E34">
        <f>IF(C34="","",VLOOKUP(C34,PointsSystem!$A$2:$B$41,2,FALSE()))</f>
        <v>4</v>
      </c>
    </row>
    <row r="35" spans="1:5" x14ac:dyDescent="0.3">
      <c r="A35">
        <v>1</v>
      </c>
      <c r="B35" t="s">
        <v>45</v>
      </c>
      <c r="C35">
        <v>34</v>
      </c>
      <c r="D35" s="3">
        <v>2</v>
      </c>
      <c r="E35">
        <f>IF(C35="","",VLOOKUP(C35,PointsSystem!$A$2:$B$41,2,FALSE()))</f>
        <v>3</v>
      </c>
    </row>
    <row r="36" spans="1:5" x14ac:dyDescent="0.3">
      <c r="A36">
        <v>1</v>
      </c>
      <c r="B36" t="s">
        <v>45</v>
      </c>
      <c r="C36">
        <v>35</v>
      </c>
      <c r="D36" s="3">
        <v>20</v>
      </c>
      <c r="E36">
        <f>IF(C36="","",VLOOKUP(C36,PointsSystem!$A$2:$B$41,2,FALSE()))</f>
        <v>2</v>
      </c>
    </row>
    <row r="37" spans="1:5" x14ac:dyDescent="0.3">
      <c r="A37">
        <v>1</v>
      </c>
      <c r="B37" t="s">
        <v>45</v>
      </c>
      <c r="C37">
        <v>36</v>
      </c>
      <c r="D37" s="3">
        <v>19</v>
      </c>
      <c r="E37">
        <f>IF(C37="","",VLOOKUP(C37,PointsSystem!$A$2:$B$41,2,FALSE()))</f>
        <v>1</v>
      </c>
    </row>
    <row r="38" spans="1:5" x14ac:dyDescent="0.3">
      <c r="A38">
        <v>1</v>
      </c>
      <c r="B38" t="s">
        <v>45</v>
      </c>
      <c r="C38">
        <v>37</v>
      </c>
      <c r="D38" s="3">
        <v>3</v>
      </c>
      <c r="E38">
        <f>IF(C38="","",VLOOKUP(C38,PointsSystem!$A$2:$B$41,2,FALSE()))</f>
        <v>1</v>
      </c>
    </row>
    <row r="39" spans="1:5" x14ac:dyDescent="0.3">
      <c r="A39">
        <v>1</v>
      </c>
      <c r="B39" t="s">
        <v>45</v>
      </c>
      <c r="C39">
        <v>38</v>
      </c>
      <c r="D39" s="3">
        <v>40</v>
      </c>
      <c r="E39">
        <f>IF(C39="","",VLOOKUP(C39,PointsSystem!$A$2:$B$41,2,FALSE()))</f>
        <v>1</v>
      </c>
    </row>
    <row r="40" spans="1:5" x14ac:dyDescent="0.3">
      <c r="A40">
        <v>1</v>
      </c>
      <c r="B40" t="s">
        <v>45</v>
      </c>
      <c r="C40">
        <v>39</v>
      </c>
      <c r="D40" s="3">
        <v>34</v>
      </c>
      <c r="E40">
        <f>IF(C40="","",VLOOKUP(C40,PointsSystem!$A$2:$B$41,2,FALSE()))</f>
        <v>1</v>
      </c>
    </row>
    <row r="41" spans="1:5" x14ac:dyDescent="0.3">
      <c r="A41">
        <v>1</v>
      </c>
      <c r="B41" t="s">
        <v>45</v>
      </c>
      <c r="C41">
        <v>40</v>
      </c>
      <c r="D41" s="3">
        <v>48</v>
      </c>
      <c r="E41">
        <f>IF(C41="","",VLOOKUP(C41,PointsSystem!$A$2:$B$41,2,FALSE()))</f>
        <v>1</v>
      </c>
    </row>
    <row r="42" spans="1:5" x14ac:dyDescent="0.3">
      <c r="A42">
        <v>1</v>
      </c>
      <c r="B42" t="s">
        <v>45</v>
      </c>
      <c r="C42">
        <v>41</v>
      </c>
      <c r="D42" s="3">
        <v>78</v>
      </c>
      <c r="E42">
        <v>1</v>
      </c>
    </row>
    <row r="43" spans="1:5" x14ac:dyDescent="0.3">
      <c r="A43">
        <v>2</v>
      </c>
      <c r="B43" t="s">
        <v>50</v>
      </c>
      <c r="C43">
        <v>1</v>
      </c>
      <c r="D43" s="3">
        <v>45</v>
      </c>
      <c r="E43">
        <f>IF(C43="","",VLOOKUP(C43,PointsSystem!$A$2:$B$41,2,FALSE()))</f>
        <v>55</v>
      </c>
    </row>
    <row r="44" spans="1:5" x14ac:dyDescent="0.3">
      <c r="A44">
        <v>2</v>
      </c>
      <c r="B44" t="s">
        <v>50</v>
      </c>
      <c r="C44">
        <v>2</v>
      </c>
      <c r="D44" s="3">
        <v>19</v>
      </c>
      <c r="E44">
        <f>IF(C44="","",VLOOKUP(C44,PointsSystem!$A$2:$B$41,2,FALSE()))</f>
        <v>35</v>
      </c>
    </row>
    <row r="45" spans="1:5" x14ac:dyDescent="0.3">
      <c r="A45">
        <v>2</v>
      </c>
      <c r="B45" t="s">
        <v>50</v>
      </c>
      <c r="C45">
        <v>3</v>
      </c>
      <c r="D45" s="3">
        <v>1</v>
      </c>
      <c r="E45">
        <f>IF(C45="","",VLOOKUP(C45,PointsSystem!$A$2:$B$41,2,FALSE()))</f>
        <v>34</v>
      </c>
    </row>
    <row r="46" spans="1:5" x14ac:dyDescent="0.3">
      <c r="A46">
        <v>2</v>
      </c>
      <c r="B46" t="s">
        <v>50</v>
      </c>
      <c r="C46">
        <v>4</v>
      </c>
      <c r="D46" s="3">
        <v>77</v>
      </c>
      <c r="E46">
        <f>IF(C46="","",VLOOKUP(C46,PointsSystem!$A$2:$B$41,2,FALSE()))</f>
        <v>33</v>
      </c>
    </row>
    <row r="47" spans="1:5" x14ac:dyDescent="0.3">
      <c r="A47">
        <v>2</v>
      </c>
      <c r="B47" t="s">
        <v>50</v>
      </c>
      <c r="C47">
        <v>5</v>
      </c>
      <c r="D47" s="3">
        <v>7</v>
      </c>
      <c r="E47">
        <f>IF(C47="","",VLOOKUP(C47,PointsSystem!$A$2:$B$41,2,FALSE()))</f>
        <v>32</v>
      </c>
    </row>
    <row r="48" spans="1:5" x14ac:dyDescent="0.3">
      <c r="A48">
        <v>2</v>
      </c>
      <c r="B48" t="s">
        <v>50</v>
      </c>
      <c r="C48">
        <v>6</v>
      </c>
      <c r="D48" s="3">
        <v>97</v>
      </c>
      <c r="E48">
        <f>IF(C48="","",VLOOKUP(C48,PointsSystem!$A$2:$B$41,2,FALSE()))</f>
        <v>31</v>
      </c>
    </row>
    <row r="49" spans="1:5" x14ac:dyDescent="0.3">
      <c r="A49">
        <v>2</v>
      </c>
      <c r="B49" t="s">
        <v>50</v>
      </c>
      <c r="C49">
        <v>7</v>
      </c>
      <c r="D49" s="3">
        <v>38</v>
      </c>
      <c r="E49">
        <f>IF(C49="","",VLOOKUP(C49,PointsSystem!$A$2:$B$41,2,FALSE()))</f>
        <v>30</v>
      </c>
    </row>
    <row r="50" spans="1:5" x14ac:dyDescent="0.3">
      <c r="A50">
        <v>2</v>
      </c>
      <c r="B50" t="s">
        <v>50</v>
      </c>
      <c r="C50">
        <v>8</v>
      </c>
      <c r="D50" s="3">
        <v>23</v>
      </c>
      <c r="E50">
        <f>IF(C50="","",VLOOKUP(C50,PointsSystem!$A$2:$B$41,2,FALSE()))</f>
        <v>29</v>
      </c>
    </row>
    <row r="51" spans="1:5" x14ac:dyDescent="0.3">
      <c r="A51">
        <v>2</v>
      </c>
      <c r="B51" t="s">
        <v>50</v>
      </c>
      <c r="C51">
        <v>9</v>
      </c>
      <c r="D51" s="3">
        <v>60</v>
      </c>
      <c r="E51">
        <f>IF(C51="","",VLOOKUP(C51,PointsSystem!$A$2:$B$41,2,FALSE()))</f>
        <v>28</v>
      </c>
    </row>
    <row r="52" spans="1:5" x14ac:dyDescent="0.3">
      <c r="A52">
        <v>2</v>
      </c>
      <c r="B52" t="s">
        <v>50</v>
      </c>
      <c r="C52">
        <v>10</v>
      </c>
      <c r="D52" s="3">
        <v>12</v>
      </c>
      <c r="E52">
        <f>IF(C52="","",VLOOKUP(C52,PointsSystem!$A$2:$B$41,2,FALSE()))</f>
        <v>27</v>
      </c>
    </row>
    <row r="53" spans="1:5" x14ac:dyDescent="0.3">
      <c r="A53">
        <v>2</v>
      </c>
      <c r="B53" t="s">
        <v>50</v>
      </c>
      <c r="C53">
        <v>11</v>
      </c>
      <c r="D53" s="3">
        <v>9</v>
      </c>
      <c r="E53">
        <f>IF(C53="","",VLOOKUP(C53,PointsSystem!$A$2:$B$41,2,FALSE()))</f>
        <v>26</v>
      </c>
    </row>
    <row r="54" spans="1:5" x14ac:dyDescent="0.3">
      <c r="A54">
        <v>2</v>
      </c>
      <c r="B54" t="s">
        <v>50</v>
      </c>
      <c r="C54">
        <v>12</v>
      </c>
      <c r="D54" s="3">
        <v>16</v>
      </c>
      <c r="E54">
        <f>IF(C54="","",VLOOKUP(C54,PointsSystem!$A$2:$B$41,2,FALSE()))</f>
        <v>25</v>
      </c>
    </row>
    <row r="55" spans="1:5" x14ac:dyDescent="0.3">
      <c r="A55">
        <v>2</v>
      </c>
      <c r="B55" t="s">
        <v>50</v>
      </c>
      <c r="C55">
        <v>13</v>
      </c>
      <c r="D55" s="3">
        <v>11</v>
      </c>
      <c r="E55">
        <f>IF(C55="","",VLOOKUP(C55,PointsSystem!$A$2:$B$41,2,FALSE()))</f>
        <v>24</v>
      </c>
    </row>
    <row r="56" spans="1:5" x14ac:dyDescent="0.3">
      <c r="A56">
        <v>2</v>
      </c>
      <c r="B56" t="s">
        <v>50</v>
      </c>
      <c r="C56">
        <v>14</v>
      </c>
      <c r="D56" s="3">
        <v>4</v>
      </c>
      <c r="E56">
        <f>IF(C56="","",VLOOKUP(C56,PointsSystem!$A$2:$B$41,2,FALSE()))</f>
        <v>23</v>
      </c>
    </row>
    <row r="57" spans="1:5" x14ac:dyDescent="0.3">
      <c r="A57">
        <v>2</v>
      </c>
      <c r="B57" t="s">
        <v>50</v>
      </c>
      <c r="C57">
        <v>15</v>
      </c>
      <c r="D57" s="3">
        <v>17</v>
      </c>
      <c r="E57">
        <f>IF(C57="","",VLOOKUP(C57,PointsSystem!$A$2:$B$41,2,FALSE()))</f>
        <v>22</v>
      </c>
    </row>
    <row r="58" spans="1:5" x14ac:dyDescent="0.3">
      <c r="A58">
        <v>2</v>
      </c>
      <c r="B58" t="s">
        <v>50</v>
      </c>
      <c r="C58">
        <v>16</v>
      </c>
      <c r="D58" s="3">
        <v>10</v>
      </c>
      <c r="E58">
        <f>IF(C58="","",VLOOKUP(C58,PointsSystem!$A$2:$B$41,2,FALSE()))</f>
        <v>21</v>
      </c>
    </row>
    <row r="59" spans="1:5" x14ac:dyDescent="0.3">
      <c r="A59">
        <v>2</v>
      </c>
      <c r="B59" t="s">
        <v>50</v>
      </c>
      <c r="C59">
        <v>17</v>
      </c>
      <c r="D59" s="3">
        <v>6</v>
      </c>
      <c r="E59">
        <f>IF(C59="","",VLOOKUP(C59,PointsSystem!$A$2:$B$41,2,FALSE()))</f>
        <v>20</v>
      </c>
    </row>
    <row r="60" spans="1:5" x14ac:dyDescent="0.3">
      <c r="A60">
        <v>2</v>
      </c>
      <c r="B60" t="s">
        <v>50</v>
      </c>
      <c r="C60">
        <v>18</v>
      </c>
      <c r="D60" s="3">
        <v>22</v>
      </c>
      <c r="E60">
        <f>IF(C60="","",VLOOKUP(C60,PointsSystem!$A$2:$B$41,2,FALSE()))</f>
        <v>19</v>
      </c>
    </row>
    <row r="61" spans="1:5" x14ac:dyDescent="0.3">
      <c r="A61">
        <v>2</v>
      </c>
      <c r="B61" t="s">
        <v>50</v>
      </c>
      <c r="C61">
        <v>19</v>
      </c>
      <c r="D61" s="3">
        <v>42</v>
      </c>
      <c r="E61">
        <f>IF(C61="","",VLOOKUP(C61,PointsSystem!$A$2:$B$41,2,FALSE()))</f>
        <v>18</v>
      </c>
    </row>
    <row r="62" spans="1:5" x14ac:dyDescent="0.3">
      <c r="A62">
        <v>2</v>
      </c>
      <c r="B62" t="s">
        <v>50</v>
      </c>
      <c r="C62">
        <v>20</v>
      </c>
      <c r="D62" s="3">
        <v>71</v>
      </c>
      <c r="E62">
        <f>IF(C62="","",VLOOKUP(C62,PointsSystem!$A$2:$B$41,2,FALSE()))</f>
        <v>17</v>
      </c>
    </row>
    <row r="63" spans="1:5" x14ac:dyDescent="0.3">
      <c r="A63">
        <v>2</v>
      </c>
      <c r="B63" t="s">
        <v>50</v>
      </c>
      <c r="C63">
        <v>21</v>
      </c>
      <c r="D63" s="3">
        <v>20</v>
      </c>
      <c r="E63">
        <f>IF(C63="","",VLOOKUP(C63,PointsSystem!$A$2:$B$41,2,FALSE()))</f>
        <v>16</v>
      </c>
    </row>
    <row r="64" spans="1:5" x14ac:dyDescent="0.3">
      <c r="A64">
        <v>2</v>
      </c>
      <c r="B64" t="s">
        <v>50</v>
      </c>
      <c r="C64">
        <v>22</v>
      </c>
      <c r="D64" s="3">
        <v>41</v>
      </c>
      <c r="E64">
        <f>IF(C64="","",VLOOKUP(C64,PointsSystem!$A$2:$B$41,2,FALSE()))</f>
        <v>15</v>
      </c>
    </row>
    <row r="65" spans="1:5" x14ac:dyDescent="0.3">
      <c r="A65">
        <v>2</v>
      </c>
      <c r="B65" t="s">
        <v>50</v>
      </c>
      <c r="C65">
        <v>23</v>
      </c>
      <c r="D65" s="3">
        <v>48</v>
      </c>
      <c r="E65">
        <f>IF(C65="","",VLOOKUP(C65,PointsSystem!$A$2:$B$41,2,FALSE()))</f>
        <v>14</v>
      </c>
    </row>
    <row r="66" spans="1:5" x14ac:dyDescent="0.3">
      <c r="A66">
        <v>2</v>
      </c>
      <c r="B66" t="s">
        <v>50</v>
      </c>
      <c r="C66">
        <v>24</v>
      </c>
      <c r="D66" s="3">
        <v>43</v>
      </c>
      <c r="E66">
        <f>IF(C66="","",VLOOKUP(C66,PointsSystem!$A$2:$B$41,2,FALSE()))</f>
        <v>13</v>
      </c>
    </row>
    <row r="67" spans="1:5" x14ac:dyDescent="0.3">
      <c r="A67">
        <v>2</v>
      </c>
      <c r="B67" t="s">
        <v>50</v>
      </c>
      <c r="C67">
        <v>25</v>
      </c>
      <c r="D67" s="3">
        <v>34</v>
      </c>
      <c r="E67">
        <f>IF(C67="","",VLOOKUP(C67,PointsSystem!$A$2:$B$41,2,FALSE()))</f>
        <v>12</v>
      </c>
    </row>
    <row r="68" spans="1:5" x14ac:dyDescent="0.3">
      <c r="A68">
        <v>2</v>
      </c>
      <c r="B68" t="s">
        <v>50</v>
      </c>
      <c r="C68">
        <v>26</v>
      </c>
      <c r="D68" s="3">
        <v>2</v>
      </c>
      <c r="E68">
        <f>IF(C68="","",VLOOKUP(C68,PointsSystem!$A$2:$B$41,2,FALSE()))</f>
        <v>11</v>
      </c>
    </row>
    <row r="69" spans="1:5" x14ac:dyDescent="0.3">
      <c r="A69">
        <v>2</v>
      </c>
      <c r="B69" t="s">
        <v>50</v>
      </c>
      <c r="C69">
        <v>27</v>
      </c>
      <c r="D69" s="3">
        <v>51</v>
      </c>
      <c r="E69">
        <f>IF(C69="","",VLOOKUP(C69,PointsSystem!$A$2:$B$41,2,FALSE()))</f>
        <v>10</v>
      </c>
    </row>
    <row r="70" spans="1:5" x14ac:dyDescent="0.3">
      <c r="A70">
        <v>2</v>
      </c>
      <c r="B70" t="s">
        <v>50</v>
      </c>
      <c r="C70">
        <v>28</v>
      </c>
      <c r="D70" s="3">
        <v>24</v>
      </c>
      <c r="E70">
        <f>IF(C70="","",VLOOKUP(C70,PointsSystem!$A$2:$B$41,2,FALSE()))</f>
        <v>9</v>
      </c>
    </row>
    <row r="71" spans="1:5" x14ac:dyDescent="0.3">
      <c r="A71">
        <v>2</v>
      </c>
      <c r="B71" t="s">
        <v>50</v>
      </c>
      <c r="C71">
        <v>29</v>
      </c>
      <c r="D71" s="3">
        <v>3</v>
      </c>
      <c r="E71">
        <f>IF(C71="","",VLOOKUP(C71,PointsSystem!$A$2:$B$41,2,FALSE()))</f>
        <v>8</v>
      </c>
    </row>
    <row r="72" spans="1:5" x14ac:dyDescent="0.3">
      <c r="A72">
        <v>2</v>
      </c>
      <c r="B72" t="s">
        <v>50</v>
      </c>
      <c r="C72">
        <v>30</v>
      </c>
      <c r="D72" s="3">
        <v>88</v>
      </c>
      <c r="E72">
        <f>IF(C72="","",VLOOKUP(C72,PointsSystem!$A$2:$B$41,2,FALSE()))</f>
        <v>7</v>
      </c>
    </row>
    <row r="73" spans="1:5" x14ac:dyDescent="0.3">
      <c r="A73">
        <v>2</v>
      </c>
      <c r="B73" t="s">
        <v>50</v>
      </c>
      <c r="C73">
        <v>31</v>
      </c>
      <c r="D73" s="3">
        <v>44</v>
      </c>
      <c r="E73">
        <f>IF(C73="","",VLOOKUP(C73,PointsSystem!$A$2:$B$41,2,FALSE()))</f>
        <v>6</v>
      </c>
    </row>
    <row r="74" spans="1:5" x14ac:dyDescent="0.3">
      <c r="A74">
        <v>2</v>
      </c>
      <c r="B74" t="s">
        <v>50</v>
      </c>
      <c r="C74">
        <v>32</v>
      </c>
      <c r="D74" s="3">
        <v>5</v>
      </c>
      <c r="E74">
        <f>IF(C74="","",VLOOKUP(C74,PointsSystem!$A$2:$B$41,2,FALSE()))</f>
        <v>5</v>
      </c>
    </row>
    <row r="75" spans="1:5" x14ac:dyDescent="0.3">
      <c r="A75">
        <v>2</v>
      </c>
      <c r="B75" t="s">
        <v>50</v>
      </c>
      <c r="C75">
        <v>33</v>
      </c>
      <c r="D75" s="3">
        <v>35</v>
      </c>
      <c r="E75">
        <f>IF(C75="","",VLOOKUP(C75,PointsSystem!$A$2:$B$41,2,FALSE()))</f>
        <v>4</v>
      </c>
    </row>
    <row r="76" spans="1:5" x14ac:dyDescent="0.3">
      <c r="A76">
        <v>2</v>
      </c>
      <c r="B76" t="s">
        <v>50</v>
      </c>
      <c r="C76">
        <v>34</v>
      </c>
      <c r="D76" s="3">
        <v>8</v>
      </c>
      <c r="E76">
        <f>IF(C76="","",VLOOKUP(C76,PointsSystem!$A$2:$B$41,2,FALSE()))</f>
        <v>3</v>
      </c>
    </row>
    <row r="77" spans="1:5" x14ac:dyDescent="0.3">
      <c r="A77">
        <v>2</v>
      </c>
      <c r="B77" t="s">
        <v>50</v>
      </c>
      <c r="C77">
        <v>35</v>
      </c>
      <c r="D77" s="3">
        <v>78</v>
      </c>
      <c r="E77">
        <f>IF(C77="","",VLOOKUP(C77,PointsSystem!$A$2:$B$41,2,FALSE()))</f>
        <v>2</v>
      </c>
    </row>
    <row r="78" spans="1:5" x14ac:dyDescent="0.3">
      <c r="A78">
        <v>2</v>
      </c>
      <c r="B78" t="s">
        <v>50</v>
      </c>
      <c r="C78">
        <v>36</v>
      </c>
      <c r="D78" s="3">
        <v>47</v>
      </c>
      <c r="E78">
        <f>IF(C78="","",VLOOKUP(C78,PointsSystem!$A$2:$B$41,2,FALSE()))</f>
        <v>1</v>
      </c>
    </row>
    <row r="79" spans="1:5" x14ac:dyDescent="0.3">
      <c r="A79">
        <v>2</v>
      </c>
      <c r="B79" t="s">
        <v>50</v>
      </c>
      <c r="C79">
        <v>37</v>
      </c>
      <c r="D79" s="3">
        <v>54</v>
      </c>
      <c r="E79">
        <v>1</v>
      </c>
    </row>
    <row r="80" spans="1:5" x14ac:dyDescent="0.3">
      <c r="A80">
        <v>2</v>
      </c>
      <c r="B80" t="s">
        <v>50</v>
      </c>
      <c r="C80">
        <v>38</v>
      </c>
      <c r="D80" s="3">
        <v>21</v>
      </c>
      <c r="E80">
        <f>IF(C80="","",VLOOKUP(C80,PointsSystem!$A$2:$B$41,2,FALSE()))</f>
        <v>1</v>
      </c>
    </row>
    <row r="81" spans="1:5" x14ac:dyDescent="0.3">
      <c r="A81">
        <v>2</v>
      </c>
      <c r="B81" t="s">
        <v>50</v>
      </c>
      <c r="C81">
        <v>39</v>
      </c>
      <c r="D81" s="3"/>
      <c r="E81">
        <f>IF(C81="","",VLOOKUP(C81,PointsSystem!$A$2:$B$41,2,FALSE()))</f>
        <v>1</v>
      </c>
    </row>
    <row r="82" spans="1:5" x14ac:dyDescent="0.3">
      <c r="A82">
        <v>2</v>
      </c>
      <c r="B82" t="s">
        <v>50</v>
      </c>
      <c r="C82">
        <v>40</v>
      </c>
      <c r="D82" s="3"/>
      <c r="E82">
        <f>IF(C82="","",VLOOKUP(C82,PointsSystem!$A$2:$B$41,2,FALSE()))</f>
        <v>1</v>
      </c>
    </row>
    <row r="83" spans="1:5" x14ac:dyDescent="0.3">
      <c r="A83">
        <v>3</v>
      </c>
      <c r="B83" t="s">
        <v>52</v>
      </c>
      <c r="C83">
        <v>1</v>
      </c>
      <c r="D83" s="3">
        <v>45</v>
      </c>
      <c r="E83">
        <f>IF(C83="","",VLOOKUP(C83,PointsSystem!$A$2:$B$41,2,FALSE()))</f>
        <v>55</v>
      </c>
    </row>
    <row r="84" spans="1:5" x14ac:dyDescent="0.3">
      <c r="A84">
        <v>3</v>
      </c>
      <c r="B84" t="s">
        <v>52</v>
      </c>
      <c r="C84">
        <v>2</v>
      </c>
      <c r="D84" s="3">
        <v>97</v>
      </c>
      <c r="E84">
        <f>IF(C84="","",VLOOKUP(C84,PointsSystem!$A$2:$B$41,2,FALSE()))</f>
        <v>35</v>
      </c>
    </row>
    <row r="85" spans="1:5" x14ac:dyDescent="0.3">
      <c r="A85">
        <v>3</v>
      </c>
      <c r="B85" t="s">
        <v>52</v>
      </c>
      <c r="C85">
        <v>3</v>
      </c>
      <c r="D85" s="3">
        <v>20</v>
      </c>
      <c r="E85">
        <f>IF(C85="","",VLOOKUP(C85,PointsSystem!$A$2:$B$41,2,FALSE()))</f>
        <v>34</v>
      </c>
    </row>
    <row r="86" spans="1:5" x14ac:dyDescent="0.3">
      <c r="A86">
        <v>3</v>
      </c>
      <c r="B86" t="s">
        <v>52</v>
      </c>
      <c r="C86">
        <v>4</v>
      </c>
      <c r="D86" s="3">
        <v>54</v>
      </c>
      <c r="E86">
        <f>IF(C86="","",VLOOKUP(C86,PointsSystem!$A$2:$B$41,2,FALSE()))</f>
        <v>33</v>
      </c>
    </row>
    <row r="87" spans="1:5" x14ac:dyDescent="0.3">
      <c r="A87">
        <v>3</v>
      </c>
      <c r="B87" t="s">
        <v>52</v>
      </c>
      <c r="C87">
        <v>5</v>
      </c>
      <c r="D87" s="3">
        <v>71</v>
      </c>
      <c r="E87">
        <f>IF(C87="","",VLOOKUP(C87,PointsSystem!$A$2:$B$41,2,FALSE()))</f>
        <v>32</v>
      </c>
    </row>
    <row r="88" spans="1:5" x14ac:dyDescent="0.3">
      <c r="A88">
        <v>3</v>
      </c>
      <c r="B88" t="s">
        <v>52</v>
      </c>
      <c r="C88">
        <v>6</v>
      </c>
      <c r="D88" s="3">
        <v>5</v>
      </c>
      <c r="E88">
        <f>IF(C88="","",VLOOKUP(C88,PointsSystem!$A$2:$B$41,2,FALSE()))</f>
        <v>31</v>
      </c>
    </row>
    <row r="89" spans="1:5" x14ac:dyDescent="0.3">
      <c r="A89">
        <v>3</v>
      </c>
      <c r="B89" t="s">
        <v>52</v>
      </c>
      <c r="C89">
        <v>7</v>
      </c>
      <c r="D89" s="3">
        <v>9</v>
      </c>
      <c r="E89">
        <f>IF(C89="","",VLOOKUP(C89,PointsSystem!$A$2:$B$41,2,FALSE()))</f>
        <v>30</v>
      </c>
    </row>
    <row r="90" spans="1:5" x14ac:dyDescent="0.3">
      <c r="A90">
        <v>3</v>
      </c>
      <c r="B90" t="s">
        <v>52</v>
      </c>
      <c r="C90">
        <v>8</v>
      </c>
      <c r="D90" s="3">
        <v>12</v>
      </c>
      <c r="E90">
        <f>IF(C90="","",VLOOKUP(C90,PointsSystem!$A$2:$B$41,2,FALSE()))</f>
        <v>29</v>
      </c>
    </row>
    <row r="91" spans="1:5" x14ac:dyDescent="0.3">
      <c r="A91">
        <v>3</v>
      </c>
      <c r="B91" t="s">
        <v>52</v>
      </c>
      <c r="C91">
        <v>9</v>
      </c>
      <c r="D91" s="3">
        <v>16</v>
      </c>
      <c r="E91">
        <f>IF(C91="","",VLOOKUP(C91,PointsSystem!$A$2:$B$41,2,FALSE()))</f>
        <v>28</v>
      </c>
    </row>
    <row r="92" spans="1:5" x14ac:dyDescent="0.3">
      <c r="A92">
        <v>3</v>
      </c>
      <c r="B92" t="s">
        <v>52</v>
      </c>
      <c r="C92">
        <v>10</v>
      </c>
      <c r="D92" s="3">
        <v>11</v>
      </c>
      <c r="E92">
        <f>IF(C92="","",VLOOKUP(C92,PointsSystem!$A$2:$B$41,2,FALSE()))</f>
        <v>27</v>
      </c>
    </row>
    <row r="93" spans="1:5" x14ac:dyDescent="0.3">
      <c r="A93">
        <v>3</v>
      </c>
      <c r="B93" t="s">
        <v>52</v>
      </c>
      <c r="C93">
        <v>11</v>
      </c>
      <c r="D93" s="3">
        <v>23</v>
      </c>
      <c r="E93">
        <f>IF(C93="","",VLOOKUP(C93,PointsSystem!$A$2:$B$41,2,FALSE()))</f>
        <v>26</v>
      </c>
    </row>
    <row r="94" spans="1:5" x14ac:dyDescent="0.3">
      <c r="A94">
        <v>3</v>
      </c>
      <c r="B94" t="s">
        <v>52</v>
      </c>
      <c r="C94">
        <v>12</v>
      </c>
      <c r="D94" s="3">
        <v>8</v>
      </c>
      <c r="E94">
        <f>IF(C94="","",VLOOKUP(C94,PointsSystem!$A$2:$B$41,2,FALSE()))</f>
        <v>25</v>
      </c>
    </row>
    <row r="95" spans="1:5" x14ac:dyDescent="0.3">
      <c r="A95">
        <v>3</v>
      </c>
      <c r="B95" t="s">
        <v>52</v>
      </c>
      <c r="C95">
        <v>13</v>
      </c>
      <c r="D95" s="3">
        <v>24</v>
      </c>
      <c r="E95">
        <f>IF(C95="","",VLOOKUP(C95,PointsSystem!$A$2:$B$41,2,FALSE()))</f>
        <v>24</v>
      </c>
    </row>
    <row r="96" spans="1:5" x14ac:dyDescent="0.3">
      <c r="A96">
        <v>3</v>
      </c>
      <c r="B96" t="s">
        <v>52</v>
      </c>
      <c r="C96">
        <v>14</v>
      </c>
      <c r="D96" s="3">
        <v>88</v>
      </c>
      <c r="E96">
        <f>IF(C96="","",VLOOKUP(C96,PointsSystem!$A$2:$B$41,2,FALSE()))</f>
        <v>23</v>
      </c>
    </row>
    <row r="97" spans="1:5" x14ac:dyDescent="0.3">
      <c r="A97">
        <v>3</v>
      </c>
      <c r="B97" t="s">
        <v>52</v>
      </c>
      <c r="C97">
        <v>15</v>
      </c>
      <c r="D97" s="3">
        <v>22</v>
      </c>
      <c r="E97">
        <f>IF(C97="","",VLOOKUP(C97,PointsSystem!$A$2:$B$41,2,FALSE()))</f>
        <v>22</v>
      </c>
    </row>
    <row r="98" spans="1:5" x14ac:dyDescent="0.3">
      <c r="A98">
        <v>3</v>
      </c>
      <c r="B98" t="s">
        <v>52</v>
      </c>
      <c r="C98">
        <v>16</v>
      </c>
      <c r="D98" s="3">
        <v>10</v>
      </c>
      <c r="E98">
        <f>IF(C98="","",VLOOKUP(C98,PointsSystem!$A$2:$B$41,2,FALSE()))</f>
        <v>21</v>
      </c>
    </row>
    <row r="99" spans="1:5" x14ac:dyDescent="0.3">
      <c r="A99">
        <v>3</v>
      </c>
      <c r="B99" t="s">
        <v>52</v>
      </c>
      <c r="C99">
        <v>17</v>
      </c>
      <c r="D99" s="3">
        <v>42</v>
      </c>
      <c r="E99">
        <f>IF(C99="","",VLOOKUP(C99,PointsSystem!$A$2:$B$41,2,FALSE()))</f>
        <v>20</v>
      </c>
    </row>
    <row r="100" spans="1:5" x14ac:dyDescent="0.3">
      <c r="A100">
        <v>3</v>
      </c>
      <c r="B100" t="s">
        <v>52</v>
      </c>
      <c r="C100">
        <v>18</v>
      </c>
      <c r="D100" s="3">
        <v>60</v>
      </c>
      <c r="E100">
        <f>IF(C100="","",VLOOKUP(C100,PointsSystem!$A$2:$B$41,2,FALSE()))</f>
        <v>19</v>
      </c>
    </row>
    <row r="101" spans="1:5" x14ac:dyDescent="0.3">
      <c r="A101">
        <v>3</v>
      </c>
      <c r="B101" t="s">
        <v>52</v>
      </c>
      <c r="C101">
        <v>19</v>
      </c>
      <c r="D101" s="3">
        <v>3</v>
      </c>
      <c r="E101">
        <f>IF(C101="","",VLOOKUP(C101,PointsSystem!$A$2:$B$41,2,FALSE()))</f>
        <v>18</v>
      </c>
    </row>
    <row r="102" spans="1:5" x14ac:dyDescent="0.3">
      <c r="A102">
        <v>3</v>
      </c>
      <c r="B102" t="s">
        <v>52</v>
      </c>
      <c r="C102">
        <v>20</v>
      </c>
      <c r="D102" s="3">
        <v>6</v>
      </c>
      <c r="E102">
        <f>IF(C102="","",VLOOKUP(C102,PointsSystem!$A$2:$B$41,2,FALSE()))</f>
        <v>17</v>
      </c>
    </row>
    <row r="103" spans="1:5" x14ac:dyDescent="0.3">
      <c r="A103">
        <v>3</v>
      </c>
      <c r="B103" t="s">
        <v>52</v>
      </c>
      <c r="C103">
        <v>21</v>
      </c>
      <c r="D103" s="3">
        <v>34</v>
      </c>
      <c r="E103">
        <f>IF(C103="","",VLOOKUP(C103,PointsSystem!$A$2:$B$41,2,FALSE()))</f>
        <v>16</v>
      </c>
    </row>
    <row r="104" spans="1:5" x14ac:dyDescent="0.3">
      <c r="A104">
        <v>3</v>
      </c>
      <c r="B104" t="s">
        <v>52</v>
      </c>
      <c r="C104">
        <v>22</v>
      </c>
      <c r="D104" s="3">
        <v>4</v>
      </c>
      <c r="E104">
        <f>IF(C104="","",VLOOKUP(C104,PointsSystem!$A$2:$B$41,2,FALSE()))</f>
        <v>15</v>
      </c>
    </row>
    <row r="105" spans="1:5" x14ac:dyDescent="0.3">
      <c r="A105">
        <v>3</v>
      </c>
      <c r="B105" t="s">
        <v>52</v>
      </c>
      <c r="C105">
        <v>23</v>
      </c>
      <c r="D105" s="3">
        <v>35</v>
      </c>
      <c r="E105">
        <f>IF(C105="","",VLOOKUP(C105,PointsSystem!$A$2:$B$41,2,FALSE()))</f>
        <v>14</v>
      </c>
    </row>
    <row r="106" spans="1:5" x14ac:dyDescent="0.3">
      <c r="A106">
        <v>3</v>
      </c>
      <c r="B106" t="s">
        <v>52</v>
      </c>
      <c r="C106">
        <v>24</v>
      </c>
      <c r="D106" s="3">
        <v>17</v>
      </c>
      <c r="E106">
        <f>IF(C106="","",VLOOKUP(C106,PointsSystem!$A$2:$B$41,2,FALSE()))</f>
        <v>13</v>
      </c>
    </row>
    <row r="107" spans="1:5" x14ac:dyDescent="0.3">
      <c r="A107">
        <v>3</v>
      </c>
      <c r="B107" t="s">
        <v>52</v>
      </c>
      <c r="C107">
        <v>25</v>
      </c>
      <c r="D107" s="3">
        <v>7</v>
      </c>
      <c r="E107">
        <f>IF(C107="","",VLOOKUP(C107,PointsSystem!$A$2:$B$41,2,FALSE()))</f>
        <v>12</v>
      </c>
    </row>
    <row r="108" spans="1:5" x14ac:dyDescent="0.3">
      <c r="A108">
        <v>3</v>
      </c>
      <c r="B108" t="s">
        <v>52</v>
      </c>
      <c r="C108">
        <v>26</v>
      </c>
      <c r="D108" s="3">
        <v>21</v>
      </c>
      <c r="E108">
        <f>IF(C108="","",VLOOKUP(C108,PointsSystem!$A$2:$B$41,2,FALSE()))</f>
        <v>11</v>
      </c>
    </row>
    <row r="109" spans="1:5" x14ac:dyDescent="0.3">
      <c r="A109">
        <v>3</v>
      </c>
      <c r="B109" t="s">
        <v>52</v>
      </c>
      <c r="C109">
        <v>27</v>
      </c>
      <c r="D109" s="3">
        <v>33</v>
      </c>
      <c r="E109">
        <f>IF(C109="","",VLOOKUP(C109,PointsSystem!$A$2:$B$41,2,FALSE()))</f>
        <v>10</v>
      </c>
    </row>
    <row r="110" spans="1:5" x14ac:dyDescent="0.3">
      <c r="A110">
        <v>3</v>
      </c>
      <c r="B110" t="s">
        <v>52</v>
      </c>
      <c r="C110">
        <v>28</v>
      </c>
      <c r="D110" s="3">
        <v>47</v>
      </c>
      <c r="E110">
        <f>IF(C110="","",VLOOKUP(C110,PointsSystem!$A$2:$B$41,2,FALSE()))</f>
        <v>9</v>
      </c>
    </row>
    <row r="111" spans="1:5" x14ac:dyDescent="0.3">
      <c r="A111">
        <v>3</v>
      </c>
      <c r="B111" t="s">
        <v>52</v>
      </c>
      <c r="C111">
        <v>29</v>
      </c>
      <c r="D111" s="3">
        <v>41</v>
      </c>
      <c r="E111">
        <f>IF(C111="","",VLOOKUP(C111,PointsSystem!$A$2:$B$41,2,FALSE()))</f>
        <v>8</v>
      </c>
    </row>
    <row r="112" spans="1:5" x14ac:dyDescent="0.3">
      <c r="A112">
        <v>3</v>
      </c>
      <c r="B112" t="s">
        <v>52</v>
      </c>
      <c r="C112">
        <v>30</v>
      </c>
      <c r="D112" s="3">
        <v>51</v>
      </c>
      <c r="E112">
        <f>IF(C112="","",VLOOKUP(C112,PointsSystem!$A$2:$B$41,2,FALSE()))</f>
        <v>7</v>
      </c>
    </row>
    <row r="113" spans="1:5" x14ac:dyDescent="0.3">
      <c r="A113">
        <v>3</v>
      </c>
      <c r="B113" t="s">
        <v>52</v>
      </c>
      <c r="C113">
        <v>31</v>
      </c>
      <c r="D113" s="3">
        <v>77</v>
      </c>
      <c r="E113">
        <f>IF(C113="","",VLOOKUP(C113,PointsSystem!$A$2:$B$41,2,FALSE()))</f>
        <v>6</v>
      </c>
    </row>
    <row r="114" spans="1:5" x14ac:dyDescent="0.3">
      <c r="A114">
        <v>3</v>
      </c>
      <c r="B114" t="s">
        <v>52</v>
      </c>
      <c r="C114">
        <v>32</v>
      </c>
      <c r="D114" s="3">
        <v>2</v>
      </c>
      <c r="E114">
        <f>IF(C114="","",VLOOKUP(C114,PointsSystem!$A$2:$B$41,2,FALSE()))</f>
        <v>5</v>
      </c>
    </row>
    <row r="115" spans="1:5" x14ac:dyDescent="0.3">
      <c r="A115">
        <v>3</v>
      </c>
      <c r="B115" t="s">
        <v>52</v>
      </c>
      <c r="C115">
        <v>33</v>
      </c>
      <c r="D115" s="3">
        <v>38</v>
      </c>
      <c r="E115">
        <f>IF(C115="","",VLOOKUP(C115,PointsSystem!$A$2:$B$41,2,FALSE()))</f>
        <v>4</v>
      </c>
    </row>
    <row r="116" spans="1:5" x14ac:dyDescent="0.3">
      <c r="A116">
        <v>3</v>
      </c>
      <c r="B116" t="s">
        <v>52</v>
      </c>
      <c r="C116">
        <v>34</v>
      </c>
      <c r="D116" s="3">
        <v>43</v>
      </c>
      <c r="E116">
        <f>IF(C116="","",VLOOKUP(C116,PointsSystem!$A$2:$B$41,2,FALSE()))</f>
        <v>3</v>
      </c>
    </row>
    <row r="117" spans="1:5" x14ac:dyDescent="0.3">
      <c r="A117">
        <v>3</v>
      </c>
      <c r="B117" t="s">
        <v>52</v>
      </c>
      <c r="C117">
        <v>35</v>
      </c>
      <c r="D117" s="3">
        <v>1</v>
      </c>
      <c r="E117">
        <f>IF(C117="","",VLOOKUP(C117,PointsSystem!$A$2:$B$41,2,FALSE()))</f>
        <v>2</v>
      </c>
    </row>
    <row r="118" spans="1:5" x14ac:dyDescent="0.3">
      <c r="A118">
        <v>3</v>
      </c>
      <c r="B118" t="s">
        <v>52</v>
      </c>
      <c r="C118">
        <v>36</v>
      </c>
      <c r="D118" s="3">
        <v>48</v>
      </c>
      <c r="E118">
        <f>IF(C118="","",VLOOKUP(C118,PointsSystem!$A$2:$B$41,2,FALSE()))</f>
        <v>1</v>
      </c>
    </row>
    <row r="119" spans="1:5" x14ac:dyDescent="0.3">
      <c r="A119">
        <v>3</v>
      </c>
      <c r="B119" t="s">
        <v>52</v>
      </c>
      <c r="C119">
        <v>37</v>
      </c>
      <c r="D119" s="3">
        <v>19</v>
      </c>
      <c r="E119">
        <f>IF(C119="","",VLOOKUP(C119,PointsSystem!$A$2:$B$41,2,FALSE()))</f>
        <v>1</v>
      </c>
    </row>
    <row r="120" spans="1:5" x14ac:dyDescent="0.3">
      <c r="A120">
        <v>3</v>
      </c>
      <c r="B120" t="s">
        <v>52</v>
      </c>
      <c r="C120">
        <v>38</v>
      </c>
      <c r="D120" s="3"/>
      <c r="E120">
        <f>IF(C120="","",VLOOKUP(C120,PointsSystem!$A$2:$B$41,2,FALSE()))</f>
        <v>1</v>
      </c>
    </row>
    <row r="121" spans="1:5" x14ac:dyDescent="0.3">
      <c r="A121">
        <v>3</v>
      </c>
      <c r="B121" t="s">
        <v>52</v>
      </c>
      <c r="C121">
        <v>39</v>
      </c>
      <c r="D121" s="3"/>
      <c r="E121">
        <f>IF(C121="","",VLOOKUP(C121,PointsSystem!$A$2:$B$41,2,FALSE()))</f>
        <v>1</v>
      </c>
    </row>
    <row r="122" spans="1:5" x14ac:dyDescent="0.3">
      <c r="A122">
        <v>3</v>
      </c>
      <c r="B122" t="s">
        <v>52</v>
      </c>
      <c r="C122">
        <v>40</v>
      </c>
      <c r="D122" s="3"/>
      <c r="E122">
        <f>IF(C122="","",VLOOKUP(C122,PointsSystem!$A$2:$B$41,2,FALSE()))</f>
        <v>1</v>
      </c>
    </row>
    <row r="123" spans="1:5" x14ac:dyDescent="0.3">
      <c r="A123">
        <v>4</v>
      </c>
      <c r="B123" t="s">
        <v>54</v>
      </c>
      <c r="C123">
        <v>1</v>
      </c>
      <c r="D123" s="3">
        <v>12</v>
      </c>
      <c r="E123">
        <f>IF(C123="","",VLOOKUP(C123,PointsSystem!$A$2:$B$41,2,FALSE()))</f>
        <v>55</v>
      </c>
    </row>
    <row r="124" spans="1:5" x14ac:dyDescent="0.3">
      <c r="A124">
        <v>4</v>
      </c>
      <c r="B124" t="s">
        <v>54</v>
      </c>
      <c r="C124">
        <v>2</v>
      </c>
      <c r="D124" s="3">
        <v>20</v>
      </c>
      <c r="E124">
        <f>IF(C124="","",VLOOKUP(C124,PointsSystem!$A$2:$B$41,2,FALSE()))</f>
        <v>35</v>
      </c>
    </row>
    <row r="125" spans="1:5" x14ac:dyDescent="0.3">
      <c r="A125">
        <v>4</v>
      </c>
      <c r="B125" t="s">
        <v>54</v>
      </c>
      <c r="C125">
        <v>3</v>
      </c>
      <c r="D125" s="3">
        <v>5</v>
      </c>
      <c r="E125">
        <f>IF(C125="","",VLOOKUP(C125,PointsSystem!$A$2:$B$41,2,FALSE()))</f>
        <v>34</v>
      </c>
    </row>
    <row r="126" spans="1:5" x14ac:dyDescent="0.3">
      <c r="A126">
        <v>4</v>
      </c>
      <c r="B126" t="s">
        <v>54</v>
      </c>
      <c r="C126">
        <v>4</v>
      </c>
      <c r="D126" s="3">
        <v>54</v>
      </c>
      <c r="E126">
        <f>IF(C126="","",VLOOKUP(C126,PointsSystem!$A$2:$B$41,2,FALSE()))</f>
        <v>33</v>
      </c>
    </row>
    <row r="127" spans="1:5" x14ac:dyDescent="0.3">
      <c r="A127">
        <v>4</v>
      </c>
      <c r="B127" t="s">
        <v>54</v>
      </c>
      <c r="C127">
        <v>5</v>
      </c>
      <c r="D127" s="3">
        <v>11</v>
      </c>
      <c r="E127">
        <f>IF(C127="","",VLOOKUP(C127,PointsSystem!$A$2:$B$41,2,FALSE()))</f>
        <v>32</v>
      </c>
    </row>
    <row r="128" spans="1:5" x14ac:dyDescent="0.3">
      <c r="A128">
        <v>4</v>
      </c>
      <c r="B128" t="s">
        <v>54</v>
      </c>
      <c r="C128">
        <v>6</v>
      </c>
      <c r="D128" s="3">
        <v>23</v>
      </c>
      <c r="E128">
        <f>IF(C128="","",VLOOKUP(C128,PointsSystem!$A$2:$B$41,2,FALSE()))</f>
        <v>31</v>
      </c>
    </row>
    <row r="129" spans="1:5" x14ac:dyDescent="0.3">
      <c r="A129">
        <v>4</v>
      </c>
      <c r="B129" t="s">
        <v>54</v>
      </c>
      <c r="C129">
        <v>7</v>
      </c>
      <c r="D129" s="3">
        <v>24</v>
      </c>
      <c r="E129">
        <f>IF(C129="","",VLOOKUP(C129,PointsSystem!$A$2:$B$41,2,FALSE()))</f>
        <v>30</v>
      </c>
    </row>
    <row r="130" spans="1:5" x14ac:dyDescent="0.3">
      <c r="A130">
        <v>4</v>
      </c>
      <c r="B130" t="s">
        <v>54</v>
      </c>
      <c r="C130">
        <v>8</v>
      </c>
      <c r="D130" s="3">
        <v>45</v>
      </c>
      <c r="E130">
        <f>IF(C130="","",VLOOKUP(C130,PointsSystem!$A$2:$B$41,2,FALSE()))</f>
        <v>29</v>
      </c>
    </row>
    <row r="131" spans="1:5" x14ac:dyDescent="0.3">
      <c r="A131">
        <v>4</v>
      </c>
      <c r="B131" t="s">
        <v>54</v>
      </c>
      <c r="C131">
        <v>9</v>
      </c>
      <c r="D131" s="3">
        <v>71</v>
      </c>
      <c r="E131">
        <f>IF(C131="","",VLOOKUP(C131,PointsSystem!$A$2:$B$41,2,FALSE()))</f>
        <v>28</v>
      </c>
    </row>
    <row r="132" spans="1:5" x14ac:dyDescent="0.3">
      <c r="A132">
        <v>4</v>
      </c>
      <c r="B132" t="s">
        <v>54</v>
      </c>
      <c r="C132">
        <v>10</v>
      </c>
      <c r="D132" s="3">
        <v>43</v>
      </c>
      <c r="E132">
        <f>IF(C132="","",VLOOKUP(C132,PointsSystem!$A$2:$B$41,2,FALSE()))</f>
        <v>27</v>
      </c>
    </row>
    <row r="133" spans="1:5" x14ac:dyDescent="0.3">
      <c r="A133">
        <v>4</v>
      </c>
      <c r="B133" t="s">
        <v>54</v>
      </c>
      <c r="C133">
        <v>11</v>
      </c>
      <c r="D133" s="3">
        <v>97</v>
      </c>
      <c r="E133">
        <f>IF(C133="","",VLOOKUP(C133,PointsSystem!$A$2:$B$41,2,FALSE()))</f>
        <v>26</v>
      </c>
    </row>
    <row r="134" spans="1:5" x14ac:dyDescent="0.3">
      <c r="A134">
        <v>4</v>
      </c>
      <c r="B134" t="s">
        <v>54</v>
      </c>
      <c r="C134">
        <v>12</v>
      </c>
      <c r="D134" s="3">
        <v>34</v>
      </c>
      <c r="E134">
        <f>IF(C134="","",VLOOKUP(C134,PointsSystem!$A$2:$B$41,2,FALSE()))</f>
        <v>25</v>
      </c>
    </row>
    <row r="135" spans="1:5" x14ac:dyDescent="0.3">
      <c r="A135">
        <v>4</v>
      </c>
      <c r="B135" t="s">
        <v>54</v>
      </c>
      <c r="C135">
        <v>13</v>
      </c>
      <c r="D135" s="3">
        <v>60</v>
      </c>
      <c r="E135">
        <f>IF(C135="","",VLOOKUP(C135,PointsSystem!$A$2:$B$41,2,FALSE()))</f>
        <v>24</v>
      </c>
    </row>
    <row r="136" spans="1:5" x14ac:dyDescent="0.3">
      <c r="A136">
        <v>4</v>
      </c>
      <c r="B136" t="s">
        <v>54</v>
      </c>
      <c r="C136">
        <v>14</v>
      </c>
      <c r="D136" s="3">
        <v>17</v>
      </c>
      <c r="E136">
        <f>IF(C136="","",VLOOKUP(C136,PointsSystem!$A$2:$B$41,2,FALSE()))</f>
        <v>23</v>
      </c>
    </row>
    <row r="137" spans="1:5" x14ac:dyDescent="0.3">
      <c r="A137">
        <v>4</v>
      </c>
      <c r="B137" t="s">
        <v>54</v>
      </c>
      <c r="C137">
        <v>15</v>
      </c>
      <c r="D137" s="3">
        <v>6</v>
      </c>
      <c r="E137">
        <f>IF(C137="","",VLOOKUP(C137,PointsSystem!$A$2:$B$41,2,FALSE()))</f>
        <v>22</v>
      </c>
    </row>
    <row r="138" spans="1:5" x14ac:dyDescent="0.3">
      <c r="A138">
        <v>4</v>
      </c>
      <c r="B138" t="s">
        <v>54</v>
      </c>
      <c r="C138">
        <v>16</v>
      </c>
      <c r="D138" s="3">
        <v>3</v>
      </c>
      <c r="E138">
        <f>IF(C138="","",VLOOKUP(C138,PointsSystem!$A$2:$B$41,2,FALSE()))</f>
        <v>21</v>
      </c>
    </row>
    <row r="139" spans="1:5" x14ac:dyDescent="0.3">
      <c r="A139">
        <v>4</v>
      </c>
      <c r="B139" t="s">
        <v>54</v>
      </c>
      <c r="C139">
        <v>17</v>
      </c>
      <c r="D139" s="3">
        <v>8</v>
      </c>
      <c r="E139">
        <f>IF(C139="","",VLOOKUP(C139,PointsSystem!$A$2:$B$41,2,FALSE()))</f>
        <v>20</v>
      </c>
    </row>
    <row r="140" spans="1:5" x14ac:dyDescent="0.3">
      <c r="A140">
        <v>4</v>
      </c>
      <c r="B140" t="s">
        <v>54</v>
      </c>
      <c r="C140">
        <v>18</v>
      </c>
      <c r="D140" s="3">
        <v>35</v>
      </c>
      <c r="E140">
        <f>IF(C140="","",VLOOKUP(C140,PointsSystem!$A$2:$B$41,2,FALSE()))</f>
        <v>19</v>
      </c>
    </row>
    <row r="141" spans="1:5" x14ac:dyDescent="0.3">
      <c r="A141">
        <v>4</v>
      </c>
      <c r="B141" t="s">
        <v>54</v>
      </c>
      <c r="C141">
        <v>19</v>
      </c>
      <c r="D141" s="3">
        <v>16</v>
      </c>
      <c r="E141">
        <f>IF(C141="","",VLOOKUP(C141,PointsSystem!$A$2:$B$41,2,FALSE()))</f>
        <v>18</v>
      </c>
    </row>
    <row r="142" spans="1:5" x14ac:dyDescent="0.3">
      <c r="A142">
        <v>4</v>
      </c>
      <c r="B142" t="s">
        <v>54</v>
      </c>
      <c r="C142">
        <v>20</v>
      </c>
      <c r="D142" s="3">
        <v>77</v>
      </c>
      <c r="E142">
        <f>IF(C142="","",VLOOKUP(C142,PointsSystem!$A$2:$B$41,2,FALSE()))</f>
        <v>17</v>
      </c>
    </row>
    <row r="143" spans="1:5" x14ac:dyDescent="0.3">
      <c r="A143">
        <v>4</v>
      </c>
      <c r="B143" t="s">
        <v>54</v>
      </c>
      <c r="C143">
        <v>21</v>
      </c>
      <c r="D143" s="3">
        <v>33</v>
      </c>
      <c r="E143">
        <f>IF(C143="","",VLOOKUP(C143,PointsSystem!$A$2:$B$41,2,FALSE()))</f>
        <v>16</v>
      </c>
    </row>
    <row r="144" spans="1:5" x14ac:dyDescent="0.3">
      <c r="A144">
        <v>4</v>
      </c>
      <c r="B144" t="s">
        <v>54</v>
      </c>
      <c r="C144">
        <v>22</v>
      </c>
      <c r="D144" s="3">
        <v>47</v>
      </c>
      <c r="E144">
        <f>IF(C144="","",VLOOKUP(C144,PointsSystem!$A$2:$B$41,2,FALSE()))</f>
        <v>15</v>
      </c>
    </row>
    <row r="145" spans="1:5" x14ac:dyDescent="0.3">
      <c r="A145">
        <v>4</v>
      </c>
      <c r="B145" t="s">
        <v>54</v>
      </c>
      <c r="C145">
        <v>23</v>
      </c>
      <c r="D145" s="3">
        <v>9</v>
      </c>
      <c r="E145">
        <f>IF(C145="","",VLOOKUP(C145,PointsSystem!$A$2:$B$41,2,FALSE()))</f>
        <v>14</v>
      </c>
    </row>
    <row r="146" spans="1:5" x14ac:dyDescent="0.3">
      <c r="A146">
        <v>4</v>
      </c>
      <c r="B146" t="s">
        <v>54</v>
      </c>
      <c r="C146">
        <v>24</v>
      </c>
      <c r="D146" s="3">
        <v>51</v>
      </c>
      <c r="E146">
        <f>IF(C146="","",VLOOKUP(C146,PointsSystem!$A$2:$B$41,2,FALSE()))</f>
        <v>13</v>
      </c>
    </row>
    <row r="147" spans="1:5" x14ac:dyDescent="0.3">
      <c r="A147">
        <v>4</v>
      </c>
      <c r="B147" t="s">
        <v>54</v>
      </c>
      <c r="C147">
        <v>25</v>
      </c>
      <c r="D147" s="3">
        <v>42</v>
      </c>
      <c r="E147">
        <f>IF(C147="","",VLOOKUP(C147,PointsSystem!$A$2:$B$41,2,FALSE()))</f>
        <v>12</v>
      </c>
    </row>
    <row r="148" spans="1:5" x14ac:dyDescent="0.3">
      <c r="A148">
        <v>4</v>
      </c>
      <c r="B148" t="s">
        <v>54</v>
      </c>
      <c r="C148">
        <v>26</v>
      </c>
      <c r="D148" s="3">
        <v>10</v>
      </c>
      <c r="E148">
        <f>IF(C148="","",VLOOKUP(C148,PointsSystem!$A$2:$B$41,2,FALSE()))</f>
        <v>11</v>
      </c>
    </row>
    <row r="149" spans="1:5" x14ac:dyDescent="0.3">
      <c r="A149">
        <v>4</v>
      </c>
      <c r="B149" t="s">
        <v>54</v>
      </c>
      <c r="C149">
        <v>27</v>
      </c>
      <c r="D149" s="3">
        <v>38</v>
      </c>
      <c r="E149">
        <f>IF(C149="","",VLOOKUP(C149,PointsSystem!$A$2:$B$41,2,FALSE()))</f>
        <v>10</v>
      </c>
    </row>
    <row r="150" spans="1:5" x14ac:dyDescent="0.3">
      <c r="A150">
        <v>4</v>
      </c>
      <c r="B150" t="s">
        <v>54</v>
      </c>
      <c r="C150">
        <v>28</v>
      </c>
      <c r="D150" s="3">
        <v>1</v>
      </c>
      <c r="E150">
        <f>IF(C150="","",VLOOKUP(C150,PointsSystem!$A$2:$B$41,2,FALSE()))</f>
        <v>9</v>
      </c>
    </row>
    <row r="151" spans="1:5" x14ac:dyDescent="0.3">
      <c r="A151">
        <v>4</v>
      </c>
      <c r="B151" t="s">
        <v>54</v>
      </c>
      <c r="C151">
        <v>29</v>
      </c>
      <c r="D151" s="3">
        <v>88</v>
      </c>
      <c r="E151">
        <f>IF(C151="","",VLOOKUP(C151,PointsSystem!$A$2:$B$41,2,FALSE()))</f>
        <v>8</v>
      </c>
    </row>
    <row r="152" spans="1:5" x14ac:dyDescent="0.3">
      <c r="A152">
        <v>4</v>
      </c>
      <c r="B152" t="s">
        <v>54</v>
      </c>
      <c r="C152">
        <v>30</v>
      </c>
      <c r="D152" s="3">
        <v>7</v>
      </c>
      <c r="E152">
        <f>IF(C152="","",VLOOKUP(C152,PointsSystem!$A$2:$B$41,2,FALSE()))</f>
        <v>7</v>
      </c>
    </row>
    <row r="153" spans="1:5" x14ac:dyDescent="0.3">
      <c r="A153">
        <v>4</v>
      </c>
      <c r="B153" t="s">
        <v>54</v>
      </c>
      <c r="C153">
        <v>31</v>
      </c>
      <c r="D153" s="3">
        <v>22</v>
      </c>
      <c r="E153">
        <f>IF(C153="","",VLOOKUP(C153,PointsSystem!$A$2:$B$41,2,FALSE()))</f>
        <v>6</v>
      </c>
    </row>
    <row r="154" spans="1:5" x14ac:dyDescent="0.3">
      <c r="A154">
        <v>4</v>
      </c>
      <c r="B154" t="s">
        <v>54</v>
      </c>
      <c r="C154">
        <v>32</v>
      </c>
      <c r="D154" s="3">
        <v>21</v>
      </c>
      <c r="E154">
        <f>IF(C154="","",VLOOKUP(C154,PointsSystem!$A$2:$B$41,2,FALSE()))</f>
        <v>5</v>
      </c>
    </row>
    <row r="155" spans="1:5" x14ac:dyDescent="0.3">
      <c r="A155">
        <v>4</v>
      </c>
      <c r="B155" t="s">
        <v>54</v>
      </c>
      <c r="C155">
        <v>33</v>
      </c>
      <c r="D155" s="3">
        <v>48</v>
      </c>
      <c r="E155">
        <f>IF(C155="","",VLOOKUP(C155,PointsSystem!$A$2:$B$41,2,FALSE()))</f>
        <v>4</v>
      </c>
    </row>
    <row r="156" spans="1:5" x14ac:dyDescent="0.3">
      <c r="A156">
        <v>4</v>
      </c>
      <c r="B156" t="s">
        <v>54</v>
      </c>
      <c r="C156">
        <v>34</v>
      </c>
      <c r="D156" s="3">
        <v>2</v>
      </c>
      <c r="E156">
        <f>IF(C156="","",VLOOKUP(C156,PointsSystem!$A$2:$B$41,2,FALSE()))</f>
        <v>3</v>
      </c>
    </row>
    <row r="157" spans="1:5" x14ac:dyDescent="0.3">
      <c r="A157">
        <v>4</v>
      </c>
      <c r="B157" t="s">
        <v>54</v>
      </c>
      <c r="C157">
        <v>35</v>
      </c>
      <c r="D157" s="3">
        <v>41</v>
      </c>
      <c r="E157">
        <f>IF(C157="","",VLOOKUP(C157,PointsSystem!$A$2:$B$41,2,FALSE()))</f>
        <v>2</v>
      </c>
    </row>
    <row r="158" spans="1:5" x14ac:dyDescent="0.3">
      <c r="A158">
        <v>4</v>
      </c>
      <c r="B158" t="s">
        <v>54</v>
      </c>
      <c r="C158">
        <v>36</v>
      </c>
      <c r="D158" s="3">
        <v>4</v>
      </c>
      <c r="E158">
        <f>IF(C158="","",VLOOKUP(C158,PointsSystem!$A$2:$B$41,2,FALSE()))</f>
        <v>1</v>
      </c>
    </row>
    <row r="159" spans="1:5" x14ac:dyDescent="0.3">
      <c r="A159">
        <v>4</v>
      </c>
      <c r="B159" t="s">
        <v>54</v>
      </c>
      <c r="C159">
        <v>37</v>
      </c>
      <c r="D159" s="3">
        <v>19</v>
      </c>
      <c r="E159">
        <f>IF(C159="","",VLOOKUP(C159,PointsSystem!$A$2:$B$41,2,FALSE()))</f>
        <v>1</v>
      </c>
    </row>
    <row r="160" spans="1:5" x14ac:dyDescent="0.3">
      <c r="A160">
        <v>4</v>
      </c>
      <c r="B160" t="s">
        <v>54</v>
      </c>
      <c r="C160">
        <v>38</v>
      </c>
      <c r="D160" s="3"/>
      <c r="E160">
        <f>IF(C160="","",VLOOKUP(C160,PointsSystem!$A$2:$B$41,2,FALSE()))</f>
        <v>1</v>
      </c>
    </row>
    <row r="161" spans="1:5" x14ac:dyDescent="0.3">
      <c r="A161">
        <v>4</v>
      </c>
      <c r="B161" t="s">
        <v>54</v>
      </c>
      <c r="C161">
        <v>39</v>
      </c>
      <c r="D161" s="3"/>
      <c r="E161">
        <f>IF(C161="","",VLOOKUP(C161,PointsSystem!$A$2:$B$41,2,FALSE()))</f>
        <v>1</v>
      </c>
    </row>
    <row r="162" spans="1:5" x14ac:dyDescent="0.3">
      <c r="A162">
        <v>4</v>
      </c>
      <c r="B162" t="s">
        <v>54</v>
      </c>
      <c r="C162">
        <v>40</v>
      </c>
      <c r="D162" s="3"/>
      <c r="E162">
        <f>IF(C162="","",VLOOKUP(C162,PointsSystem!$A$2:$B$41,2,FALSE()))</f>
        <v>1</v>
      </c>
    </row>
    <row r="163" spans="1:5" x14ac:dyDescent="0.3">
      <c r="A163">
        <v>5</v>
      </c>
      <c r="B163" t="s">
        <v>57</v>
      </c>
      <c r="C163">
        <v>1</v>
      </c>
      <c r="D163" s="3">
        <v>11</v>
      </c>
      <c r="E163">
        <f>IF(C163="","",VLOOKUP(C163,PointsSystem!$A$2:$B$41,2,FALSE()))</f>
        <v>55</v>
      </c>
    </row>
    <row r="164" spans="1:5" x14ac:dyDescent="0.3">
      <c r="A164">
        <v>5</v>
      </c>
      <c r="B164" t="s">
        <v>57</v>
      </c>
      <c r="C164">
        <v>2</v>
      </c>
      <c r="D164" s="3">
        <v>9</v>
      </c>
      <c r="E164">
        <f>IF(C164="","",VLOOKUP(C164,PointsSystem!$A$2:$B$41,2,FALSE()))</f>
        <v>35</v>
      </c>
    </row>
    <row r="165" spans="1:5" x14ac:dyDescent="0.3">
      <c r="A165">
        <v>5</v>
      </c>
      <c r="B165" t="s">
        <v>57</v>
      </c>
      <c r="C165">
        <v>3</v>
      </c>
      <c r="D165" s="3">
        <v>24</v>
      </c>
      <c r="E165">
        <f>IF(C165="","",VLOOKUP(C165,PointsSystem!$A$2:$B$41,2,FALSE()))</f>
        <v>34</v>
      </c>
    </row>
    <row r="166" spans="1:5" x14ac:dyDescent="0.3">
      <c r="A166">
        <v>5</v>
      </c>
      <c r="B166" t="s">
        <v>57</v>
      </c>
      <c r="C166">
        <v>4</v>
      </c>
      <c r="D166" s="3">
        <v>20</v>
      </c>
      <c r="E166">
        <f>IF(C166="","",VLOOKUP(C166,PointsSystem!$A$2:$B$41,2,FALSE()))</f>
        <v>33</v>
      </c>
    </row>
    <row r="167" spans="1:5" x14ac:dyDescent="0.3">
      <c r="A167">
        <v>5</v>
      </c>
      <c r="B167" t="s">
        <v>57</v>
      </c>
      <c r="C167">
        <v>5</v>
      </c>
      <c r="D167" s="3">
        <v>54</v>
      </c>
      <c r="E167">
        <f>IF(C167="","",VLOOKUP(C167,PointsSystem!$A$2:$B$41,2,FALSE()))</f>
        <v>32</v>
      </c>
    </row>
    <row r="168" spans="1:5" x14ac:dyDescent="0.3">
      <c r="A168">
        <v>5</v>
      </c>
      <c r="B168" t="s">
        <v>57</v>
      </c>
      <c r="C168">
        <v>6</v>
      </c>
      <c r="D168" s="3">
        <v>17</v>
      </c>
      <c r="E168">
        <f>IF(C168="","",VLOOKUP(C168,PointsSystem!$A$2:$B$41,2,FALSE()))</f>
        <v>31</v>
      </c>
    </row>
    <row r="169" spans="1:5" x14ac:dyDescent="0.3">
      <c r="A169">
        <v>5</v>
      </c>
      <c r="B169" t="s">
        <v>57</v>
      </c>
      <c r="C169">
        <v>7</v>
      </c>
      <c r="D169" s="3">
        <v>5</v>
      </c>
      <c r="E169">
        <f>IF(C169="","",VLOOKUP(C169,PointsSystem!$A$2:$B$41,2,FALSE()))</f>
        <v>30</v>
      </c>
    </row>
    <row r="170" spans="1:5" x14ac:dyDescent="0.3">
      <c r="A170">
        <v>5</v>
      </c>
      <c r="B170" t="s">
        <v>57</v>
      </c>
      <c r="C170">
        <v>8</v>
      </c>
      <c r="D170" s="3">
        <v>19</v>
      </c>
      <c r="E170">
        <f>IF(C170="","",VLOOKUP(C170,PointsSystem!$A$2:$B$41,2,FALSE()))</f>
        <v>29</v>
      </c>
    </row>
    <row r="171" spans="1:5" x14ac:dyDescent="0.3">
      <c r="A171">
        <v>5</v>
      </c>
      <c r="B171" t="s">
        <v>57</v>
      </c>
      <c r="C171">
        <v>9</v>
      </c>
      <c r="D171" s="3">
        <v>23</v>
      </c>
      <c r="E171">
        <f>IF(C171="","",VLOOKUP(C171,PointsSystem!$A$2:$B$41,2,FALSE()))</f>
        <v>28</v>
      </c>
    </row>
    <row r="172" spans="1:5" x14ac:dyDescent="0.3">
      <c r="A172">
        <v>5</v>
      </c>
      <c r="B172" t="s">
        <v>57</v>
      </c>
      <c r="C172">
        <v>10</v>
      </c>
      <c r="D172" s="3">
        <v>6</v>
      </c>
      <c r="E172">
        <f>IF(C172="","",VLOOKUP(C172,PointsSystem!$A$2:$B$41,2,FALSE()))</f>
        <v>27</v>
      </c>
    </row>
    <row r="173" spans="1:5" x14ac:dyDescent="0.3">
      <c r="A173">
        <v>5</v>
      </c>
      <c r="B173" t="s">
        <v>57</v>
      </c>
      <c r="C173">
        <v>11</v>
      </c>
      <c r="D173" s="3">
        <v>60</v>
      </c>
      <c r="E173">
        <f>IF(C173="","",VLOOKUP(C173,PointsSystem!$A$2:$B$41,2,FALSE()))</f>
        <v>26</v>
      </c>
    </row>
    <row r="174" spans="1:5" x14ac:dyDescent="0.3">
      <c r="A174">
        <v>5</v>
      </c>
      <c r="B174" t="s">
        <v>57</v>
      </c>
      <c r="C174">
        <v>12</v>
      </c>
      <c r="D174" s="3">
        <v>3</v>
      </c>
      <c r="E174">
        <f>IF(C174="","",VLOOKUP(C174,PointsSystem!$A$2:$B$41,2,FALSE()))</f>
        <v>25</v>
      </c>
    </row>
    <row r="175" spans="1:5" x14ac:dyDescent="0.3">
      <c r="A175">
        <v>5</v>
      </c>
      <c r="B175" t="s">
        <v>57</v>
      </c>
      <c r="C175">
        <v>13</v>
      </c>
      <c r="D175" s="3">
        <v>45</v>
      </c>
      <c r="E175">
        <f>IF(C175="","",VLOOKUP(C175,PointsSystem!$A$2:$B$41,2,FALSE()))</f>
        <v>24</v>
      </c>
    </row>
    <row r="176" spans="1:5" x14ac:dyDescent="0.3">
      <c r="A176">
        <v>5</v>
      </c>
      <c r="B176" t="s">
        <v>57</v>
      </c>
      <c r="C176">
        <v>14</v>
      </c>
      <c r="D176" s="3">
        <v>38</v>
      </c>
      <c r="E176">
        <f>IF(C176="","",VLOOKUP(C176,PointsSystem!$A$2:$B$41,2,FALSE()))</f>
        <v>23</v>
      </c>
    </row>
    <row r="177" spans="1:5" x14ac:dyDescent="0.3">
      <c r="A177">
        <v>5</v>
      </c>
      <c r="B177" t="s">
        <v>57</v>
      </c>
      <c r="C177">
        <v>15</v>
      </c>
      <c r="D177" s="3">
        <v>22</v>
      </c>
      <c r="E177">
        <f>IF(C177="","",VLOOKUP(C177,PointsSystem!$A$2:$B$41,2,FALSE()))</f>
        <v>22</v>
      </c>
    </row>
    <row r="178" spans="1:5" x14ac:dyDescent="0.3">
      <c r="A178">
        <v>5</v>
      </c>
      <c r="B178" t="s">
        <v>57</v>
      </c>
      <c r="C178">
        <v>16</v>
      </c>
      <c r="D178" s="3">
        <v>12</v>
      </c>
      <c r="E178">
        <f>IF(C178="","",VLOOKUP(C178,PointsSystem!$A$2:$B$41,2,FALSE()))</f>
        <v>21</v>
      </c>
    </row>
    <row r="179" spans="1:5" x14ac:dyDescent="0.3">
      <c r="A179">
        <v>5</v>
      </c>
      <c r="B179" t="s">
        <v>57</v>
      </c>
      <c r="C179">
        <v>17</v>
      </c>
      <c r="D179" s="3">
        <v>1</v>
      </c>
      <c r="E179">
        <f>IF(C179="","",VLOOKUP(C179,PointsSystem!$A$2:$B$41,2,FALSE()))</f>
        <v>20</v>
      </c>
    </row>
    <row r="180" spans="1:5" x14ac:dyDescent="0.3">
      <c r="A180">
        <v>5</v>
      </c>
      <c r="B180" t="s">
        <v>57</v>
      </c>
      <c r="C180">
        <v>18</v>
      </c>
      <c r="D180" s="3">
        <v>7</v>
      </c>
      <c r="E180">
        <f>IF(C180="","",VLOOKUP(C180,PointsSystem!$A$2:$B$41,2,FALSE()))</f>
        <v>19</v>
      </c>
    </row>
    <row r="181" spans="1:5" x14ac:dyDescent="0.3">
      <c r="A181">
        <v>5</v>
      </c>
      <c r="B181" t="s">
        <v>57</v>
      </c>
      <c r="C181">
        <v>19</v>
      </c>
      <c r="D181" s="3">
        <v>2</v>
      </c>
      <c r="E181">
        <f>IF(C181="","",VLOOKUP(C181,PointsSystem!$A$2:$B$41,2,FALSE()))</f>
        <v>18</v>
      </c>
    </row>
    <row r="182" spans="1:5" x14ac:dyDescent="0.3">
      <c r="A182">
        <v>5</v>
      </c>
      <c r="B182" t="s">
        <v>57</v>
      </c>
      <c r="C182">
        <v>20</v>
      </c>
      <c r="D182" s="3">
        <v>43</v>
      </c>
      <c r="E182">
        <f>IF(C182="","",VLOOKUP(C182,PointsSystem!$A$2:$B$41,2,FALSE()))</f>
        <v>17</v>
      </c>
    </row>
    <row r="183" spans="1:5" x14ac:dyDescent="0.3">
      <c r="A183">
        <v>5</v>
      </c>
      <c r="B183" t="s">
        <v>57</v>
      </c>
      <c r="C183">
        <v>21</v>
      </c>
      <c r="D183" s="3">
        <v>42</v>
      </c>
      <c r="E183">
        <f>IF(C183="","",VLOOKUP(C183,PointsSystem!$A$2:$B$41,2,FALSE()))</f>
        <v>16</v>
      </c>
    </row>
    <row r="184" spans="1:5" x14ac:dyDescent="0.3">
      <c r="A184">
        <v>5</v>
      </c>
      <c r="B184" t="s">
        <v>57</v>
      </c>
      <c r="C184">
        <v>22</v>
      </c>
      <c r="D184" s="3">
        <v>77</v>
      </c>
      <c r="E184">
        <f>IF(C184="","",VLOOKUP(C184,PointsSystem!$A$2:$B$41,2,FALSE()))</f>
        <v>15</v>
      </c>
    </row>
    <row r="185" spans="1:5" x14ac:dyDescent="0.3">
      <c r="A185">
        <v>5</v>
      </c>
      <c r="B185" t="s">
        <v>57</v>
      </c>
      <c r="C185">
        <v>23</v>
      </c>
      <c r="D185" s="3">
        <v>35</v>
      </c>
      <c r="E185">
        <f>IF(C185="","",VLOOKUP(C185,PointsSystem!$A$2:$B$41,2,FALSE()))</f>
        <v>14</v>
      </c>
    </row>
    <row r="186" spans="1:5" x14ac:dyDescent="0.3">
      <c r="A186">
        <v>5</v>
      </c>
      <c r="B186" t="s">
        <v>57</v>
      </c>
      <c r="C186">
        <v>24</v>
      </c>
      <c r="D186" s="3">
        <v>16</v>
      </c>
      <c r="E186">
        <f>IF(C186="","",VLOOKUP(C186,PointsSystem!$A$2:$B$41,2,FALSE()))</f>
        <v>13</v>
      </c>
    </row>
    <row r="187" spans="1:5" x14ac:dyDescent="0.3">
      <c r="A187">
        <v>5</v>
      </c>
      <c r="B187" t="s">
        <v>57</v>
      </c>
      <c r="C187">
        <v>25</v>
      </c>
      <c r="D187" s="3">
        <v>48</v>
      </c>
      <c r="E187">
        <f>IF(C187="","",VLOOKUP(C187,PointsSystem!$A$2:$B$41,2,FALSE()))</f>
        <v>12</v>
      </c>
    </row>
    <row r="188" spans="1:5" x14ac:dyDescent="0.3">
      <c r="A188">
        <v>5</v>
      </c>
      <c r="B188" t="s">
        <v>57</v>
      </c>
      <c r="C188">
        <v>26</v>
      </c>
      <c r="D188" s="3">
        <v>71</v>
      </c>
      <c r="E188">
        <f>IF(C188="","",VLOOKUP(C188,PointsSystem!$A$2:$B$41,2,FALSE()))</f>
        <v>11</v>
      </c>
    </row>
    <row r="189" spans="1:5" x14ac:dyDescent="0.3">
      <c r="A189">
        <v>5</v>
      </c>
      <c r="B189" t="s">
        <v>57</v>
      </c>
      <c r="C189">
        <v>27</v>
      </c>
      <c r="D189" s="3">
        <v>41</v>
      </c>
      <c r="E189">
        <f>IF(C189="","",VLOOKUP(C189,PointsSystem!$A$2:$B$41,2,FALSE()))</f>
        <v>10</v>
      </c>
    </row>
    <row r="190" spans="1:5" x14ac:dyDescent="0.3">
      <c r="A190">
        <v>5</v>
      </c>
      <c r="B190" t="s">
        <v>57</v>
      </c>
      <c r="C190">
        <v>28</v>
      </c>
      <c r="D190" s="3">
        <v>8</v>
      </c>
      <c r="E190">
        <f>IF(C190="","",VLOOKUP(C190,PointsSystem!$A$2:$B$41,2,FALSE()))</f>
        <v>9</v>
      </c>
    </row>
    <row r="191" spans="1:5" x14ac:dyDescent="0.3">
      <c r="A191">
        <v>5</v>
      </c>
      <c r="B191" t="s">
        <v>57</v>
      </c>
      <c r="C191">
        <v>29</v>
      </c>
      <c r="D191" s="3">
        <v>47</v>
      </c>
      <c r="E191">
        <f>IF(C191="","",VLOOKUP(C191,PointsSystem!$A$2:$B$41,2,FALSE()))</f>
        <v>8</v>
      </c>
    </row>
    <row r="192" spans="1:5" x14ac:dyDescent="0.3">
      <c r="A192">
        <v>5</v>
      </c>
      <c r="B192" t="s">
        <v>57</v>
      </c>
      <c r="C192">
        <v>30</v>
      </c>
      <c r="D192" s="3">
        <v>4</v>
      </c>
      <c r="E192">
        <f>IF(C192="","",VLOOKUP(C192,PointsSystem!$A$2:$B$41,2,FALSE()))</f>
        <v>7</v>
      </c>
    </row>
    <row r="193" spans="1:5" x14ac:dyDescent="0.3">
      <c r="A193">
        <v>5</v>
      </c>
      <c r="B193" t="s">
        <v>57</v>
      </c>
      <c r="C193">
        <v>31</v>
      </c>
      <c r="D193" s="3">
        <v>21</v>
      </c>
      <c r="E193">
        <f>IF(C193="","",VLOOKUP(C193,PointsSystem!$A$2:$B$41,2,FALSE()))</f>
        <v>6</v>
      </c>
    </row>
    <row r="194" spans="1:5" x14ac:dyDescent="0.3">
      <c r="A194">
        <v>5</v>
      </c>
      <c r="B194" t="s">
        <v>57</v>
      </c>
      <c r="C194">
        <v>32</v>
      </c>
      <c r="D194" s="3">
        <v>88</v>
      </c>
      <c r="E194">
        <f>IF(C194="","",VLOOKUP(C194,PointsSystem!$A$2:$B$41,2,FALSE()))</f>
        <v>5</v>
      </c>
    </row>
    <row r="195" spans="1:5" x14ac:dyDescent="0.3">
      <c r="A195">
        <v>5</v>
      </c>
      <c r="B195" t="s">
        <v>57</v>
      </c>
      <c r="C195">
        <v>33</v>
      </c>
      <c r="D195" s="3">
        <v>10</v>
      </c>
      <c r="E195">
        <f>IF(C195="","",VLOOKUP(C195,PointsSystem!$A$2:$B$41,2,FALSE()))</f>
        <v>4</v>
      </c>
    </row>
    <row r="196" spans="1:5" x14ac:dyDescent="0.3">
      <c r="A196">
        <v>5</v>
      </c>
      <c r="B196" t="s">
        <v>57</v>
      </c>
      <c r="C196">
        <v>34</v>
      </c>
      <c r="D196" s="3">
        <v>34</v>
      </c>
      <c r="E196">
        <f>IF(C196="","",VLOOKUP(C196,PointsSystem!$A$2:$B$41,2,FALSE()))</f>
        <v>3</v>
      </c>
    </row>
    <row r="197" spans="1:5" x14ac:dyDescent="0.3">
      <c r="A197">
        <v>5</v>
      </c>
      <c r="B197" t="s">
        <v>57</v>
      </c>
      <c r="C197">
        <v>35</v>
      </c>
      <c r="D197" s="3">
        <v>51</v>
      </c>
      <c r="E197">
        <f>IF(C197="","",VLOOKUP(C197,PointsSystem!$A$2:$B$41,2,FALSE()))</f>
        <v>2</v>
      </c>
    </row>
    <row r="198" spans="1:5" x14ac:dyDescent="0.3">
      <c r="A198">
        <v>5</v>
      </c>
      <c r="B198" t="s">
        <v>57</v>
      </c>
      <c r="C198">
        <v>36</v>
      </c>
      <c r="D198" s="3">
        <v>97</v>
      </c>
      <c r="E198">
        <f>IF(C198="","",VLOOKUP(C198,PointsSystem!$A$2:$B$41,2,FALSE()))</f>
        <v>1</v>
      </c>
    </row>
    <row r="199" spans="1:5" x14ac:dyDescent="0.3">
      <c r="A199">
        <v>5</v>
      </c>
      <c r="B199" t="s">
        <v>57</v>
      </c>
      <c r="C199">
        <v>37</v>
      </c>
      <c r="D199" s="3"/>
      <c r="E199">
        <f>IF(C199="","",VLOOKUP(C199,PointsSystem!$A$2:$B$41,2,FALSE()))</f>
        <v>1</v>
      </c>
    </row>
    <row r="200" spans="1:5" x14ac:dyDescent="0.3">
      <c r="A200">
        <v>5</v>
      </c>
      <c r="B200" t="s">
        <v>57</v>
      </c>
      <c r="C200">
        <v>38</v>
      </c>
      <c r="D200" s="3"/>
      <c r="E200">
        <f>IF(C200="","",VLOOKUP(C200,PointsSystem!$A$2:$B$41,2,FALSE()))</f>
        <v>1</v>
      </c>
    </row>
    <row r="201" spans="1:5" x14ac:dyDescent="0.3">
      <c r="A201">
        <v>5</v>
      </c>
      <c r="B201" t="s">
        <v>57</v>
      </c>
      <c r="C201">
        <v>39</v>
      </c>
      <c r="D201" s="3"/>
      <c r="E201">
        <f>IF(C201="","",VLOOKUP(C201,PointsSystem!$A$2:$B$41,2,FALSE()))</f>
        <v>1</v>
      </c>
    </row>
    <row r="202" spans="1:5" x14ac:dyDescent="0.3">
      <c r="A202">
        <v>5</v>
      </c>
      <c r="B202" t="s">
        <v>57</v>
      </c>
      <c r="C202">
        <v>40</v>
      </c>
      <c r="D202" s="3"/>
      <c r="E202">
        <f>IF(C202="","",VLOOKUP(C202,PointsSystem!$A$2:$B$41,2,FALSE()))</f>
        <v>1</v>
      </c>
    </row>
    <row r="203" spans="1:5" x14ac:dyDescent="0.3">
      <c r="A203">
        <v>6</v>
      </c>
      <c r="B203" t="s">
        <v>59</v>
      </c>
      <c r="C203">
        <v>1</v>
      </c>
      <c r="D203" s="3">
        <v>45</v>
      </c>
      <c r="E203">
        <f>IF(C203="","",VLOOKUP(C203,PointsSystem!$A$2:$B$41,2,FALSE()))</f>
        <v>55</v>
      </c>
    </row>
    <row r="204" spans="1:5" x14ac:dyDescent="0.3">
      <c r="A204">
        <v>6</v>
      </c>
      <c r="B204" t="s">
        <v>59</v>
      </c>
      <c r="C204">
        <v>2</v>
      </c>
      <c r="D204" s="3">
        <v>6</v>
      </c>
      <c r="E204">
        <f>IF(C204="","",VLOOKUP(C204,PointsSystem!$A$2:$B$41,2,FALSE()))</f>
        <v>35</v>
      </c>
    </row>
    <row r="205" spans="1:5" x14ac:dyDescent="0.3">
      <c r="A205">
        <v>6</v>
      </c>
      <c r="B205" t="s">
        <v>59</v>
      </c>
      <c r="C205">
        <v>3</v>
      </c>
      <c r="D205" s="3">
        <v>12</v>
      </c>
      <c r="E205">
        <f>IF(C205="","",VLOOKUP(C205,PointsSystem!$A$2:$B$41,2,FALSE()))</f>
        <v>34</v>
      </c>
    </row>
    <row r="206" spans="1:5" x14ac:dyDescent="0.3">
      <c r="A206">
        <v>6</v>
      </c>
      <c r="B206" t="s">
        <v>59</v>
      </c>
      <c r="C206">
        <v>4</v>
      </c>
      <c r="D206" s="3">
        <v>77</v>
      </c>
      <c r="E206">
        <f>IF(C206="","",VLOOKUP(C206,PointsSystem!$A$2:$B$41,2,FALSE()))</f>
        <v>33</v>
      </c>
    </row>
    <row r="207" spans="1:5" x14ac:dyDescent="0.3">
      <c r="A207">
        <v>6</v>
      </c>
      <c r="B207" t="s">
        <v>59</v>
      </c>
      <c r="C207">
        <v>5</v>
      </c>
      <c r="D207" s="3">
        <v>2</v>
      </c>
      <c r="E207">
        <f>IF(C207="","",VLOOKUP(C207,PointsSystem!$A$2:$B$41,2,FALSE()))</f>
        <v>32</v>
      </c>
    </row>
    <row r="208" spans="1:5" x14ac:dyDescent="0.3">
      <c r="A208">
        <v>6</v>
      </c>
      <c r="B208" t="s">
        <v>59</v>
      </c>
      <c r="C208">
        <v>6</v>
      </c>
      <c r="D208" s="3">
        <v>54</v>
      </c>
      <c r="E208">
        <f>IF(C208="","",VLOOKUP(C208,PointsSystem!$A$2:$B$41,2,FALSE()))</f>
        <v>31</v>
      </c>
    </row>
    <row r="209" spans="1:5" x14ac:dyDescent="0.3">
      <c r="A209">
        <v>6</v>
      </c>
      <c r="B209" t="s">
        <v>59</v>
      </c>
      <c r="C209">
        <v>7</v>
      </c>
      <c r="D209" s="3">
        <v>7</v>
      </c>
      <c r="E209">
        <f>IF(C209="","",VLOOKUP(C209,PointsSystem!$A$2:$B$41,2,FALSE()))</f>
        <v>30</v>
      </c>
    </row>
    <row r="210" spans="1:5" x14ac:dyDescent="0.3">
      <c r="A210">
        <v>6</v>
      </c>
      <c r="B210" t="s">
        <v>59</v>
      </c>
      <c r="C210">
        <v>8</v>
      </c>
      <c r="D210" s="3">
        <v>24</v>
      </c>
      <c r="E210">
        <f>IF(C210="","",VLOOKUP(C210,PointsSystem!$A$2:$B$41,2,FALSE()))</f>
        <v>29</v>
      </c>
    </row>
    <row r="211" spans="1:5" x14ac:dyDescent="0.3">
      <c r="A211">
        <v>6</v>
      </c>
      <c r="B211" t="s">
        <v>59</v>
      </c>
      <c r="C211">
        <v>9</v>
      </c>
      <c r="D211" s="3">
        <v>17</v>
      </c>
      <c r="E211">
        <f>IF(C211="","",VLOOKUP(C211,PointsSystem!$A$2:$B$41,2,FALSE()))</f>
        <v>28</v>
      </c>
    </row>
    <row r="212" spans="1:5" x14ac:dyDescent="0.3">
      <c r="A212">
        <v>6</v>
      </c>
      <c r="B212" t="s">
        <v>59</v>
      </c>
      <c r="C212">
        <v>10</v>
      </c>
      <c r="D212" s="3">
        <v>43</v>
      </c>
      <c r="E212">
        <f>IF(C212="","",VLOOKUP(C212,PointsSystem!$A$2:$B$41,2,FALSE()))</f>
        <v>27</v>
      </c>
    </row>
    <row r="213" spans="1:5" x14ac:dyDescent="0.3">
      <c r="A213">
        <v>6</v>
      </c>
      <c r="B213" t="s">
        <v>59</v>
      </c>
      <c r="C213">
        <v>11</v>
      </c>
      <c r="D213" s="3">
        <v>11</v>
      </c>
      <c r="E213">
        <f>IF(C213="","",VLOOKUP(C213,PointsSystem!$A$2:$B$41,2,FALSE()))</f>
        <v>26</v>
      </c>
    </row>
    <row r="214" spans="1:5" x14ac:dyDescent="0.3">
      <c r="A214">
        <v>6</v>
      </c>
      <c r="B214" t="s">
        <v>59</v>
      </c>
      <c r="C214">
        <v>12</v>
      </c>
      <c r="D214" s="3">
        <v>19</v>
      </c>
      <c r="E214">
        <f>IF(C214="","",VLOOKUP(C214,PointsSystem!$A$2:$B$41,2,FALSE()))</f>
        <v>25</v>
      </c>
    </row>
    <row r="215" spans="1:5" x14ac:dyDescent="0.3">
      <c r="A215">
        <v>6</v>
      </c>
      <c r="B215" t="s">
        <v>59</v>
      </c>
      <c r="C215">
        <v>13</v>
      </c>
      <c r="D215" s="3">
        <v>60</v>
      </c>
      <c r="E215">
        <f>IF(C215="","",VLOOKUP(C215,PointsSystem!$A$2:$B$41,2,FALSE()))</f>
        <v>24</v>
      </c>
    </row>
    <row r="216" spans="1:5" x14ac:dyDescent="0.3">
      <c r="A216">
        <v>6</v>
      </c>
      <c r="B216" t="s">
        <v>59</v>
      </c>
      <c r="C216">
        <v>14</v>
      </c>
      <c r="D216" s="3">
        <v>97</v>
      </c>
      <c r="E216">
        <f>IF(C216="","",VLOOKUP(C216,PointsSystem!$A$2:$B$41,2,FALSE()))</f>
        <v>23</v>
      </c>
    </row>
    <row r="217" spans="1:5" x14ac:dyDescent="0.3">
      <c r="A217">
        <v>6</v>
      </c>
      <c r="B217" t="s">
        <v>59</v>
      </c>
      <c r="C217">
        <v>15</v>
      </c>
      <c r="D217" s="3">
        <v>9</v>
      </c>
      <c r="E217">
        <f>IF(C217="","",VLOOKUP(C217,PointsSystem!$A$2:$B$41,2,FALSE()))</f>
        <v>22</v>
      </c>
    </row>
    <row r="218" spans="1:5" x14ac:dyDescent="0.3">
      <c r="A218">
        <v>6</v>
      </c>
      <c r="B218" t="s">
        <v>59</v>
      </c>
      <c r="C218">
        <v>16</v>
      </c>
      <c r="D218" s="3">
        <v>1</v>
      </c>
      <c r="E218">
        <f>IF(C218="","",VLOOKUP(C218,PointsSystem!$A$2:$B$41,2,FALSE()))</f>
        <v>21</v>
      </c>
    </row>
    <row r="219" spans="1:5" x14ac:dyDescent="0.3">
      <c r="A219">
        <v>6</v>
      </c>
      <c r="B219" t="s">
        <v>59</v>
      </c>
      <c r="C219">
        <v>17</v>
      </c>
      <c r="D219" s="3">
        <v>21</v>
      </c>
      <c r="E219">
        <f>IF(C219="","",VLOOKUP(C219,PointsSystem!$A$2:$B$41,2,FALSE()))</f>
        <v>20</v>
      </c>
    </row>
    <row r="220" spans="1:5" x14ac:dyDescent="0.3">
      <c r="A220">
        <v>6</v>
      </c>
      <c r="B220" t="s">
        <v>59</v>
      </c>
      <c r="C220">
        <v>18</v>
      </c>
      <c r="D220" s="3">
        <v>88</v>
      </c>
      <c r="E220">
        <f>IF(C220="","",VLOOKUP(C220,PointsSystem!$A$2:$B$41,2,FALSE()))</f>
        <v>19</v>
      </c>
    </row>
    <row r="221" spans="1:5" x14ac:dyDescent="0.3">
      <c r="A221">
        <v>6</v>
      </c>
      <c r="B221" t="s">
        <v>59</v>
      </c>
      <c r="C221">
        <v>19</v>
      </c>
      <c r="D221" s="3">
        <v>20</v>
      </c>
      <c r="E221">
        <f>IF(C221="","",VLOOKUP(C221,PointsSystem!$A$2:$B$41,2,FALSE()))</f>
        <v>18</v>
      </c>
    </row>
    <row r="222" spans="1:5" x14ac:dyDescent="0.3">
      <c r="A222">
        <v>6</v>
      </c>
      <c r="B222" t="s">
        <v>59</v>
      </c>
      <c r="C222">
        <v>20</v>
      </c>
      <c r="D222" s="3">
        <v>71</v>
      </c>
      <c r="E222">
        <f>IF(C222="","",VLOOKUP(C222,PointsSystem!$A$2:$B$41,2,FALSE()))</f>
        <v>17</v>
      </c>
    </row>
    <row r="223" spans="1:5" x14ac:dyDescent="0.3">
      <c r="A223">
        <v>6</v>
      </c>
      <c r="B223" t="s">
        <v>59</v>
      </c>
      <c r="C223">
        <v>21</v>
      </c>
      <c r="D223" s="3">
        <v>8</v>
      </c>
      <c r="E223">
        <f>IF(C223="","",VLOOKUP(C223,PointsSystem!$A$2:$B$41,2,FALSE()))</f>
        <v>16</v>
      </c>
    </row>
    <row r="224" spans="1:5" x14ac:dyDescent="0.3">
      <c r="A224">
        <v>6</v>
      </c>
      <c r="B224" t="s">
        <v>59</v>
      </c>
      <c r="C224">
        <v>22</v>
      </c>
      <c r="D224" s="3">
        <v>38</v>
      </c>
      <c r="E224">
        <f>IF(C224="","",VLOOKUP(C224,PointsSystem!$A$2:$B$41,2,FALSE()))</f>
        <v>15</v>
      </c>
    </row>
    <row r="225" spans="1:5" x14ac:dyDescent="0.3">
      <c r="A225">
        <v>6</v>
      </c>
      <c r="B225" t="s">
        <v>59</v>
      </c>
      <c r="C225">
        <v>23</v>
      </c>
      <c r="D225" s="3">
        <v>34</v>
      </c>
      <c r="E225">
        <f>IF(C225="","",VLOOKUP(C225,PointsSystem!$A$2:$B$41,2,FALSE()))</f>
        <v>14</v>
      </c>
    </row>
    <row r="226" spans="1:5" x14ac:dyDescent="0.3">
      <c r="A226">
        <v>6</v>
      </c>
      <c r="B226" t="s">
        <v>59</v>
      </c>
      <c r="C226">
        <v>24</v>
      </c>
      <c r="D226" s="3">
        <v>48</v>
      </c>
      <c r="E226">
        <f>IF(C226="","",VLOOKUP(C226,PointsSystem!$A$2:$B$41,2,FALSE()))</f>
        <v>13</v>
      </c>
    </row>
    <row r="227" spans="1:5" x14ac:dyDescent="0.3">
      <c r="A227">
        <v>6</v>
      </c>
      <c r="B227" t="s">
        <v>59</v>
      </c>
      <c r="C227">
        <v>25</v>
      </c>
      <c r="D227" s="3">
        <v>3</v>
      </c>
      <c r="E227">
        <f>IF(C227="","",VLOOKUP(C227,PointsSystem!$A$2:$B$41,2,FALSE()))</f>
        <v>12</v>
      </c>
    </row>
    <row r="228" spans="1:5" x14ac:dyDescent="0.3">
      <c r="A228">
        <v>6</v>
      </c>
      <c r="B228" t="s">
        <v>59</v>
      </c>
      <c r="C228">
        <v>26</v>
      </c>
      <c r="D228" s="3">
        <v>4</v>
      </c>
      <c r="E228">
        <f>IF(C228="","",VLOOKUP(C228,PointsSystem!$A$2:$B$41,2,FALSE()))</f>
        <v>11</v>
      </c>
    </row>
    <row r="229" spans="1:5" x14ac:dyDescent="0.3">
      <c r="A229">
        <v>6</v>
      </c>
      <c r="B229" t="s">
        <v>59</v>
      </c>
      <c r="C229">
        <v>27</v>
      </c>
      <c r="D229" s="3">
        <v>42</v>
      </c>
      <c r="E229">
        <f>IF(C229="","",VLOOKUP(C229,PointsSystem!$A$2:$B$41,2,FALSE()))</f>
        <v>10</v>
      </c>
    </row>
    <row r="230" spans="1:5" x14ac:dyDescent="0.3">
      <c r="A230">
        <v>6</v>
      </c>
      <c r="B230" t="s">
        <v>59</v>
      </c>
      <c r="C230">
        <v>28</v>
      </c>
      <c r="D230" s="3">
        <v>41</v>
      </c>
      <c r="E230">
        <f>IF(C230="","",VLOOKUP(C230,PointsSystem!$A$2:$B$41,2,FALSE()))</f>
        <v>9</v>
      </c>
    </row>
    <row r="231" spans="1:5" x14ac:dyDescent="0.3">
      <c r="A231">
        <v>6</v>
      </c>
      <c r="B231" t="s">
        <v>59</v>
      </c>
      <c r="C231">
        <v>29</v>
      </c>
      <c r="D231" s="3">
        <v>47</v>
      </c>
      <c r="E231">
        <f>IF(C231="","",VLOOKUP(C231,PointsSystem!$A$2:$B$41,2,FALSE()))</f>
        <v>8</v>
      </c>
    </row>
    <row r="232" spans="1:5" x14ac:dyDescent="0.3">
      <c r="A232">
        <v>6</v>
      </c>
      <c r="B232" t="s">
        <v>59</v>
      </c>
      <c r="C232">
        <v>30</v>
      </c>
      <c r="D232" s="3">
        <v>16</v>
      </c>
      <c r="E232">
        <f>IF(C232="","",VLOOKUP(C232,PointsSystem!$A$2:$B$41,2,FALSE()))</f>
        <v>7</v>
      </c>
    </row>
    <row r="233" spans="1:5" x14ac:dyDescent="0.3">
      <c r="A233">
        <v>6</v>
      </c>
      <c r="B233" t="s">
        <v>59</v>
      </c>
      <c r="C233">
        <v>31</v>
      </c>
      <c r="D233" s="3">
        <v>10</v>
      </c>
      <c r="E233">
        <f>IF(C233="","",VLOOKUP(C233,PointsSystem!$A$2:$B$41,2,FALSE()))</f>
        <v>6</v>
      </c>
    </row>
    <row r="234" spans="1:5" x14ac:dyDescent="0.3">
      <c r="A234">
        <v>6</v>
      </c>
      <c r="B234" t="s">
        <v>59</v>
      </c>
      <c r="C234">
        <v>32</v>
      </c>
      <c r="D234" s="3">
        <v>5</v>
      </c>
      <c r="E234">
        <f>IF(C234="","",VLOOKUP(C234,PointsSystem!$A$2:$B$41,2,FALSE()))</f>
        <v>5</v>
      </c>
    </row>
    <row r="235" spans="1:5" x14ac:dyDescent="0.3">
      <c r="A235">
        <v>6</v>
      </c>
      <c r="B235" t="s">
        <v>59</v>
      </c>
      <c r="C235">
        <v>33</v>
      </c>
      <c r="D235" s="3">
        <v>22</v>
      </c>
      <c r="E235">
        <f>IF(C235="","",VLOOKUP(C235,PointsSystem!$A$2:$B$41,2,FALSE()))</f>
        <v>4</v>
      </c>
    </row>
    <row r="236" spans="1:5" x14ac:dyDescent="0.3">
      <c r="A236">
        <v>6</v>
      </c>
      <c r="B236" t="s">
        <v>59</v>
      </c>
      <c r="C236">
        <v>34</v>
      </c>
      <c r="D236" s="3">
        <v>23</v>
      </c>
      <c r="E236">
        <f>IF(C236="","",VLOOKUP(C236,PointsSystem!$A$2:$B$41,2,FALSE()))</f>
        <v>3</v>
      </c>
    </row>
    <row r="237" spans="1:5" x14ac:dyDescent="0.3">
      <c r="A237">
        <v>6</v>
      </c>
      <c r="B237" t="s">
        <v>59</v>
      </c>
      <c r="C237">
        <v>35</v>
      </c>
      <c r="D237" s="3">
        <v>35</v>
      </c>
      <c r="E237">
        <f>IF(C237="","",VLOOKUP(C237,PointsSystem!$A$2:$B$41,2,FALSE()))</f>
        <v>2</v>
      </c>
    </row>
    <row r="238" spans="1:5" x14ac:dyDescent="0.3">
      <c r="A238">
        <v>6</v>
      </c>
      <c r="B238" t="s">
        <v>59</v>
      </c>
      <c r="C238">
        <v>36</v>
      </c>
      <c r="D238" s="3">
        <v>51</v>
      </c>
      <c r="E238">
        <f>IF(C238="","",VLOOKUP(C238,PointsSystem!$A$2:$B$41,2,FALSE()))</f>
        <v>1</v>
      </c>
    </row>
    <row r="239" spans="1:5" x14ac:dyDescent="0.3">
      <c r="A239">
        <v>6</v>
      </c>
      <c r="B239" t="s">
        <v>59</v>
      </c>
      <c r="C239">
        <v>37</v>
      </c>
      <c r="D239" s="3">
        <v>66</v>
      </c>
      <c r="E239">
        <f>IF(C239="","",VLOOKUP(C239,PointsSystem!$A$2:$B$41,2,FALSE()))</f>
        <v>1</v>
      </c>
    </row>
    <row r="240" spans="1:5" x14ac:dyDescent="0.3">
      <c r="A240">
        <v>6</v>
      </c>
      <c r="B240" t="s">
        <v>59</v>
      </c>
      <c r="C240">
        <v>38</v>
      </c>
      <c r="D240" s="3"/>
      <c r="E240">
        <f>IF(C240="","",VLOOKUP(C240,PointsSystem!$A$2:$B$41,2,FALSE()))</f>
        <v>1</v>
      </c>
    </row>
    <row r="241" spans="1:5" x14ac:dyDescent="0.3">
      <c r="A241">
        <v>6</v>
      </c>
      <c r="B241" t="s">
        <v>59</v>
      </c>
      <c r="C241">
        <v>39</v>
      </c>
      <c r="D241" s="3"/>
      <c r="E241">
        <f>IF(C241="","",VLOOKUP(C241,PointsSystem!$A$2:$B$41,2,FALSE()))</f>
        <v>1</v>
      </c>
    </row>
    <row r="242" spans="1:5" x14ac:dyDescent="0.3">
      <c r="A242">
        <v>6</v>
      </c>
      <c r="B242" t="s">
        <v>59</v>
      </c>
      <c r="C242">
        <v>40</v>
      </c>
      <c r="D242" s="3"/>
      <c r="E242">
        <f>IF(C242="","",VLOOKUP(C242,PointsSystem!$A$2:$B$41,2,FALSE()))</f>
        <v>1</v>
      </c>
    </row>
    <row r="243" spans="1:5" x14ac:dyDescent="0.3">
      <c r="A243">
        <v>7</v>
      </c>
      <c r="B243" t="s">
        <v>61</v>
      </c>
      <c r="C243">
        <v>1</v>
      </c>
      <c r="D243" s="3">
        <v>9</v>
      </c>
      <c r="E243">
        <f>IF(C243="","",VLOOKUP(C243,PointsSystem!$A$2:$B$41,2,FALSE()))</f>
        <v>55</v>
      </c>
    </row>
    <row r="244" spans="1:5" x14ac:dyDescent="0.3">
      <c r="A244">
        <v>7</v>
      </c>
      <c r="B244" t="s">
        <v>61</v>
      </c>
      <c r="C244">
        <v>2</v>
      </c>
      <c r="D244" s="3">
        <v>11</v>
      </c>
      <c r="E244">
        <f>IF(C244="","",VLOOKUP(C244,PointsSystem!$A$2:$B$41,2,FALSE()))</f>
        <v>35</v>
      </c>
    </row>
    <row r="245" spans="1:5" x14ac:dyDescent="0.3">
      <c r="A245">
        <v>7</v>
      </c>
      <c r="B245" t="s">
        <v>61</v>
      </c>
      <c r="C245">
        <v>3</v>
      </c>
      <c r="D245" s="3">
        <v>22</v>
      </c>
      <c r="E245">
        <f>IF(C245="","",VLOOKUP(C245,PointsSystem!$A$2:$B$41,2,FALSE()))</f>
        <v>34</v>
      </c>
    </row>
    <row r="246" spans="1:5" x14ac:dyDescent="0.3">
      <c r="A246">
        <v>7</v>
      </c>
      <c r="B246" t="s">
        <v>61</v>
      </c>
      <c r="C246">
        <v>4</v>
      </c>
      <c r="D246" s="3">
        <v>54</v>
      </c>
      <c r="E246">
        <f>IF(C246="","",VLOOKUP(C246,PointsSystem!$A$2:$B$41,2,FALSE()))</f>
        <v>33</v>
      </c>
    </row>
    <row r="247" spans="1:5" x14ac:dyDescent="0.3">
      <c r="A247">
        <v>7</v>
      </c>
      <c r="B247" t="s">
        <v>61</v>
      </c>
      <c r="C247">
        <v>5</v>
      </c>
      <c r="D247" s="3">
        <v>24</v>
      </c>
      <c r="E247">
        <f>IF(C247="","",VLOOKUP(C247,PointsSystem!$A$2:$B$41,2,FALSE()))</f>
        <v>32</v>
      </c>
    </row>
    <row r="248" spans="1:5" x14ac:dyDescent="0.3">
      <c r="A248">
        <v>7</v>
      </c>
      <c r="B248" t="s">
        <v>61</v>
      </c>
      <c r="C248">
        <v>6</v>
      </c>
      <c r="D248" s="3">
        <v>12</v>
      </c>
      <c r="E248">
        <f>IF(C248="","",VLOOKUP(C248,PointsSystem!$A$2:$B$41,2,FALSE()))</f>
        <v>31</v>
      </c>
    </row>
    <row r="249" spans="1:5" x14ac:dyDescent="0.3">
      <c r="A249">
        <v>7</v>
      </c>
      <c r="B249" t="s">
        <v>61</v>
      </c>
      <c r="C249">
        <v>7</v>
      </c>
      <c r="D249" s="3">
        <v>20</v>
      </c>
      <c r="E249">
        <f>IF(C249="","",VLOOKUP(C249,PointsSystem!$A$2:$B$41,2,FALSE()))</f>
        <v>30</v>
      </c>
    </row>
    <row r="250" spans="1:5" x14ac:dyDescent="0.3">
      <c r="A250">
        <v>7</v>
      </c>
      <c r="B250" t="s">
        <v>61</v>
      </c>
      <c r="C250">
        <v>8</v>
      </c>
      <c r="D250" s="3">
        <v>2</v>
      </c>
      <c r="E250">
        <f>IF(C250="","",VLOOKUP(C250,PointsSystem!$A$2:$B$41,2,FALSE()))</f>
        <v>29</v>
      </c>
    </row>
    <row r="251" spans="1:5" x14ac:dyDescent="0.3">
      <c r="A251">
        <v>7</v>
      </c>
      <c r="B251" t="s">
        <v>61</v>
      </c>
      <c r="C251">
        <v>9</v>
      </c>
      <c r="D251" s="3">
        <v>5</v>
      </c>
      <c r="E251">
        <f>IF(C251="","",VLOOKUP(C251,PointsSystem!$A$2:$B$41,2,FALSE()))</f>
        <v>28</v>
      </c>
    </row>
    <row r="252" spans="1:5" x14ac:dyDescent="0.3">
      <c r="A252">
        <v>7</v>
      </c>
      <c r="B252" t="s">
        <v>61</v>
      </c>
      <c r="C252">
        <v>10</v>
      </c>
      <c r="D252" s="3">
        <v>21</v>
      </c>
      <c r="E252">
        <f>IF(C252="","",VLOOKUP(C252,PointsSystem!$A$2:$B$41,2,FALSE()))</f>
        <v>27</v>
      </c>
    </row>
    <row r="253" spans="1:5" x14ac:dyDescent="0.3">
      <c r="A253">
        <v>7</v>
      </c>
      <c r="B253" t="s">
        <v>61</v>
      </c>
      <c r="C253">
        <v>11</v>
      </c>
      <c r="D253" s="3">
        <v>97</v>
      </c>
      <c r="E253">
        <f>IF(C253="","",VLOOKUP(C253,PointsSystem!$A$2:$B$41,2,FALSE()))</f>
        <v>26</v>
      </c>
    </row>
    <row r="254" spans="1:5" x14ac:dyDescent="0.3">
      <c r="A254">
        <v>7</v>
      </c>
      <c r="B254" t="s">
        <v>61</v>
      </c>
      <c r="C254">
        <v>12</v>
      </c>
      <c r="D254" s="3">
        <v>60</v>
      </c>
      <c r="E254">
        <f>IF(C254="","",VLOOKUP(C254,PointsSystem!$A$2:$B$41,2,FALSE()))</f>
        <v>25</v>
      </c>
    </row>
    <row r="255" spans="1:5" x14ac:dyDescent="0.3">
      <c r="A255">
        <v>7</v>
      </c>
      <c r="B255" t="s">
        <v>61</v>
      </c>
      <c r="C255">
        <v>13</v>
      </c>
      <c r="D255" s="3">
        <v>6</v>
      </c>
      <c r="E255">
        <f>IF(C255="","",VLOOKUP(C255,PointsSystem!$A$2:$B$41,2,FALSE()))</f>
        <v>24</v>
      </c>
    </row>
    <row r="256" spans="1:5" x14ac:dyDescent="0.3">
      <c r="A256">
        <v>7</v>
      </c>
      <c r="B256" t="s">
        <v>61</v>
      </c>
      <c r="C256">
        <v>14</v>
      </c>
      <c r="D256" s="3">
        <v>19</v>
      </c>
      <c r="E256">
        <f>IF(C256="","",VLOOKUP(C256,PointsSystem!$A$2:$B$41,2,FALSE()))</f>
        <v>23</v>
      </c>
    </row>
    <row r="257" spans="1:5" x14ac:dyDescent="0.3">
      <c r="A257">
        <v>7</v>
      </c>
      <c r="B257" t="s">
        <v>61</v>
      </c>
      <c r="C257">
        <v>15</v>
      </c>
      <c r="D257" s="3">
        <v>45</v>
      </c>
      <c r="E257">
        <f>IF(C257="","",VLOOKUP(C257,PointsSystem!$A$2:$B$41,2,FALSE()))</f>
        <v>22</v>
      </c>
    </row>
    <row r="258" spans="1:5" x14ac:dyDescent="0.3">
      <c r="A258">
        <v>7</v>
      </c>
      <c r="B258" t="s">
        <v>61</v>
      </c>
      <c r="C258">
        <v>16</v>
      </c>
      <c r="D258" s="3">
        <v>1</v>
      </c>
      <c r="E258">
        <f>IF(C258="","",VLOOKUP(C258,PointsSystem!$A$2:$B$41,2,FALSE()))</f>
        <v>21</v>
      </c>
    </row>
    <row r="259" spans="1:5" x14ac:dyDescent="0.3">
      <c r="A259">
        <v>7</v>
      </c>
      <c r="B259" t="s">
        <v>61</v>
      </c>
      <c r="C259">
        <v>17</v>
      </c>
      <c r="D259" s="3">
        <v>77</v>
      </c>
      <c r="E259">
        <f>IF(C259="","",VLOOKUP(C259,PointsSystem!$A$2:$B$41,2,FALSE()))</f>
        <v>20</v>
      </c>
    </row>
    <row r="260" spans="1:5" x14ac:dyDescent="0.3">
      <c r="A260">
        <v>7</v>
      </c>
      <c r="B260" t="s">
        <v>61</v>
      </c>
      <c r="C260">
        <v>18</v>
      </c>
      <c r="D260" s="3">
        <v>71</v>
      </c>
      <c r="E260">
        <f>IF(C260="","",VLOOKUP(C260,PointsSystem!$A$2:$B$41,2,FALSE()))</f>
        <v>19</v>
      </c>
    </row>
    <row r="261" spans="1:5" x14ac:dyDescent="0.3">
      <c r="A261">
        <v>7</v>
      </c>
      <c r="B261" t="s">
        <v>61</v>
      </c>
      <c r="C261">
        <v>19</v>
      </c>
      <c r="D261" s="3">
        <v>17</v>
      </c>
      <c r="E261">
        <f>IF(C261="","",VLOOKUP(C261,PointsSystem!$A$2:$B$41,2,FALSE()))</f>
        <v>18</v>
      </c>
    </row>
    <row r="262" spans="1:5" x14ac:dyDescent="0.3">
      <c r="A262">
        <v>7</v>
      </c>
      <c r="B262" t="s">
        <v>61</v>
      </c>
      <c r="C262">
        <v>20</v>
      </c>
      <c r="D262" s="3">
        <v>7</v>
      </c>
      <c r="E262">
        <f>IF(C262="","",VLOOKUP(C262,PointsSystem!$A$2:$B$41,2,FALSE()))</f>
        <v>17</v>
      </c>
    </row>
    <row r="263" spans="1:5" x14ac:dyDescent="0.3">
      <c r="A263">
        <v>7</v>
      </c>
      <c r="B263" t="s">
        <v>61</v>
      </c>
      <c r="C263">
        <v>21</v>
      </c>
      <c r="D263" s="3">
        <v>43</v>
      </c>
      <c r="E263">
        <f>IF(C263="","",VLOOKUP(C263,PointsSystem!$A$2:$B$41,2,FALSE()))</f>
        <v>16</v>
      </c>
    </row>
    <row r="264" spans="1:5" x14ac:dyDescent="0.3">
      <c r="A264">
        <v>7</v>
      </c>
      <c r="B264" t="s">
        <v>61</v>
      </c>
      <c r="C264">
        <v>22</v>
      </c>
      <c r="D264" s="3">
        <v>48</v>
      </c>
      <c r="E264">
        <f>IF(C264="","",VLOOKUP(C264,PointsSystem!$A$2:$B$41,2,FALSE()))</f>
        <v>15</v>
      </c>
    </row>
    <row r="265" spans="1:5" x14ac:dyDescent="0.3">
      <c r="A265">
        <v>7</v>
      </c>
      <c r="B265" t="s">
        <v>61</v>
      </c>
      <c r="C265">
        <v>23</v>
      </c>
      <c r="D265" s="3">
        <v>34</v>
      </c>
      <c r="E265">
        <f>IF(C265="","",VLOOKUP(C265,PointsSystem!$A$2:$B$41,2,FALSE()))</f>
        <v>14</v>
      </c>
    </row>
    <row r="266" spans="1:5" x14ac:dyDescent="0.3">
      <c r="A266">
        <v>7</v>
      </c>
      <c r="B266" t="s">
        <v>61</v>
      </c>
      <c r="C266">
        <v>24</v>
      </c>
      <c r="D266" s="3">
        <v>8</v>
      </c>
      <c r="E266">
        <f>IF(C266="","",VLOOKUP(C266,PointsSystem!$A$2:$B$41,2,FALSE()))</f>
        <v>13</v>
      </c>
    </row>
    <row r="267" spans="1:5" x14ac:dyDescent="0.3">
      <c r="A267">
        <v>7</v>
      </c>
      <c r="B267" t="s">
        <v>61</v>
      </c>
      <c r="C267">
        <v>25</v>
      </c>
      <c r="D267" s="3">
        <v>3</v>
      </c>
      <c r="E267">
        <f>IF(C267="","",VLOOKUP(C267,PointsSystem!$A$2:$B$41,2,FALSE()))</f>
        <v>12</v>
      </c>
    </row>
    <row r="268" spans="1:5" x14ac:dyDescent="0.3">
      <c r="A268">
        <v>7</v>
      </c>
      <c r="B268" t="s">
        <v>61</v>
      </c>
      <c r="C268">
        <v>26</v>
      </c>
      <c r="D268" s="3">
        <v>88</v>
      </c>
      <c r="E268">
        <f>IF(C268="","",VLOOKUP(C268,PointsSystem!$A$2:$B$41,2,FALSE()))</f>
        <v>11</v>
      </c>
    </row>
    <row r="269" spans="1:5" x14ac:dyDescent="0.3">
      <c r="A269">
        <v>7</v>
      </c>
      <c r="B269" t="s">
        <v>61</v>
      </c>
      <c r="C269">
        <v>27</v>
      </c>
      <c r="D269" s="3">
        <v>16</v>
      </c>
      <c r="E269">
        <f>IF(C269="","",VLOOKUP(C269,PointsSystem!$A$2:$B$41,2,FALSE()))</f>
        <v>10</v>
      </c>
    </row>
    <row r="270" spans="1:5" x14ac:dyDescent="0.3">
      <c r="A270">
        <v>7</v>
      </c>
      <c r="B270" t="s">
        <v>61</v>
      </c>
      <c r="C270">
        <v>28</v>
      </c>
      <c r="D270" s="3">
        <v>4</v>
      </c>
      <c r="E270">
        <f>IF(C270="","",VLOOKUP(C270,PointsSystem!$A$2:$B$41,2,FALSE()))</f>
        <v>9</v>
      </c>
    </row>
    <row r="271" spans="1:5" x14ac:dyDescent="0.3">
      <c r="A271">
        <v>7</v>
      </c>
      <c r="B271" t="s">
        <v>61</v>
      </c>
      <c r="C271">
        <v>29</v>
      </c>
      <c r="D271" s="3">
        <v>42</v>
      </c>
      <c r="E271">
        <f>IF(C271="","",VLOOKUP(C271,PointsSystem!$A$2:$B$41,2,FALSE()))</f>
        <v>8</v>
      </c>
    </row>
    <row r="272" spans="1:5" x14ac:dyDescent="0.3">
      <c r="A272">
        <v>7</v>
      </c>
      <c r="B272" t="s">
        <v>61</v>
      </c>
      <c r="C272">
        <v>30</v>
      </c>
      <c r="D272" s="3">
        <v>47</v>
      </c>
      <c r="E272">
        <f>IF(C272="","",VLOOKUP(C272,PointsSystem!$A$2:$B$41,2,FALSE()))</f>
        <v>7</v>
      </c>
    </row>
    <row r="273" spans="1:5" x14ac:dyDescent="0.3">
      <c r="A273">
        <v>7</v>
      </c>
      <c r="B273" t="s">
        <v>61</v>
      </c>
      <c r="C273">
        <v>31</v>
      </c>
      <c r="D273" s="3">
        <v>41</v>
      </c>
      <c r="E273">
        <f>IF(C273="","",VLOOKUP(C273,PointsSystem!$A$2:$B$41,2,FALSE()))</f>
        <v>6</v>
      </c>
    </row>
    <row r="274" spans="1:5" x14ac:dyDescent="0.3">
      <c r="A274">
        <v>7</v>
      </c>
      <c r="B274" t="s">
        <v>61</v>
      </c>
      <c r="C274">
        <v>32</v>
      </c>
      <c r="D274" s="3">
        <v>51</v>
      </c>
      <c r="E274">
        <f>IF(C274="","",VLOOKUP(C274,PointsSystem!$A$2:$B$41,2,FALSE()))</f>
        <v>5</v>
      </c>
    </row>
    <row r="275" spans="1:5" x14ac:dyDescent="0.3">
      <c r="A275">
        <v>7</v>
      </c>
      <c r="B275" t="s">
        <v>61</v>
      </c>
      <c r="C275">
        <v>33</v>
      </c>
      <c r="D275" s="3">
        <v>33</v>
      </c>
      <c r="E275">
        <f>IF(C275="","",VLOOKUP(C275,PointsSystem!$A$2:$B$41,2,FALSE()))</f>
        <v>4</v>
      </c>
    </row>
    <row r="276" spans="1:5" x14ac:dyDescent="0.3">
      <c r="A276">
        <v>7</v>
      </c>
      <c r="B276" t="s">
        <v>61</v>
      </c>
      <c r="C276">
        <v>34</v>
      </c>
      <c r="D276" s="3">
        <v>38</v>
      </c>
      <c r="E276">
        <f>IF(C276="","",VLOOKUP(C276,PointsSystem!$A$2:$B$41,2,FALSE()))</f>
        <v>3</v>
      </c>
    </row>
    <row r="277" spans="1:5" x14ac:dyDescent="0.3">
      <c r="A277">
        <v>7</v>
      </c>
      <c r="B277" t="s">
        <v>61</v>
      </c>
      <c r="C277">
        <v>35</v>
      </c>
      <c r="D277" s="3">
        <v>35</v>
      </c>
      <c r="E277">
        <f>IF(C277="","",VLOOKUP(C277,PointsSystem!$A$2:$B$41,2,FALSE()))</f>
        <v>2</v>
      </c>
    </row>
    <row r="278" spans="1:5" x14ac:dyDescent="0.3">
      <c r="A278">
        <v>7</v>
      </c>
      <c r="B278" t="s">
        <v>61</v>
      </c>
      <c r="C278">
        <v>36</v>
      </c>
      <c r="D278" s="3">
        <v>23</v>
      </c>
      <c r="E278">
        <f>IF(C278="","",VLOOKUP(C278,PointsSystem!$A$2:$B$41,2,FALSE()))</f>
        <v>1</v>
      </c>
    </row>
    <row r="279" spans="1:5" x14ac:dyDescent="0.3">
      <c r="A279">
        <v>7</v>
      </c>
      <c r="B279" t="s">
        <v>61</v>
      </c>
      <c r="C279">
        <v>37</v>
      </c>
      <c r="D279" s="3">
        <v>10</v>
      </c>
      <c r="E279">
        <f>IF(C279="","",VLOOKUP(C279,PointsSystem!$A$2:$B$41,2,FALSE()))</f>
        <v>1</v>
      </c>
    </row>
    <row r="280" spans="1:5" x14ac:dyDescent="0.3">
      <c r="A280">
        <v>7</v>
      </c>
      <c r="B280" t="s">
        <v>61</v>
      </c>
      <c r="C280">
        <v>38</v>
      </c>
      <c r="D280" s="3"/>
      <c r="E280">
        <f>IF(C280="","",VLOOKUP(C280,PointsSystem!$A$2:$B$41,2,FALSE()))</f>
        <v>1</v>
      </c>
    </row>
    <row r="281" spans="1:5" x14ac:dyDescent="0.3">
      <c r="A281">
        <v>7</v>
      </c>
      <c r="B281" t="s">
        <v>61</v>
      </c>
      <c r="C281">
        <v>39</v>
      </c>
      <c r="D281" s="3"/>
      <c r="E281">
        <f>IF(C281="","",VLOOKUP(C281,PointsSystem!$A$2:$B$41,2,FALSE()))</f>
        <v>1</v>
      </c>
    </row>
    <row r="282" spans="1:5" x14ac:dyDescent="0.3">
      <c r="A282">
        <v>7</v>
      </c>
      <c r="B282" t="s">
        <v>61</v>
      </c>
      <c r="C282">
        <v>40</v>
      </c>
      <c r="D282" s="3"/>
      <c r="E282">
        <f>IF(C282="","",VLOOKUP(C282,PointsSystem!$A$2:$B$41,2,FALSE()))</f>
        <v>1</v>
      </c>
    </row>
    <row r="283" spans="1:5" x14ac:dyDescent="0.3">
      <c r="A283">
        <v>8</v>
      </c>
      <c r="B283" t="s">
        <v>63</v>
      </c>
      <c r="C283">
        <v>1</v>
      </c>
      <c r="D283" s="3">
        <v>54</v>
      </c>
      <c r="E283">
        <f>IF(C283="","",VLOOKUP(C283,PointsSystem!$A$2:$B$41,2,FALSE()))</f>
        <v>55</v>
      </c>
    </row>
    <row r="284" spans="1:5" x14ac:dyDescent="0.3">
      <c r="A284">
        <v>8</v>
      </c>
      <c r="B284" t="s">
        <v>63</v>
      </c>
      <c r="C284">
        <v>2</v>
      </c>
      <c r="D284" s="3">
        <v>12</v>
      </c>
      <c r="E284">
        <f>IF(C284="","",VLOOKUP(C284,PointsSystem!$A$2:$B$41,2,FALSE()))</f>
        <v>35</v>
      </c>
    </row>
    <row r="285" spans="1:5" x14ac:dyDescent="0.3">
      <c r="A285">
        <v>8</v>
      </c>
      <c r="B285" t="s">
        <v>63</v>
      </c>
      <c r="C285">
        <v>3</v>
      </c>
      <c r="D285" s="3">
        <v>5</v>
      </c>
      <c r="E285">
        <f>IF(C285="","",VLOOKUP(C285,PointsSystem!$A$2:$B$41,2,FALSE()))</f>
        <v>34</v>
      </c>
    </row>
    <row r="286" spans="1:5" x14ac:dyDescent="0.3">
      <c r="A286">
        <v>8</v>
      </c>
      <c r="B286" t="s">
        <v>63</v>
      </c>
      <c r="C286">
        <v>4</v>
      </c>
      <c r="D286" s="3">
        <v>45</v>
      </c>
      <c r="E286">
        <f>IF(C286="","",VLOOKUP(C286,PointsSystem!$A$2:$B$41,2,FALSE()))</f>
        <v>33</v>
      </c>
    </row>
    <row r="287" spans="1:5" x14ac:dyDescent="0.3">
      <c r="A287">
        <v>8</v>
      </c>
      <c r="B287" t="s">
        <v>63</v>
      </c>
      <c r="C287">
        <v>5</v>
      </c>
      <c r="D287" s="3">
        <v>19</v>
      </c>
      <c r="E287">
        <f>IF(C287="","",VLOOKUP(C287,PointsSystem!$A$2:$B$41,2,FALSE()))</f>
        <v>32</v>
      </c>
    </row>
    <row r="288" spans="1:5" x14ac:dyDescent="0.3">
      <c r="A288">
        <v>8</v>
      </c>
      <c r="B288" t="s">
        <v>63</v>
      </c>
      <c r="C288">
        <v>6</v>
      </c>
      <c r="D288" s="3">
        <v>34</v>
      </c>
      <c r="E288">
        <f>IF(C288="","",VLOOKUP(C288,PointsSystem!$A$2:$B$41,2,FALSE()))</f>
        <v>31</v>
      </c>
    </row>
    <row r="289" spans="1:5" x14ac:dyDescent="0.3">
      <c r="A289">
        <v>8</v>
      </c>
      <c r="B289" t="s">
        <v>63</v>
      </c>
      <c r="C289">
        <v>7</v>
      </c>
      <c r="D289" s="3">
        <v>22</v>
      </c>
      <c r="E289">
        <f>IF(C289="","",VLOOKUP(C289,PointsSystem!$A$2:$B$41,2,FALSE()))</f>
        <v>30</v>
      </c>
    </row>
    <row r="290" spans="1:5" x14ac:dyDescent="0.3">
      <c r="A290">
        <v>8</v>
      </c>
      <c r="B290" t="s">
        <v>63</v>
      </c>
      <c r="C290">
        <v>8</v>
      </c>
      <c r="D290" s="3">
        <v>60</v>
      </c>
      <c r="E290">
        <f>IF(C290="","",VLOOKUP(C290,PointsSystem!$A$2:$B$41,2,FALSE()))</f>
        <v>29</v>
      </c>
    </row>
    <row r="291" spans="1:5" x14ac:dyDescent="0.3">
      <c r="A291">
        <v>8</v>
      </c>
      <c r="B291" t="s">
        <v>63</v>
      </c>
      <c r="C291">
        <v>9</v>
      </c>
      <c r="D291" s="3">
        <v>11</v>
      </c>
      <c r="E291">
        <f>IF(C291="","",VLOOKUP(C291,PointsSystem!$A$2:$B$41,2,FALSE()))</f>
        <v>28</v>
      </c>
    </row>
    <row r="292" spans="1:5" x14ac:dyDescent="0.3">
      <c r="A292">
        <v>8</v>
      </c>
      <c r="B292" t="s">
        <v>63</v>
      </c>
      <c r="C292">
        <v>10</v>
      </c>
      <c r="D292" s="3">
        <v>77</v>
      </c>
      <c r="E292">
        <f>IF(C292="","",VLOOKUP(C292,PointsSystem!$A$2:$B$41,2,FALSE()))</f>
        <v>27</v>
      </c>
    </row>
    <row r="293" spans="1:5" x14ac:dyDescent="0.3">
      <c r="A293">
        <v>8</v>
      </c>
      <c r="B293" t="s">
        <v>63</v>
      </c>
      <c r="C293">
        <v>11</v>
      </c>
      <c r="D293" s="3">
        <v>23</v>
      </c>
      <c r="E293">
        <f>IF(C293="","",VLOOKUP(C293,PointsSystem!$A$2:$B$41,2,FALSE()))</f>
        <v>26</v>
      </c>
    </row>
    <row r="294" spans="1:5" x14ac:dyDescent="0.3">
      <c r="A294">
        <v>8</v>
      </c>
      <c r="B294" t="s">
        <v>63</v>
      </c>
      <c r="C294">
        <v>12</v>
      </c>
      <c r="D294" s="3">
        <v>7</v>
      </c>
      <c r="E294">
        <f>IF(C294="","",VLOOKUP(C294,PointsSystem!$A$2:$B$41,2,FALSE()))</f>
        <v>25</v>
      </c>
    </row>
    <row r="295" spans="1:5" x14ac:dyDescent="0.3">
      <c r="A295">
        <v>8</v>
      </c>
      <c r="B295" t="s">
        <v>63</v>
      </c>
      <c r="C295">
        <v>13</v>
      </c>
      <c r="D295" s="3">
        <v>17</v>
      </c>
      <c r="E295">
        <f>IF(C295="","",VLOOKUP(C295,PointsSystem!$A$2:$B$41,2,FALSE()))</f>
        <v>24</v>
      </c>
    </row>
    <row r="296" spans="1:5" x14ac:dyDescent="0.3">
      <c r="A296">
        <v>8</v>
      </c>
      <c r="B296" t="s">
        <v>63</v>
      </c>
      <c r="C296">
        <v>14</v>
      </c>
      <c r="D296" s="3">
        <v>6</v>
      </c>
      <c r="E296">
        <f>IF(C296="","",VLOOKUP(C296,PointsSystem!$A$2:$B$41,2,FALSE()))</f>
        <v>23</v>
      </c>
    </row>
    <row r="297" spans="1:5" x14ac:dyDescent="0.3">
      <c r="A297">
        <v>8</v>
      </c>
      <c r="B297" t="s">
        <v>63</v>
      </c>
      <c r="C297">
        <v>15</v>
      </c>
      <c r="D297" s="3">
        <v>16</v>
      </c>
      <c r="E297">
        <f>IF(C297="","",VLOOKUP(C297,PointsSystem!$A$2:$B$41,2,FALSE()))</f>
        <v>22</v>
      </c>
    </row>
    <row r="298" spans="1:5" x14ac:dyDescent="0.3">
      <c r="A298">
        <v>8</v>
      </c>
      <c r="B298" t="s">
        <v>63</v>
      </c>
      <c r="C298">
        <v>16</v>
      </c>
      <c r="D298" s="3">
        <v>2</v>
      </c>
      <c r="E298">
        <f>IF(C298="","",VLOOKUP(C298,PointsSystem!$A$2:$B$41,2,FALSE()))</f>
        <v>21</v>
      </c>
    </row>
    <row r="299" spans="1:5" x14ac:dyDescent="0.3">
      <c r="A299">
        <v>8</v>
      </c>
      <c r="B299" t="s">
        <v>63</v>
      </c>
      <c r="C299">
        <v>17</v>
      </c>
      <c r="D299" s="3">
        <v>47</v>
      </c>
      <c r="E299">
        <f>IF(C299="","",VLOOKUP(C299,PointsSystem!$A$2:$B$41,2,FALSE()))</f>
        <v>20</v>
      </c>
    </row>
    <row r="300" spans="1:5" x14ac:dyDescent="0.3">
      <c r="A300">
        <v>8</v>
      </c>
      <c r="B300" t="s">
        <v>63</v>
      </c>
      <c r="C300">
        <v>18</v>
      </c>
      <c r="D300" s="3">
        <v>3</v>
      </c>
      <c r="E300">
        <f>IF(C300="","",VLOOKUP(C300,PointsSystem!$A$2:$B$41,2,FALSE()))</f>
        <v>19</v>
      </c>
    </row>
    <row r="301" spans="1:5" x14ac:dyDescent="0.3">
      <c r="A301">
        <v>8</v>
      </c>
      <c r="B301" t="s">
        <v>63</v>
      </c>
      <c r="C301">
        <v>19</v>
      </c>
      <c r="D301" s="3">
        <v>38</v>
      </c>
      <c r="E301">
        <f>IF(C301="","",VLOOKUP(C301,PointsSystem!$A$2:$B$41,2,FALSE()))</f>
        <v>18</v>
      </c>
    </row>
    <row r="302" spans="1:5" x14ac:dyDescent="0.3">
      <c r="A302">
        <v>8</v>
      </c>
      <c r="B302" t="s">
        <v>63</v>
      </c>
      <c r="C302">
        <v>20</v>
      </c>
      <c r="D302" s="3">
        <v>1</v>
      </c>
      <c r="E302">
        <f>IF(C302="","",VLOOKUP(C302,PointsSystem!$A$2:$B$41,2,FALSE()))</f>
        <v>17</v>
      </c>
    </row>
    <row r="303" spans="1:5" x14ac:dyDescent="0.3">
      <c r="A303">
        <v>8</v>
      </c>
      <c r="B303" t="s">
        <v>63</v>
      </c>
      <c r="C303">
        <v>21</v>
      </c>
      <c r="D303" s="3">
        <v>35</v>
      </c>
      <c r="E303">
        <f>IF(C303="","",VLOOKUP(C303,PointsSystem!$A$2:$B$41,2,FALSE()))</f>
        <v>16</v>
      </c>
    </row>
    <row r="304" spans="1:5" x14ac:dyDescent="0.3">
      <c r="A304">
        <v>8</v>
      </c>
      <c r="B304" t="s">
        <v>63</v>
      </c>
      <c r="C304">
        <v>22</v>
      </c>
      <c r="D304" s="3">
        <v>9</v>
      </c>
      <c r="E304">
        <f>IF(C304="","",VLOOKUP(C304,PointsSystem!$A$2:$B$41,2,FALSE()))</f>
        <v>15</v>
      </c>
    </row>
    <row r="305" spans="1:5" x14ac:dyDescent="0.3">
      <c r="A305">
        <v>8</v>
      </c>
      <c r="B305" t="s">
        <v>63</v>
      </c>
      <c r="C305">
        <v>23</v>
      </c>
      <c r="D305" s="3">
        <v>43</v>
      </c>
      <c r="E305">
        <f>IF(C305="","",VLOOKUP(C305,PointsSystem!$A$2:$B$41,2,FALSE()))</f>
        <v>14</v>
      </c>
    </row>
    <row r="306" spans="1:5" x14ac:dyDescent="0.3">
      <c r="A306">
        <v>8</v>
      </c>
      <c r="B306" t="s">
        <v>63</v>
      </c>
      <c r="C306">
        <v>24</v>
      </c>
      <c r="D306" s="3">
        <v>71</v>
      </c>
      <c r="E306">
        <f>IF(C306="","",VLOOKUP(C306,PointsSystem!$A$2:$B$41,2,FALSE()))</f>
        <v>13</v>
      </c>
    </row>
    <row r="307" spans="1:5" x14ac:dyDescent="0.3">
      <c r="A307">
        <v>8</v>
      </c>
      <c r="B307" t="s">
        <v>63</v>
      </c>
      <c r="C307">
        <v>25</v>
      </c>
      <c r="D307" s="3">
        <v>8</v>
      </c>
      <c r="E307">
        <f>IF(C307="","",VLOOKUP(C307,PointsSystem!$A$2:$B$41,2,FALSE()))</f>
        <v>12</v>
      </c>
    </row>
    <row r="308" spans="1:5" x14ac:dyDescent="0.3">
      <c r="A308">
        <v>8</v>
      </c>
      <c r="B308" t="s">
        <v>63</v>
      </c>
      <c r="C308">
        <v>26</v>
      </c>
      <c r="D308" s="3">
        <v>4</v>
      </c>
      <c r="E308">
        <f>IF(C308="","",VLOOKUP(C308,PointsSystem!$A$2:$B$41,2,FALSE()))</f>
        <v>11</v>
      </c>
    </row>
    <row r="309" spans="1:5" x14ac:dyDescent="0.3">
      <c r="A309">
        <v>8</v>
      </c>
      <c r="B309" t="s">
        <v>63</v>
      </c>
      <c r="C309">
        <v>27</v>
      </c>
      <c r="D309" s="3">
        <v>20</v>
      </c>
      <c r="E309">
        <f>IF(C309="","",VLOOKUP(C309,PointsSystem!$A$2:$B$41,2,FALSE()))</f>
        <v>10</v>
      </c>
    </row>
    <row r="310" spans="1:5" x14ac:dyDescent="0.3">
      <c r="A310">
        <v>8</v>
      </c>
      <c r="B310" t="s">
        <v>63</v>
      </c>
      <c r="C310">
        <v>28</v>
      </c>
      <c r="D310" s="3">
        <v>41</v>
      </c>
      <c r="E310">
        <f>IF(C310="","",VLOOKUP(C310,PointsSystem!$A$2:$B$41,2,FALSE()))</f>
        <v>9</v>
      </c>
    </row>
    <row r="311" spans="1:5" x14ac:dyDescent="0.3">
      <c r="A311">
        <v>8</v>
      </c>
      <c r="B311" t="s">
        <v>63</v>
      </c>
      <c r="C311">
        <v>29</v>
      </c>
      <c r="D311" s="3">
        <v>10</v>
      </c>
      <c r="E311">
        <f>IF(C311="","",VLOOKUP(C311,PointsSystem!$A$2:$B$41,2,FALSE()))</f>
        <v>8</v>
      </c>
    </row>
    <row r="312" spans="1:5" x14ac:dyDescent="0.3">
      <c r="A312">
        <v>8</v>
      </c>
      <c r="B312" t="s">
        <v>63</v>
      </c>
      <c r="C312">
        <v>30</v>
      </c>
      <c r="D312" s="3">
        <v>24</v>
      </c>
      <c r="E312">
        <f>IF(C312="","",VLOOKUP(C312,PointsSystem!$A$2:$B$41,2,FALSE()))</f>
        <v>7</v>
      </c>
    </row>
    <row r="313" spans="1:5" x14ac:dyDescent="0.3">
      <c r="A313">
        <v>8</v>
      </c>
      <c r="B313" t="s">
        <v>63</v>
      </c>
      <c r="C313">
        <v>31</v>
      </c>
      <c r="D313" s="3">
        <v>51</v>
      </c>
      <c r="E313">
        <f>IF(C313="","",VLOOKUP(C313,PointsSystem!$A$2:$B$41,2,FALSE()))</f>
        <v>6</v>
      </c>
    </row>
    <row r="314" spans="1:5" x14ac:dyDescent="0.3">
      <c r="A314">
        <v>8</v>
      </c>
      <c r="B314" t="s">
        <v>63</v>
      </c>
      <c r="C314">
        <v>32</v>
      </c>
      <c r="D314" s="3">
        <v>21</v>
      </c>
      <c r="E314">
        <f>IF(C314="","",VLOOKUP(C314,PointsSystem!$A$2:$B$41,2,FALSE()))</f>
        <v>5</v>
      </c>
    </row>
    <row r="315" spans="1:5" x14ac:dyDescent="0.3">
      <c r="A315">
        <v>8</v>
      </c>
      <c r="B315" t="s">
        <v>63</v>
      </c>
      <c r="C315">
        <v>33</v>
      </c>
      <c r="D315" s="3">
        <v>88</v>
      </c>
      <c r="E315">
        <f>IF(C315="","",VLOOKUP(C315,PointsSystem!$A$2:$B$41,2,FALSE()))</f>
        <v>4</v>
      </c>
    </row>
    <row r="316" spans="1:5" x14ac:dyDescent="0.3">
      <c r="A316">
        <v>8</v>
      </c>
      <c r="B316" t="s">
        <v>63</v>
      </c>
      <c r="C316">
        <v>34</v>
      </c>
      <c r="D316" s="3">
        <v>97</v>
      </c>
      <c r="E316">
        <f>IF(C316="","",VLOOKUP(C316,PointsSystem!$A$2:$B$41,2,FALSE()))</f>
        <v>3</v>
      </c>
    </row>
    <row r="317" spans="1:5" x14ac:dyDescent="0.3">
      <c r="A317">
        <v>8</v>
      </c>
      <c r="B317" t="s">
        <v>63</v>
      </c>
      <c r="C317">
        <v>35</v>
      </c>
      <c r="D317" s="3">
        <v>42</v>
      </c>
      <c r="E317">
        <f>IF(C317="","",VLOOKUP(C317,PointsSystem!$A$2:$B$41,2,FALSE()))</f>
        <v>2</v>
      </c>
    </row>
    <row r="318" spans="1:5" x14ac:dyDescent="0.3">
      <c r="A318">
        <v>8</v>
      </c>
      <c r="B318" t="s">
        <v>63</v>
      </c>
      <c r="C318">
        <v>36</v>
      </c>
      <c r="D318" s="3">
        <v>66</v>
      </c>
      <c r="E318">
        <f>IF(C318="","",VLOOKUP(C318,PointsSystem!$A$2:$B$41,2,FALSE()))</f>
        <v>1</v>
      </c>
    </row>
    <row r="319" spans="1:5" x14ac:dyDescent="0.3">
      <c r="A319">
        <v>8</v>
      </c>
      <c r="B319" t="s">
        <v>63</v>
      </c>
      <c r="C319">
        <v>37</v>
      </c>
      <c r="D319" s="3">
        <v>48</v>
      </c>
      <c r="E319">
        <f>IF(C319="","",VLOOKUP(C319,PointsSystem!$A$2:$B$41,2,FALSE()))</f>
        <v>1</v>
      </c>
    </row>
    <row r="320" spans="1:5" x14ac:dyDescent="0.3">
      <c r="A320">
        <v>8</v>
      </c>
      <c r="B320" t="s">
        <v>63</v>
      </c>
      <c r="C320">
        <v>38</v>
      </c>
      <c r="D320" s="3"/>
      <c r="E320">
        <f>IF(C320="","",VLOOKUP(C320,PointsSystem!$A$2:$B$41,2,FALSE()))</f>
        <v>1</v>
      </c>
    </row>
    <row r="321" spans="1:5" x14ac:dyDescent="0.3">
      <c r="A321">
        <v>8</v>
      </c>
      <c r="B321" t="s">
        <v>63</v>
      </c>
      <c r="C321">
        <v>39</v>
      </c>
      <c r="D321" s="3"/>
      <c r="E321">
        <f>IF(C321="","",VLOOKUP(C321,PointsSystem!$A$2:$B$41,2,FALSE()))</f>
        <v>1</v>
      </c>
    </row>
    <row r="322" spans="1:5" x14ac:dyDescent="0.3">
      <c r="A322">
        <v>8</v>
      </c>
      <c r="B322" t="s">
        <v>63</v>
      </c>
      <c r="C322">
        <v>40</v>
      </c>
      <c r="D322" s="3"/>
      <c r="E322">
        <f>IF(C322="","",VLOOKUP(C322,PointsSystem!$A$2:$B$41,2,FALSE()))</f>
        <v>1</v>
      </c>
    </row>
    <row r="323" spans="1:5" x14ac:dyDescent="0.3">
      <c r="A323">
        <v>9</v>
      </c>
      <c r="B323" t="s">
        <v>65</v>
      </c>
      <c r="C323">
        <v>1</v>
      </c>
      <c r="D323" s="3">
        <v>45</v>
      </c>
      <c r="E323">
        <f>IF(C323="","",VLOOKUP(C323,PointsSystem!$A$2:$B$41,2,FALSE()))</f>
        <v>55</v>
      </c>
    </row>
    <row r="324" spans="1:5" x14ac:dyDescent="0.3">
      <c r="A324">
        <v>9</v>
      </c>
      <c r="B324" t="s">
        <v>65</v>
      </c>
      <c r="C324">
        <v>2</v>
      </c>
      <c r="D324" s="3">
        <v>5</v>
      </c>
      <c r="E324">
        <f>IF(C324="","",VLOOKUP(C324,PointsSystem!$A$2:$B$41,2,FALSE()))</f>
        <v>35</v>
      </c>
    </row>
    <row r="325" spans="1:5" x14ac:dyDescent="0.3">
      <c r="A325">
        <v>9</v>
      </c>
      <c r="B325" t="s">
        <v>65</v>
      </c>
      <c r="C325">
        <v>3</v>
      </c>
      <c r="D325" s="3">
        <v>19</v>
      </c>
      <c r="E325">
        <f>IF(C325="","",VLOOKUP(C325,PointsSystem!$A$2:$B$41,2,FALSE()))</f>
        <v>34</v>
      </c>
    </row>
    <row r="326" spans="1:5" x14ac:dyDescent="0.3">
      <c r="A326">
        <v>9</v>
      </c>
      <c r="B326" t="s">
        <v>65</v>
      </c>
      <c r="C326">
        <v>4</v>
      </c>
      <c r="D326" s="3">
        <v>11</v>
      </c>
      <c r="E326">
        <f>IF(C326="","",VLOOKUP(C326,PointsSystem!$A$2:$B$41,2,FALSE()))</f>
        <v>33</v>
      </c>
    </row>
    <row r="327" spans="1:5" x14ac:dyDescent="0.3">
      <c r="A327">
        <v>9</v>
      </c>
      <c r="B327" t="s">
        <v>65</v>
      </c>
      <c r="C327">
        <v>5</v>
      </c>
      <c r="D327" s="3">
        <v>23</v>
      </c>
      <c r="E327">
        <f>IF(C327="","",VLOOKUP(C327,PointsSystem!$A$2:$B$41,2,FALSE()))</f>
        <v>32</v>
      </c>
    </row>
    <row r="328" spans="1:5" x14ac:dyDescent="0.3">
      <c r="A328">
        <v>9</v>
      </c>
      <c r="B328" t="s">
        <v>65</v>
      </c>
      <c r="C328">
        <v>6</v>
      </c>
      <c r="D328" s="3">
        <v>16</v>
      </c>
      <c r="E328">
        <f>IF(C328="","",VLOOKUP(C328,PointsSystem!$A$2:$B$41,2,FALSE()))</f>
        <v>31</v>
      </c>
    </row>
    <row r="329" spans="1:5" x14ac:dyDescent="0.3">
      <c r="A329">
        <v>9</v>
      </c>
      <c r="B329" t="s">
        <v>65</v>
      </c>
      <c r="C329">
        <v>7</v>
      </c>
      <c r="D329" s="3">
        <v>24</v>
      </c>
      <c r="E329">
        <f>IF(C329="","",VLOOKUP(C329,PointsSystem!$A$2:$B$41,2,FALSE()))</f>
        <v>30</v>
      </c>
    </row>
    <row r="330" spans="1:5" x14ac:dyDescent="0.3">
      <c r="A330">
        <v>9</v>
      </c>
      <c r="B330" t="s">
        <v>65</v>
      </c>
      <c r="C330">
        <v>8</v>
      </c>
      <c r="D330" s="3">
        <v>9</v>
      </c>
      <c r="E330">
        <f>IF(C330="","",VLOOKUP(C330,PointsSystem!$A$2:$B$41,2,FALSE()))</f>
        <v>29</v>
      </c>
    </row>
    <row r="331" spans="1:5" x14ac:dyDescent="0.3">
      <c r="A331">
        <v>9</v>
      </c>
      <c r="B331" t="s">
        <v>65</v>
      </c>
      <c r="C331">
        <v>9</v>
      </c>
      <c r="D331" s="3">
        <v>54</v>
      </c>
      <c r="E331">
        <f>IF(C331="","",VLOOKUP(C331,PointsSystem!$A$2:$B$41,2,FALSE()))</f>
        <v>28</v>
      </c>
    </row>
    <row r="332" spans="1:5" x14ac:dyDescent="0.3">
      <c r="A332">
        <v>9</v>
      </c>
      <c r="B332" t="s">
        <v>65</v>
      </c>
      <c r="C332">
        <v>10</v>
      </c>
      <c r="D332" s="3">
        <v>17</v>
      </c>
      <c r="E332">
        <f>IF(C332="","",VLOOKUP(C332,PointsSystem!$A$2:$B$41,2,FALSE()))</f>
        <v>27</v>
      </c>
    </row>
    <row r="333" spans="1:5" x14ac:dyDescent="0.3">
      <c r="A333">
        <v>9</v>
      </c>
      <c r="B333" t="s">
        <v>65</v>
      </c>
      <c r="C333">
        <v>11</v>
      </c>
      <c r="D333" s="3">
        <v>60</v>
      </c>
      <c r="E333">
        <f>IF(C333="","",VLOOKUP(C333,PointsSystem!$A$2:$B$41,2,FALSE()))</f>
        <v>26</v>
      </c>
    </row>
    <row r="334" spans="1:5" x14ac:dyDescent="0.3">
      <c r="A334">
        <v>9</v>
      </c>
      <c r="B334" t="s">
        <v>65</v>
      </c>
      <c r="C334">
        <v>12</v>
      </c>
      <c r="D334" s="3">
        <v>2</v>
      </c>
      <c r="E334">
        <f>IF(C334="","",VLOOKUP(C334,PointsSystem!$A$2:$B$41,2,FALSE()))</f>
        <v>25</v>
      </c>
    </row>
    <row r="335" spans="1:5" x14ac:dyDescent="0.3">
      <c r="A335">
        <v>9</v>
      </c>
      <c r="B335" t="s">
        <v>65</v>
      </c>
      <c r="C335">
        <v>13</v>
      </c>
      <c r="D335" s="3">
        <v>77</v>
      </c>
      <c r="E335">
        <f>IF(C335="","",VLOOKUP(C335,PointsSystem!$A$2:$B$41,2,FALSE()))</f>
        <v>24</v>
      </c>
    </row>
    <row r="336" spans="1:5" x14ac:dyDescent="0.3">
      <c r="A336">
        <v>9</v>
      </c>
      <c r="B336" t="s">
        <v>65</v>
      </c>
      <c r="C336">
        <v>14</v>
      </c>
      <c r="D336" s="3">
        <v>35</v>
      </c>
      <c r="E336">
        <f>IF(C336="","",VLOOKUP(C336,PointsSystem!$A$2:$B$41,2,FALSE()))</f>
        <v>23</v>
      </c>
    </row>
    <row r="337" spans="1:5" x14ac:dyDescent="0.3">
      <c r="A337">
        <v>9</v>
      </c>
      <c r="B337" t="s">
        <v>65</v>
      </c>
      <c r="C337">
        <v>15</v>
      </c>
      <c r="D337" s="3">
        <v>67</v>
      </c>
      <c r="E337">
        <f>IF(C337="","",VLOOKUP(C337,PointsSystem!$A$2:$B$41,2,FALSE()))</f>
        <v>22</v>
      </c>
    </row>
    <row r="338" spans="1:5" x14ac:dyDescent="0.3">
      <c r="A338">
        <v>9</v>
      </c>
      <c r="B338" t="s">
        <v>65</v>
      </c>
      <c r="C338">
        <v>16</v>
      </c>
      <c r="D338" s="3">
        <v>3</v>
      </c>
      <c r="E338">
        <f>IF(C338="","",VLOOKUP(C338,PointsSystem!$A$2:$B$41,2,FALSE()))</f>
        <v>21</v>
      </c>
    </row>
    <row r="339" spans="1:5" x14ac:dyDescent="0.3">
      <c r="A339">
        <v>9</v>
      </c>
      <c r="B339" t="s">
        <v>65</v>
      </c>
      <c r="C339">
        <v>17</v>
      </c>
      <c r="D339" s="3">
        <v>34</v>
      </c>
      <c r="E339">
        <f>IF(C339="","",VLOOKUP(C339,PointsSystem!$A$2:$B$41,2,FALSE()))</f>
        <v>20</v>
      </c>
    </row>
    <row r="340" spans="1:5" x14ac:dyDescent="0.3">
      <c r="A340">
        <v>9</v>
      </c>
      <c r="B340" t="s">
        <v>65</v>
      </c>
      <c r="C340">
        <v>18</v>
      </c>
      <c r="D340" s="3">
        <v>48</v>
      </c>
      <c r="E340">
        <f>IF(C340="","",VLOOKUP(C340,PointsSystem!$A$2:$B$41,2,FALSE()))</f>
        <v>19</v>
      </c>
    </row>
    <row r="341" spans="1:5" x14ac:dyDescent="0.3">
      <c r="A341">
        <v>9</v>
      </c>
      <c r="B341" t="s">
        <v>65</v>
      </c>
      <c r="C341">
        <v>19</v>
      </c>
      <c r="D341" s="3">
        <v>7</v>
      </c>
      <c r="E341">
        <f>IF(C341="","",VLOOKUP(C341,PointsSystem!$A$2:$B$41,2,FALSE()))</f>
        <v>18</v>
      </c>
    </row>
    <row r="342" spans="1:5" x14ac:dyDescent="0.3">
      <c r="A342">
        <v>9</v>
      </c>
      <c r="B342" t="s">
        <v>65</v>
      </c>
      <c r="C342">
        <v>20</v>
      </c>
      <c r="D342" s="3">
        <v>20</v>
      </c>
      <c r="E342">
        <f>IF(C342="","",VLOOKUP(C342,PointsSystem!$A$2:$B$41,2,FALSE()))</f>
        <v>17</v>
      </c>
    </row>
    <row r="343" spans="1:5" x14ac:dyDescent="0.3">
      <c r="A343">
        <v>9</v>
      </c>
      <c r="B343" t="s">
        <v>65</v>
      </c>
      <c r="C343">
        <v>21</v>
      </c>
      <c r="D343" s="3">
        <v>47</v>
      </c>
      <c r="E343">
        <f>IF(C343="","",VLOOKUP(C343,PointsSystem!$A$2:$B$41,2,FALSE()))</f>
        <v>16</v>
      </c>
    </row>
    <row r="344" spans="1:5" x14ac:dyDescent="0.3">
      <c r="A344">
        <v>9</v>
      </c>
      <c r="B344" t="s">
        <v>65</v>
      </c>
      <c r="C344">
        <v>22</v>
      </c>
      <c r="D344" s="3">
        <v>42</v>
      </c>
      <c r="E344">
        <f>IF(C344="","",VLOOKUP(C344,PointsSystem!$A$2:$B$41,2,FALSE()))</f>
        <v>15</v>
      </c>
    </row>
    <row r="345" spans="1:5" x14ac:dyDescent="0.3">
      <c r="A345">
        <v>9</v>
      </c>
      <c r="B345" t="s">
        <v>65</v>
      </c>
      <c r="C345">
        <v>23</v>
      </c>
      <c r="D345" s="3">
        <v>43</v>
      </c>
      <c r="E345">
        <f>IF(C345="","",VLOOKUP(C345,PointsSystem!$A$2:$B$41,2,FALSE()))</f>
        <v>14</v>
      </c>
    </row>
    <row r="346" spans="1:5" x14ac:dyDescent="0.3">
      <c r="A346">
        <v>9</v>
      </c>
      <c r="B346" t="s">
        <v>65</v>
      </c>
      <c r="C346">
        <v>24</v>
      </c>
      <c r="D346" s="3">
        <v>12</v>
      </c>
      <c r="E346">
        <f>IF(C346="","",VLOOKUP(C346,PointsSystem!$A$2:$B$41,2,FALSE()))</f>
        <v>13</v>
      </c>
    </row>
    <row r="347" spans="1:5" x14ac:dyDescent="0.3">
      <c r="A347">
        <v>9</v>
      </c>
      <c r="B347" t="s">
        <v>65</v>
      </c>
      <c r="C347">
        <v>25</v>
      </c>
      <c r="D347" s="3">
        <v>41</v>
      </c>
      <c r="E347">
        <f>IF(C347="","",VLOOKUP(C347,PointsSystem!$A$2:$B$41,2,FALSE()))</f>
        <v>12</v>
      </c>
    </row>
    <row r="348" spans="1:5" x14ac:dyDescent="0.3">
      <c r="A348">
        <v>9</v>
      </c>
      <c r="B348" t="s">
        <v>65</v>
      </c>
      <c r="C348">
        <v>26</v>
      </c>
      <c r="D348" s="3">
        <v>1</v>
      </c>
      <c r="E348">
        <f>IF(C348="","",VLOOKUP(C348,PointsSystem!$A$2:$B$41,2,FALSE()))</f>
        <v>11</v>
      </c>
    </row>
    <row r="349" spans="1:5" x14ac:dyDescent="0.3">
      <c r="A349">
        <v>9</v>
      </c>
      <c r="B349" t="s">
        <v>65</v>
      </c>
      <c r="C349">
        <v>27</v>
      </c>
      <c r="D349" s="3">
        <v>21</v>
      </c>
      <c r="E349">
        <f>IF(C349="","",VLOOKUP(C349,PointsSystem!$A$2:$B$41,2,FALSE()))</f>
        <v>10</v>
      </c>
    </row>
    <row r="350" spans="1:5" x14ac:dyDescent="0.3">
      <c r="A350">
        <v>9</v>
      </c>
      <c r="B350" t="s">
        <v>65</v>
      </c>
      <c r="C350">
        <v>28</v>
      </c>
      <c r="D350" s="3">
        <v>4</v>
      </c>
      <c r="E350">
        <f>IF(C350="","",VLOOKUP(C350,PointsSystem!$A$2:$B$41,2,FALSE()))</f>
        <v>9</v>
      </c>
    </row>
    <row r="351" spans="1:5" x14ac:dyDescent="0.3">
      <c r="A351">
        <v>9</v>
      </c>
      <c r="B351" t="s">
        <v>65</v>
      </c>
      <c r="C351">
        <v>29</v>
      </c>
      <c r="D351" s="3">
        <v>88</v>
      </c>
      <c r="E351">
        <f>IF(C351="","",VLOOKUP(C351,PointsSystem!$A$2:$B$41,2,FALSE()))</f>
        <v>8</v>
      </c>
    </row>
    <row r="352" spans="1:5" x14ac:dyDescent="0.3">
      <c r="A352">
        <v>9</v>
      </c>
      <c r="B352" t="s">
        <v>65</v>
      </c>
      <c r="C352">
        <v>30</v>
      </c>
      <c r="D352" s="3">
        <v>22</v>
      </c>
      <c r="E352">
        <f>IF(C352="","",VLOOKUP(C352,PointsSystem!$A$2:$B$41,2,FALSE()))</f>
        <v>7</v>
      </c>
    </row>
    <row r="353" spans="1:5" x14ac:dyDescent="0.3">
      <c r="A353">
        <v>9</v>
      </c>
      <c r="B353" t="s">
        <v>65</v>
      </c>
      <c r="C353">
        <v>31</v>
      </c>
      <c r="D353" s="3">
        <v>16</v>
      </c>
      <c r="E353">
        <f>IF(C353="","",VLOOKUP(C353,PointsSystem!$A$2:$B$41,2,FALSE()))</f>
        <v>6</v>
      </c>
    </row>
    <row r="354" spans="1:5" x14ac:dyDescent="0.3">
      <c r="A354">
        <v>9</v>
      </c>
      <c r="B354" t="s">
        <v>65</v>
      </c>
      <c r="C354">
        <v>32</v>
      </c>
      <c r="D354" s="3">
        <v>38</v>
      </c>
      <c r="E354">
        <f>IF(C354="","",VLOOKUP(C354,PointsSystem!$A$2:$B$41,2,FALSE()))</f>
        <v>5</v>
      </c>
    </row>
    <row r="355" spans="1:5" x14ac:dyDescent="0.3">
      <c r="A355">
        <v>9</v>
      </c>
      <c r="B355" t="s">
        <v>65</v>
      </c>
      <c r="C355">
        <v>33</v>
      </c>
      <c r="D355" s="3">
        <v>10</v>
      </c>
      <c r="E355">
        <f>IF(C355="","",VLOOKUP(C355,PointsSystem!$A$2:$B$41,2,FALSE()))</f>
        <v>4</v>
      </c>
    </row>
    <row r="356" spans="1:5" x14ac:dyDescent="0.3">
      <c r="A356">
        <v>9</v>
      </c>
      <c r="B356" t="s">
        <v>65</v>
      </c>
      <c r="C356">
        <v>34</v>
      </c>
      <c r="D356" s="3">
        <v>71</v>
      </c>
      <c r="E356">
        <f>IF(C356="","",VLOOKUP(C356,PointsSystem!$A$2:$B$41,2,FALSE()))</f>
        <v>3</v>
      </c>
    </row>
    <row r="357" spans="1:5" x14ac:dyDescent="0.3">
      <c r="A357">
        <v>9</v>
      </c>
      <c r="B357" t="s">
        <v>65</v>
      </c>
      <c r="C357">
        <v>35</v>
      </c>
      <c r="D357" s="3">
        <v>8</v>
      </c>
      <c r="E357">
        <f>IF(C357="","",VLOOKUP(C357,PointsSystem!$A$2:$B$41,2,FALSE()))</f>
        <v>2</v>
      </c>
    </row>
    <row r="358" spans="1:5" x14ac:dyDescent="0.3">
      <c r="A358">
        <v>9</v>
      </c>
      <c r="B358" t="s">
        <v>65</v>
      </c>
      <c r="C358">
        <v>36</v>
      </c>
      <c r="D358" s="3">
        <v>97</v>
      </c>
      <c r="E358">
        <f>IF(C358="","",VLOOKUP(C358,PointsSystem!$A$2:$B$41,2,FALSE()))</f>
        <v>1</v>
      </c>
    </row>
    <row r="359" spans="1:5" x14ac:dyDescent="0.3">
      <c r="A359">
        <v>9</v>
      </c>
      <c r="B359" t="s">
        <v>65</v>
      </c>
      <c r="C359">
        <v>37</v>
      </c>
      <c r="D359" s="3">
        <v>51</v>
      </c>
      <c r="E359">
        <f>IF(C359="","",VLOOKUP(C359,PointsSystem!$A$2:$B$41,2,FALSE()))</f>
        <v>1</v>
      </c>
    </row>
    <row r="360" spans="1:5" x14ac:dyDescent="0.3">
      <c r="A360">
        <v>9</v>
      </c>
      <c r="B360" t="s">
        <v>65</v>
      </c>
      <c r="C360">
        <v>38</v>
      </c>
      <c r="D360" s="3"/>
      <c r="E360">
        <f>IF(C360="","",VLOOKUP(C360,PointsSystem!$A$2:$B$41,2,FALSE()))</f>
        <v>1</v>
      </c>
    </row>
    <row r="361" spans="1:5" x14ac:dyDescent="0.3">
      <c r="A361">
        <v>9</v>
      </c>
      <c r="B361" t="s">
        <v>65</v>
      </c>
      <c r="C361">
        <v>39</v>
      </c>
      <c r="D361" s="3"/>
      <c r="E361">
        <f>IF(C361="","",VLOOKUP(C361,PointsSystem!$A$2:$B$41,2,FALSE()))</f>
        <v>1</v>
      </c>
    </row>
    <row r="362" spans="1:5" x14ac:dyDescent="0.3">
      <c r="A362">
        <v>9</v>
      </c>
      <c r="B362" t="s">
        <v>65</v>
      </c>
      <c r="C362">
        <v>40</v>
      </c>
      <c r="D362" s="3"/>
      <c r="E362">
        <f>IF(C362="","",VLOOKUP(C362,PointsSystem!$A$2:$B$41,2,FALSE()))</f>
        <v>1</v>
      </c>
    </row>
    <row r="363" spans="1:5" x14ac:dyDescent="0.3">
      <c r="A363">
        <v>10</v>
      </c>
      <c r="B363" t="s">
        <v>67</v>
      </c>
      <c r="C363">
        <v>1</v>
      </c>
      <c r="D363" s="3">
        <v>77</v>
      </c>
      <c r="E363">
        <f>IF(C363="","",VLOOKUP(C363,PointsSystem!$A$2:$B$41,2,FALSE()))</f>
        <v>55</v>
      </c>
    </row>
    <row r="364" spans="1:5" x14ac:dyDescent="0.3">
      <c r="A364">
        <v>10</v>
      </c>
      <c r="B364" t="s">
        <v>67</v>
      </c>
      <c r="C364">
        <v>2</v>
      </c>
      <c r="D364" s="3">
        <v>17</v>
      </c>
      <c r="E364">
        <f>IF(C364="","",VLOOKUP(C364,PointsSystem!$A$2:$B$41,2,FALSE()))</f>
        <v>35</v>
      </c>
    </row>
    <row r="365" spans="1:5" x14ac:dyDescent="0.3">
      <c r="A365">
        <v>10</v>
      </c>
      <c r="B365" t="s">
        <v>67</v>
      </c>
      <c r="C365">
        <v>3</v>
      </c>
      <c r="D365" s="3">
        <v>48</v>
      </c>
      <c r="E365">
        <f>IF(C365="","",VLOOKUP(C365,PointsSystem!$A$2:$B$41,2,FALSE()))</f>
        <v>34</v>
      </c>
    </row>
    <row r="366" spans="1:5" x14ac:dyDescent="0.3">
      <c r="A366">
        <v>10</v>
      </c>
      <c r="B366" t="s">
        <v>67</v>
      </c>
      <c r="C366">
        <v>4</v>
      </c>
      <c r="D366" s="3">
        <v>9</v>
      </c>
      <c r="E366">
        <f>IF(C366="","",VLOOKUP(C366,PointsSystem!$A$2:$B$41,2,FALSE()))</f>
        <v>33</v>
      </c>
    </row>
    <row r="367" spans="1:5" x14ac:dyDescent="0.3">
      <c r="A367">
        <v>10</v>
      </c>
      <c r="B367" t="s">
        <v>67</v>
      </c>
      <c r="C367">
        <v>5</v>
      </c>
      <c r="D367" s="3">
        <v>38</v>
      </c>
      <c r="E367">
        <f>IF(C367="","",VLOOKUP(C367,PointsSystem!$A$2:$B$41,2,FALSE()))</f>
        <v>32</v>
      </c>
    </row>
    <row r="368" spans="1:5" x14ac:dyDescent="0.3">
      <c r="A368">
        <v>10</v>
      </c>
      <c r="B368" t="s">
        <v>67</v>
      </c>
      <c r="C368">
        <v>6</v>
      </c>
      <c r="D368" s="3">
        <v>47</v>
      </c>
      <c r="E368">
        <f>IF(C368="","",VLOOKUP(C368,PointsSystem!$A$2:$B$41,2,FALSE()))</f>
        <v>31</v>
      </c>
    </row>
    <row r="369" spans="1:5" x14ac:dyDescent="0.3">
      <c r="A369">
        <v>10</v>
      </c>
      <c r="B369" t="s">
        <v>67</v>
      </c>
      <c r="C369">
        <v>7</v>
      </c>
      <c r="D369" s="3">
        <v>1</v>
      </c>
      <c r="E369">
        <f>IF(C369="","",VLOOKUP(C369,PointsSystem!$A$2:$B$41,2,FALSE()))</f>
        <v>30</v>
      </c>
    </row>
    <row r="370" spans="1:5" x14ac:dyDescent="0.3">
      <c r="A370">
        <v>10</v>
      </c>
      <c r="B370" t="s">
        <v>67</v>
      </c>
      <c r="C370">
        <v>8</v>
      </c>
      <c r="D370" s="3">
        <v>2</v>
      </c>
      <c r="E370">
        <f>IF(C370="","",VLOOKUP(C370,PointsSystem!$A$2:$B$41,2,FALSE()))</f>
        <v>29</v>
      </c>
    </row>
    <row r="371" spans="1:5" x14ac:dyDescent="0.3">
      <c r="A371">
        <v>10</v>
      </c>
      <c r="B371" t="s">
        <v>67</v>
      </c>
      <c r="C371">
        <v>9</v>
      </c>
      <c r="D371" s="3">
        <v>4</v>
      </c>
      <c r="E371">
        <f>IF(C371="","",VLOOKUP(C371,PointsSystem!$A$2:$B$41,2,FALSE()))</f>
        <v>28</v>
      </c>
    </row>
    <row r="372" spans="1:5" x14ac:dyDescent="0.3">
      <c r="A372">
        <v>10</v>
      </c>
      <c r="B372" t="s">
        <v>67</v>
      </c>
      <c r="C372">
        <v>10</v>
      </c>
      <c r="D372" s="3">
        <v>8</v>
      </c>
      <c r="E372">
        <f>IF(C372="","",VLOOKUP(C372,PointsSystem!$A$2:$B$41,2,FALSE()))</f>
        <v>27</v>
      </c>
    </row>
    <row r="373" spans="1:5" x14ac:dyDescent="0.3">
      <c r="A373">
        <v>10</v>
      </c>
      <c r="B373" t="s">
        <v>67</v>
      </c>
      <c r="C373">
        <v>11</v>
      </c>
      <c r="D373" s="3">
        <v>34</v>
      </c>
      <c r="E373">
        <f>IF(C373="","",VLOOKUP(C373,PointsSystem!$A$2:$B$41,2,FALSE()))</f>
        <v>26</v>
      </c>
    </row>
    <row r="374" spans="1:5" x14ac:dyDescent="0.3">
      <c r="A374">
        <v>10</v>
      </c>
      <c r="B374" t="s">
        <v>67</v>
      </c>
      <c r="C374">
        <v>12</v>
      </c>
      <c r="D374" s="3">
        <v>7</v>
      </c>
      <c r="E374">
        <f>IF(C374="","",VLOOKUP(C374,PointsSystem!$A$2:$B$41,2,FALSE()))</f>
        <v>25</v>
      </c>
    </row>
    <row r="375" spans="1:5" x14ac:dyDescent="0.3">
      <c r="A375">
        <v>10</v>
      </c>
      <c r="B375" t="s">
        <v>67</v>
      </c>
      <c r="C375">
        <v>13</v>
      </c>
      <c r="D375" s="3">
        <v>10</v>
      </c>
      <c r="E375">
        <f>IF(C375="","",VLOOKUP(C375,PointsSystem!$A$2:$B$41,2,FALSE()))</f>
        <v>24</v>
      </c>
    </row>
    <row r="376" spans="1:5" x14ac:dyDescent="0.3">
      <c r="A376">
        <v>10</v>
      </c>
      <c r="B376" t="s">
        <v>67</v>
      </c>
      <c r="C376">
        <v>14</v>
      </c>
      <c r="D376" s="3">
        <v>45</v>
      </c>
      <c r="E376">
        <f>IF(C376="","",VLOOKUP(C376,PointsSystem!$A$2:$B$41,2,FALSE()))</f>
        <v>23</v>
      </c>
    </row>
    <row r="377" spans="1:5" x14ac:dyDescent="0.3">
      <c r="A377">
        <v>10</v>
      </c>
      <c r="B377" t="s">
        <v>67</v>
      </c>
      <c r="C377">
        <v>15</v>
      </c>
      <c r="D377" s="3">
        <v>11</v>
      </c>
      <c r="E377">
        <f>IF(C377="","",VLOOKUP(C377,PointsSystem!$A$2:$B$41,2,FALSE()))</f>
        <v>22</v>
      </c>
    </row>
    <row r="378" spans="1:5" x14ac:dyDescent="0.3">
      <c r="A378">
        <v>10</v>
      </c>
      <c r="B378" t="s">
        <v>67</v>
      </c>
      <c r="C378">
        <v>16</v>
      </c>
      <c r="D378" s="3">
        <v>16</v>
      </c>
      <c r="E378">
        <f>IF(C378="","",VLOOKUP(C378,PointsSystem!$A$2:$B$41,2,FALSE()))</f>
        <v>21</v>
      </c>
    </row>
    <row r="379" spans="1:5" x14ac:dyDescent="0.3">
      <c r="A379">
        <v>10</v>
      </c>
      <c r="B379" t="s">
        <v>67</v>
      </c>
      <c r="C379">
        <v>17</v>
      </c>
      <c r="D379" s="3">
        <v>20</v>
      </c>
      <c r="E379">
        <f>IF(C379="","",VLOOKUP(C379,PointsSystem!$A$2:$B$41,2,FALSE()))</f>
        <v>20</v>
      </c>
    </row>
    <row r="380" spans="1:5" x14ac:dyDescent="0.3">
      <c r="A380">
        <v>10</v>
      </c>
      <c r="B380" t="s">
        <v>67</v>
      </c>
      <c r="C380">
        <v>18</v>
      </c>
      <c r="D380" s="3">
        <v>60</v>
      </c>
      <c r="E380">
        <f>IF(C380="","",VLOOKUP(C380,PointsSystem!$A$2:$B$41,2,FALSE()))</f>
        <v>19</v>
      </c>
    </row>
    <row r="381" spans="1:5" x14ac:dyDescent="0.3">
      <c r="A381">
        <v>10</v>
      </c>
      <c r="B381" t="s">
        <v>67</v>
      </c>
      <c r="C381">
        <v>19</v>
      </c>
      <c r="D381" s="3">
        <v>3</v>
      </c>
      <c r="E381">
        <f>IF(C381="","",VLOOKUP(C381,PointsSystem!$A$2:$B$41,2,FALSE()))</f>
        <v>18</v>
      </c>
    </row>
    <row r="382" spans="1:5" x14ac:dyDescent="0.3">
      <c r="A382">
        <v>10</v>
      </c>
      <c r="B382" t="s">
        <v>67</v>
      </c>
      <c r="C382">
        <v>20</v>
      </c>
      <c r="D382" s="3">
        <v>97</v>
      </c>
      <c r="E382">
        <f>IF(C382="","",VLOOKUP(C382,PointsSystem!$A$2:$B$41,2,FALSE()))</f>
        <v>17</v>
      </c>
    </row>
    <row r="383" spans="1:5" x14ac:dyDescent="0.3">
      <c r="A383">
        <v>10</v>
      </c>
      <c r="B383" t="s">
        <v>67</v>
      </c>
      <c r="C383">
        <v>21</v>
      </c>
      <c r="D383" s="3">
        <v>51</v>
      </c>
      <c r="E383">
        <f>IF(C383="","",VLOOKUP(C383,PointsSystem!$A$2:$B$41,2,FALSE()))</f>
        <v>16</v>
      </c>
    </row>
    <row r="384" spans="1:5" x14ac:dyDescent="0.3">
      <c r="A384">
        <v>10</v>
      </c>
      <c r="B384" t="s">
        <v>67</v>
      </c>
      <c r="C384">
        <v>22</v>
      </c>
      <c r="D384" s="3">
        <v>42</v>
      </c>
      <c r="E384">
        <f>IF(C384="","",VLOOKUP(C384,PointsSystem!$A$2:$B$41,2,FALSE()))</f>
        <v>15</v>
      </c>
    </row>
    <row r="385" spans="1:5" x14ac:dyDescent="0.3">
      <c r="A385">
        <v>10</v>
      </c>
      <c r="B385" t="s">
        <v>67</v>
      </c>
      <c r="C385">
        <v>23</v>
      </c>
      <c r="D385" s="3">
        <v>43</v>
      </c>
      <c r="E385">
        <f>IF(C385="","",VLOOKUP(C385,PointsSystem!$A$2:$B$41,2,FALSE()))</f>
        <v>14</v>
      </c>
    </row>
    <row r="386" spans="1:5" x14ac:dyDescent="0.3">
      <c r="A386">
        <v>10</v>
      </c>
      <c r="B386" t="s">
        <v>67</v>
      </c>
      <c r="C386">
        <v>24</v>
      </c>
      <c r="D386" s="3">
        <v>78</v>
      </c>
      <c r="E386">
        <f>IF(C386="","",VLOOKUP(C386,PointsSystem!$A$2:$B$41,2,FALSE()))</f>
        <v>13</v>
      </c>
    </row>
    <row r="387" spans="1:5" x14ac:dyDescent="0.3">
      <c r="A387">
        <v>10</v>
      </c>
      <c r="B387" t="s">
        <v>67</v>
      </c>
      <c r="C387">
        <v>25</v>
      </c>
      <c r="D387" s="3">
        <v>35</v>
      </c>
      <c r="E387">
        <f>IF(C387="","",VLOOKUP(C387,PointsSystem!$A$2:$B$41,2,FALSE()))</f>
        <v>12</v>
      </c>
    </row>
    <row r="388" spans="1:5" x14ac:dyDescent="0.3">
      <c r="A388">
        <v>10</v>
      </c>
      <c r="B388" t="s">
        <v>67</v>
      </c>
      <c r="C388">
        <v>26</v>
      </c>
      <c r="D388" s="3">
        <v>88</v>
      </c>
      <c r="E388">
        <f>IF(C388="","",VLOOKUP(C388,PointsSystem!$A$2:$B$41,2,FALSE()))</f>
        <v>11</v>
      </c>
    </row>
    <row r="389" spans="1:5" x14ac:dyDescent="0.3">
      <c r="A389">
        <v>10</v>
      </c>
      <c r="B389" t="s">
        <v>67</v>
      </c>
      <c r="C389">
        <v>27</v>
      </c>
      <c r="D389" s="3">
        <v>33</v>
      </c>
      <c r="E389">
        <f>IF(C389="","",VLOOKUP(C389,PointsSystem!$A$2:$B$41,2,FALSE()))</f>
        <v>10</v>
      </c>
    </row>
    <row r="390" spans="1:5" x14ac:dyDescent="0.3">
      <c r="A390">
        <v>10</v>
      </c>
      <c r="B390" t="s">
        <v>67</v>
      </c>
      <c r="C390">
        <v>28</v>
      </c>
      <c r="D390" s="3">
        <v>66</v>
      </c>
      <c r="E390">
        <f>IF(C390="","",VLOOKUP(C390,PointsSystem!$A$2:$B$41,2,FALSE()))</f>
        <v>9</v>
      </c>
    </row>
    <row r="391" spans="1:5" x14ac:dyDescent="0.3">
      <c r="A391">
        <v>10</v>
      </c>
      <c r="B391" t="s">
        <v>67</v>
      </c>
      <c r="C391">
        <v>29</v>
      </c>
      <c r="D391" s="3">
        <v>19</v>
      </c>
      <c r="E391">
        <f>IF(C391="","",VLOOKUP(C391,PointsSystem!$A$2:$B$41,2,FALSE()))</f>
        <v>8</v>
      </c>
    </row>
    <row r="392" spans="1:5" x14ac:dyDescent="0.3">
      <c r="A392">
        <v>10</v>
      </c>
      <c r="B392" t="s">
        <v>67</v>
      </c>
      <c r="C392">
        <v>30</v>
      </c>
      <c r="D392" s="3">
        <v>44</v>
      </c>
      <c r="E392">
        <f>IF(C392="","",VLOOKUP(C392,PointsSystem!$A$2:$B$41,2,FALSE()))</f>
        <v>7</v>
      </c>
    </row>
    <row r="393" spans="1:5" x14ac:dyDescent="0.3">
      <c r="A393">
        <v>10</v>
      </c>
      <c r="B393" t="s">
        <v>67</v>
      </c>
      <c r="C393">
        <v>31</v>
      </c>
      <c r="D393" s="3">
        <v>6</v>
      </c>
      <c r="E393">
        <f>IF(C393="","",VLOOKUP(C393,PointsSystem!$A$2:$B$41,2,FALSE()))</f>
        <v>6</v>
      </c>
    </row>
    <row r="394" spans="1:5" x14ac:dyDescent="0.3">
      <c r="A394">
        <v>10</v>
      </c>
      <c r="B394" t="s">
        <v>67</v>
      </c>
      <c r="C394">
        <v>32</v>
      </c>
      <c r="D394" s="3">
        <v>71</v>
      </c>
      <c r="E394">
        <f>IF(C394="","",VLOOKUP(C394,PointsSystem!$A$2:$B$41,2,FALSE()))</f>
        <v>5</v>
      </c>
    </row>
    <row r="395" spans="1:5" x14ac:dyDescent="0.3">
      <c r="A395">
        <v>10</v>
      </c>
      <c r="B395" t="s">
        <v>67</v>
      </c>
      <c r="C395">
        <v>33</v>
      </c>
      <c r="D395" s="3">
        <v>21</v>
      </c>
      <c r="E395">
        <f>IF(C395="","",VLOOKUP(C395,PointsSystem!$A$2:$B$41,2,FALSE()))</f>
        <v>4</v>
      </c>
    </row>
    <row r="396" spans="1:5" x14ac:dyDescent="0.3">
      <c r="A396">
        <v>10</v>
      </c>
      <c r="B396" t="s">
        <v>67</v>
      </c>
      <c r="C396">
        <v>34</v>
      </c>
      <c r="D396" s="3">
        <v>54</v>
      </c>
      <c r="E396">
        <f>IF(C396="","",VLOOKUP(C396,PointsSystem!$A$2:$B$41,2,FALSE()))</f>
        <v>3</v>
      </c>
    </row>
    <row r="397" spans="1:5" x14ac:dyDescent="0.3">
      <c r="A397">
        <v>10</v>
      </c>
      <c r="B397" t="s">
        <v>67</v>
      </c>
      <c r="C397">
        <v>35</v>
      </c>
      <c r="D397" s="3">
        <v>24</v>
      </c>
      <c r="E397">
        <f>IF(C397="","",VLOOKUP(C397,PointsSystem!$A$2:$B$41,2,FALSE()))</f>
        <v>2</v>
      </c>
    </row>
    <row r="398" spans="1:5" x14ac:dyDescent="0.3">
      <c r="A398">
        <v>10</v>
      </c>
      <c r="B398" t="s">
        <v>67</v>
      </c>
      <c r="C398">
        <v>36</v>
      </c>
      <c r="D398" s="3">
        <v>23</v>
      </c>
      <c r="E398">
        <f>IF(C398="","",VLOOKUP(C398,PointsSystem!$A$2:$B$41,2,FALSE()))</f>
        <v>1</v>
      </c>
    </row>
    <row r="399" spans="1:5" x14ac:dyDescent="0.3">
      <c r="A399">
        <v>10</v>
      </c>
      <c r="B399" t="s">
        <v>67</v>
      </c>
      <c r="C399">
        <v>37</v>
      </c>
      <c r="D399" s="3">
        <v>12</v>
      </c>
      <c r="E399">
        <f>IF(C399="","",VLOOKUP(C399,PointsSystem!$A$2:$B$41,2,FALSE()))</f>
        <v>1</v>
      </c>
    </row>
    <row r="400" spans="1:5" x14ac:dyDescent="0.3">
      <c r="A400">
        <v>10</v>
      </c>
      <c r="B400" t="s">
        <v>67</v>
      </c>
      <c r="C400">
        <v>38</v>
      </c>
      <c r="D400" s="3">
        <v>41</v>
      </c>
      <c r="E400">
        <f>IF(C400="","",VLOOKUP(C400,PointsSystem!$A$2:$B$41,2,FALSE()))</f>
        <v>1</v>
      </c>
    </row>
    <row r="401" spans="1:5" x14ac:dyDescent="0.3">
      <c r="A401">
        <v>10</v>
      </c>
      <c r="B401" t="s">
        <v>67</v>
      </c>
      <c r="C401">
        <v>39</v>
      </c>
      <c r="D401" s="3">
        <v>22</v>
      </c>
      <c r="E401">
        <f>IF(C401="","",VLOOKUP(C401,PointsSystem!$A$2:$B$41,2,FALSE()))</f>
        <v>1</v>
      </c>
    </row>
    <row r="402" spans="1:5" x14ac:dyDescent="0.3">
      <c r="A402">
        <v>10</v>
      </c>
      <c r="B402" t="s">
        <v>67</v>
      </c>
      <c r="C402">
        <v>40</v>
      </c>
      <c r="D402" s="3">
        <v>5</v>
      </c>
      <c r="E402">
        <f>IF(C402="","",VLOOKUP(C402,PointsSystem!$A$2:$B$41,2,FALSE()))</f>
        <v>1</v>
      </c>
    </row>
    <row r="403" spans="1:5" x14ac:dyDescent="0.3">
      <c r="A403">
        <v>11</v>
      </c>
      <c r="B403" t="s">
        <v>69</v>
      </c>
      <c r="C403">
        <v>1</v>
      </c>
      <c r="D403" s="3">
        <v>9</v>
      </c>
      <c r="E403">
        <f>IF(C403="","",VLOOKUP(C403,PointsSystem!$A$2:$B$41,2,FALSE()))</f>
        <v>55</v>
      </c>
    </row>
    <row r="404" spans="1:5" x14ac:dyDescent="0.3">
      <c r="A404">
        <v>11</v>
      </c>
      <c r="B404" t="s">
        <v>69</v>
      </c>
      <c r="C404">
        <v>2</v>
      </c>
      <c r="D404" s="3">
        <v>11</v>
      </c>
      <c r="E404">
        <f>IF(C404="","",VLOOKUP(C404,PointsSystem!$A$2:$B$41,2,FALSE()))</f>
        <v>35</v>
      </c>
    </row>
    <row r="405" spans="1:5" x14ac:dyDescent="0.3">
      <c r="A405">
        <v>11</v>
      </c>
      <c r="B405" t="s">
        <v>69</v>
      </c>
      <c r="C405">
        <v>3</v>
      </c>
      <c r="D405" s="3">
        <v>48</v>
      </c>
      <c r="E405">
        <f>IF(C405="","",VLOOKUP(C405,PointsSystem!$A$2:$B$41,2,FALSE()))</f>
        <v>34</v>
      </c>
    </row>
    <row r="406" spans="1:5" x14ac:dyDescent="0.3">
      <c r="A406">
        <v>11</v>
      </c>
      <c r="B406" t="s">
        <v>69</v>
      </c>
      <c r="C406">
        <v>4</v>
      </c>
      <c r="D406" s="3">
        <v>45</v>
      </c>
      <c r="E406">
        <f>IF(C406="","",VLOOKUP(C406,PointsSystem!$A$2:$B$41,2,FALSE()))</f>
        <v>33</v>
      </c>
    </row>
    <row r="407" spans="1:5" x14ac:dyDescent="0.3">
      <c r="A407">
        <v>11</v>
      </c>
      <c r="B407" t="s">
        <v>69</v>
      </c>
      <c r="C407">
        <v>5</v>
      </c>
      <c r="D407" s="3">
        <v>17</v>
      </c>
      <c r="E407">
        <f>IF(C407="","",VLOOKUP(C407,PointsSystem!$A$2:$B$41,2,FALSE()))</f>
        <v>32</v>
      </c>
    </row>
    <row r="408" spans="1:5" x14ac:dyDescent="0.3">
      <c r="A408">
        <v>11</v>
      </c>
      <c r="B408" t="s">
        <v>69</v>
      </c>
      <c r="C408">
        <v>6</v>
      </c>
      <c r="D408" s="3">
        <v>7</v>
      </c>
      <c r="E408">
        <f>IF(C408="","",VLOOKUP(C408,PointsSystem!$A$2:$B$41,2,FALSE()))</f>
        <v>31</v>
      </c>
    </row>
    <row r="409" spans="1:5" x14ac:dyDescent="0.3">
      <c r="A409">
        <v>11</v>
      </c>
      <c r="B409" t="s">
        <v>69</v>
      </c>
      <c r="C409">
        <v>7</v>
      </c>
      <c r="D409" s="3">
        <v>77</v>
      </c>
      <c r="E409">
        <f>IF(C409="","",VLOOKUP(C409,PointsSystem!$A$2:$B$41,2,FALSE()))</f>
        <v>30</v>
      </c>
    </row>
    <row r="410" spans="1:5" x14ac:dyDescent="0.3">
      <c r="A410">
        <v>11</v>
      </c>
      <c r="B410" t="s">
        <v>69</v>
      </c>
      <c r="C410">
        <v>8</v>
      </c>
      <c r="D410" s="3">
        <v>24</v>
      </c>
      <c r="E410">
        <f>IF(C410="","",VLOOKUP(C410,PointsSystem!$A$2:$B$41,2,FALSE()))</f>
        <v>29</v>
      </c>
    </row>
    <row r="411" spans="1:5" x14ac:dyDescent="0.3">
      <c r="A411">
        <v>11</v>
      </c>
      <c r="B411" t="s">
        <v>69</v>
      </c>
      <c r="C411">
        <v>9</v>
      </c>
      <c r="D411" s="3">
        <v>23</v>
      </c>
      <c r="E411">
        <f>IF(C411="","",VLOOKUP(C411,PointsSystem!$A$2:$B$41,2,FALSE()))</f>
        <v>28</v>
      </c>
    </row>
    <row r="412" spans="1:5" x14ac:dyDescent="0.3">
      <c r="A412">
        <v>11</v>
      </c>
      <c r="B412" t="s">
        <v>69</v>
      </c>
      <c r="C412">
        <v>10</v>
      </c>
      <c r="D412" s="3">
        <v>12</v>
      </c>
      <c r="E412">
        <f>IF(C412="","",VLOOKUP(C412,PointsSystem!$A$2:$B$41,2,FALSE()))</f>
        <v>27</v>
      </c>
    </row>
    <row r="413" spans="1:5" x14ac:dyDescent="0.3">
      <c r="A413">
        <v>11</v>
      </c>
      <c r="B413" t="s">
        <v>69</v>
      </c>
      <c r="C413">
        <v>11</v>
      </c>
      <c r="D413" s="3">
        <v>35</v>
      </c>
      <c r="E413">
        <f>IF(C413="","",VLOOKUP(C413,PointsSystem!$A$2:$B$41,2,FALSE()))</f>
        <v>26</v>
      </c>
    </row>
    <row r="414" spans="1:5" x14ac:dyDescent="0.3">
      <c r="A414">
        <v>11</v>
      </c>
      <c r="B414" t="s">
        <v>69</v>
      </c>
      <c r="C414">
        <v>12</v>
      </c>
      <c r="D414" s="3">
        <v>43</v>
      </c>
      <c r="E414">
        <f>IF(C414="","",VLOOKUP(C414,PointsSystem!$A$2:$B$41,2,FALSE()))</f>
        <v>25</v>
      </c>
    </row>
    <row r="415" spans="1:5" x14ac:dyDescent="0.3">
      <c r="A415">
        <v>11</v>
      </c>
      <c r="B415" t="s">
        <v>69</v>
      </c>
      <c r="C415">
        <v>13</v>
      </c>
      <c r="D415" s="3">
        <v>6</v>
      </c>
      <c r="E415">
        <f>IF(C415="","",VLOOKUP(C415,PointsSystem!$A$2:$B$41,2,FALSE()))</f>
        <v>24</v>
      </c>
    </row>
    <row r="416" spans="1:5" x14ac:dyDescent="0.3">
      <c r="A416">
        <v>11</v>
      </c>
      <c r="B416" t="s">
        <v>69</v>
      </c>
      <c r="C416">
        <v>14</v>
      </c>
      <c r="D416" s="3">
        <v>60</v>
      </c>
      <c r="E416">
        <f>IF(C416="","",VLOOKUP(C416,PointsSystem!$A$2:$B$41,2,FALSE()))</f>
        <v>23</v>
      </c>
    </row>
    <row r="417" spans="1:5" x14ac:dyDescent="0.3">
      <c r="A417">
        <v>11</v>
      </c>
      <c r="B417" t="s">
        <v>69</v>
      </c>
      <c r="C417">
        <v>15</v>
      </c>
      <c r="D417" s="3">
        <v>2</v>
      </c>
      <c r="E417">
        <f>IF(C417="","",VLOOKUP(C417,PointsSystem!$A$2:$B$41,2,FALSE()))</f>
        <v>22</v>
      </c>
    </row>
    <row r="418" spans="1:5" x14ac:dyDescent="0.3">
      <c r="A418">
        <v>11</v>
      </c>
      <c r="B418" t="s">
        <v>69</v>
      </c>
      <c r="C418">
        <v>16</v>
      </c>
      <c r="D418" s="3">
        <v>88</v>
      </c>
      <c r="E418">
        <f>IF(C418="","",VLOOKUP(C418,PointsSystem!$A$2:$B$41,2,FALSE()))</f>
        <v>21</v>
      </c>
    </row>
    <row r="419" spans="1:5" x14ac:dyDescent="0.3">
      <c r="A419">
        <v>11</v>
      </c>
      <c r="B419" t="s">
        <v>69</v>
      </c>
      <c r="C419">
        <v>17</v>
      </c>
      <c r="D419" s="3">
        <v>97</v>
      </c>
      <c r="E419">
        <f>IF(C419="","",VLOOKUP(C419,PointsSystem!$A$2:$B$41,2,FALSE()))</f>
        <v>20</v>
      </c>
    </row>
    <row r="420" spans="1:5" x14ac:dyDescent="0.3">
      <c r="A420">
        <v>11</v>
      </c>
      <c r="B420" t="s">
        <v>69</v>
      </c>
      <c r="C420">
        <v>18</v>
      </c>
      <c r="D420" s="3">
        <v>3</v>
      </c>
      <c r="E420">
        <f>IF(C420="","",VLOOKUP(C420,PointsSystem!$A$2:$B$41,2,FALSE()))</f>
        <v>19</v>
      </c>
    </row>
    <row r="421" spans="1:5" x14ac:dyDescent="0.3">
      <c r="A421">
        <v>11</v>
      </c>
      <c r="B421" t="s">
        <v>69</v>
      </c>
      <c r="C421">
        <v>19</v>
      </c>
      <c r="D421" s="3">
        <v>47</v>
      </c>
      <c r="E421">
        <f>IF(C421="","",VLOOKUP(C421,PointsSystem!$A$2:$B$41,2,FALSE()))</f>
        <v>18</v>
      </c>
    </row>
    <row r="422" spans="1:5" x14ac:dyDescent="0.3">
      <c r="A422">
        <v>11</v>
      </c>
      <c r="B422" t="s">
        <v>69</v>
      </c>
      <c r="C422">
        <v>20</v>
      </c>
      <c r="D422" s="3">
        <v>8</v>
      </c>
      <c r="E422">
        <f>IF(C422="","",VLOOKUP(C422,PointsSystem!$A$2:$B$41,2,FALSE()))</f>
        <v>17</v>
      </c>
    </row>
    <row r="423" spans="1:5" x14ac:dyDescent="0.3">
      <c r="A423">
        <v>11</v>
      </c>
      <c r="B423" t="s">
        <v>69</v>
      </c>
      <c r="C423">
        <v>21</v>
      </c>
      <c r="D423" s="3">
        <v>42</v>
      </c>
      <c r="E423">
        <f>IF(C423="","",VLOOKUP(C423,PointsSystem!$A$2:$B$41,2,FALSE()))</f>
        <v>16</v>
      </c>
    </row>
    <row r="424" spans="1:5" x14ac:dyDescent="0.3">
      <c r="A424">
        <v>11</v>
      </c>
      <c r="B424" t="s">
        <v>69</v>
      </c>
      <c r="C424">
        <v>22</v>
      </c>
      <c r="D424" s="3">
        <v>38</v>
      </c>
      <c r="E424">
        <f>IF(C424="","",VLOOKUP(C424,PointsSystem!$A$2:$B$41,2,FALSE()))</f>
        <v>15</v>
      </c>
    </row>
    <row r="425" spans="1:5" x14ac:dyDescent="0.3">
      <c r="A425">
        <v>11</v>
      </c>
      <c r="B425" t="s">
        <v>69</v>
      </c>
      <c r="C425">
        <v>23</v>
      </c>
      <c r="D425" s="3">
        <v>19</v>
      </c>
      <c r="E425">
        <f>IF(C425="","",VLOOKUP(C425,PointsSystem!$A$2:$B$41,2,FALSE()))</f>
        <v>14</v>
      </c>
    </row>
    <row r="426" spans="1:5" x14ac:dyDescent="0.3">
      <c r="A426">
        <v>11</v>
      </c>
      <c r="B426" t="s">
        <v>69</v>
      </c>
      <c r="C426">
        <v>24</v>
      </c>
      <c r="D426" s="3">
        <v>10</v>
      </c>
      <c r="E426">
        <f>IF(C426="","",VLOOKUP(C426,PointsSystem!$A$2:$B$41,2,FALSE()))</f>
        <v>13</v>
      </c>
    </row>
    <row r="427" spans="1:5" x14ac:dyDescent="0.3">
      <c r="A427">
        <v>11</v>
      </c>
      <c r="B427" t="s">
        <v>69</v>
      </c>
      <c r="C427">
        <v>25</v>
      </c>
      <c r="D427" s="3">
        <v>16</v>
      </c>
      <c r="E427">
        <f>IF(C427="","",VLOOKUP(C427,PointsSystem!$A$2:$B$41,2,FALSE()))</f>
        <v>12</v>
      </c>
    </row>
    <row r="428" spans="1:5" x14ac:dyDescent="0.3">
      <c r="A428">
        <v>11</v>
      </c>
      <c r="B428" t="s">
        <v>69</v>
      </c>
      <c r="C428">
        <v>26</v>
      </c>
      <c r="D428" s="3">
        <v>1</v>
      </c>
      <c r="E428">
        <f>IF(C428="","",VLOOKUP(C428,PointsSystem!$A$2:$B$41,2,FALSE()))</f>
        <v>11</v>
      </c>
    </row>
    <row r="429" spans="1:5" x14ac:dyDescent="0.3">
      <c r="A429">
        <v>11</v>
      </c>
      <c r="B429" t="s">
        <v>69</v>
      </c>
      <c r="C429">
        <v>27</v>
      </c>
      <c r="D429" s="3">
        <v>71</v>
      </c>
      <c r="E429">
        <f>IF(C429="","",VLOOKUP(C429,PointsSystem!$A$2:$B$41,2,FALSE()))</f>
        <v>10</v>
      </c>
    </row>
    <row r="430" spans="1:5" x14ac:dyDescent="0.3">
      <c r="A430">
        <v>11</v>
      </c>
      <c r="B430" t="s">
        <v>69</v>
      </c>
      <c r="C430">
        <v>28</v>
      </c>
      <c r="D430" s="3">
        <v>4</v>
      </c>
      <c r="E430">
        <f>IF(C430="","",VLOOKUP(C430,PointsSystem!$A$2:$B$41,2,FALSE()))</f>
        <v>9</v>
      </c>
    </row>
    <row r="431" spans="1:5" x14ac:dyDescent="0.3">
      <c r="A431">
        <v>11</v>
      </c>
      <c r="B431" t="s">
        <v>69</v>
      </c>
      <c r="C431">
        <v>29</v>
      </c>
      <c r="D431" s="3">
        <v>21</v>
      </c>
      <c r="E431">
        <f>IF(C431="","",VLOOKUP(C431,PointsSystem!$A$2:$B$41,2,FALSE()))</f>
        <v>8</v>
      </c>
    </row>
    <row r="432" spans="1:5" x14ac:dyDescent="0.3">
      <c r="A432">
        <v>11</v>
      </c>
      <c r="B432" t="s">
        <v>69</v>
      </c>
      <c r="C432">
        <v>30</v>
      </c>
      <c r="D432" s="3">
        <v>51</v>
      </c>
      <c r="E432">
        <f>IF(C432="","",VLOOKUP(C432,PointsSystem!$A$2:$B$41,2,FALSE()))</f>
        <v>7</v>
      </c>
    </row>
    <row r="433" spans="1:5" x14ac:dyDescent="0.3">
      <c r="A433">
        <v>11</v>
      </c>
      <c r="B433" t="s">
        <v>69</v>
      </c>
      <c r="C433">
        <v>31</v>
      </c>
      <c r="D433" s="3">
        <v>67</v>
      </c>
      <c r="E433">
        <f>IF(C433="","",VLOOKUP(C433,PointsSystem!$A$2:$B$41,2,FALSE()))</f>
        <v>6</v>
      </c>
    </row>
    <row r="434" spans="1:5" x14ac:dyDescent="0.3">
      <c r="A434">
        <v>11</v>
      </c>
      <c r="B434" t="s">
        <v>69</v>
      </c>
      <c r="C434">
        <v>32</v>
      </c>
      <c r="D434" s="3">
        <v>34</v>
      </c>
      <c r="E434">
        <f>IF(C434="","",VLOOKUP(C434,PointsSystem!$A$2:$B$41,2,FALSE()))</f>
        <v>5</v>
      </c>
    </row>
    <row r="435" spans="1:5" x14ac:dyDescent="0.3">
      <c r="A435">
        <v>11</v>
      </c>
      <c r="B435" t="s">
        <v>69</v>
      </c>
      <c r="C435">
        <v>33</v>
      </c>
      <c r="D435" s="3">
        <v>66</v>
      </c>
      <c r="E435">
        <f>IF(C435="","",VLOOKUP(C435,PointsSystem!$A$2:$B$41,2,FALSE()))</f>
        <v>4</v>
      </c>
    </row>
    <row r="436" spans="1:5" x14ac:dyDescent="0.3">
      <c r="A436">
        <v>11</v>
      </c>
      <c r="B436" t="s">
        <v>69</v>
      </c>
      <c r="C436">
        <v>34</v>
      </c>
      <c r="D436" s="3">
        <v>5</v>
      </c>
      <c r="E436">
        <f>IF(C436="","",VLOOKUP(C436,PointsSystem!$A$2:$B$41,2,FALSE()))</f>
        <v>3</v>
      </c>
    </row>
    <row r="437" spans="1:5" x14ac:dyDescent="0.3">
      <c r="A437">
        <v>11</v>
      </c>
      <c r="B437" t="s">
        <v>69</v>
      </c>
      <c r="C437">
        <v>35</v>
      </c>
      <c r="D437" s="3">
        <v>41</v>
      </c>
      <c r="E437">
        <f>IF(C437="","",VLOOKUP(C437,PointsSystem!$A$2:$B$41,2,FALSE()))</f>
        <v>2</v>
      </c>
    </row>
    <row r="438" spans="1:5" x14ac:dyDescent="0.3">
      <c r="A438">
        <v>11</v>
      </c>
      <c r="B438" t="s">
        <v>69</v>
      </c>
      <c r="C438">
        <v>36</v>
      </c>
      <c r="D438" s="3">
        <v>54</v>
      </c>
      <c r="E438">
        <f>IF(C438="","",VLOOKUP(C438,PointsSystem!$A$2:$B$41,2,FALSE()))</f>
        <v>1</v>
      </c>
    </row>
    <row r="439" spans="1:5" x14ac:dyDescent="0.3">
      <c r="A439">
        <v>11</v>
      </c>
      <c r="B439" t="s">
        <v>69</v>
      </c>
      <c r="C439">
        <v>37</v>
      </c>
      <c r="D439" s="3">
        <v>22</v>
      </c>
      <c r="E439">
        <f>IF(C439="","",VLOOKUP(C439,PointsSystem!$A$2:$B$41,2,FALSE()))</f>
        <v>1</v>
      </c>
    </row>
    <row r="440" spans="1:5" x14ac:dyDescent="0.3">
      <c r="A440">
        <v>11</v>
      </c>
      <c r="B440" t="s">
        <v>69</v>
      </c>
      <c r="C440">
        <v>38</v>
      </c>
      <c r="D440" s="3">
        <v>20</v>
      </c>
      <c r="E440">
        <f>IF(C440="","",VLOOKUP(C440,PointsSystem!$A$2:$B$41,2,FALSE()))</f>
        <v>1</v>
      </c>
    </row>
    <row r="441" spans="1:5" x14ac:dyDescent="0.3">
      <c r="A441">
        <v>11</v>
      </c>
      <c r="B441" t="s">
        <v>69</v>
      </c>
      <c r="C441">
        <v>39</v>
      </c>
      <c r="D441" s="3"/>
      <c r="E441">
        <f>IF(C441="","",VLOOKUP(C441,PointsSystem!$A$2:$B$41,2,FALSE()))</f>
        <v>1</v>
      </c>
    </row>
    <row r="442" spans="1:5" x14ac:dyDescent="0.3">
      <c r="A442">
        <v>11</v>
      </c>
      <c r="B442" t="s">
        <v>69</v>
      </c>
      <c r="C442">
        <v>40</v>
      </c>
      <c r="D442" s="3"/>
      <c r="E442">
        <f>IF(C442="","",VLOOKUP(C442,PointsSystem!$A$2:$B$41,2,FALSE()))</f>
        <v>1</v>
      </c>
    </row>
    <row r="443" spans="1:5" x14ac:dyDescent="0.3">
      <c r="A443">
        <v>12</v>
      </c>
      <c r="B443" t="s">
        <v>71</v>
      </c>
      <c r="C443">
        <v>1</v>
      </c>
      <c r="D443" s="3">
        <v>97</v>
      </c>
      <c r="E443">
        <f>IF(C443="","",VLOOKUP(C443,PointsSystem!$A$2:$B$41,2,FALSE()))</f>
        <v>55</v>
      </c>
    </row>
    <row r="444" spans="1:5" x14ac:dyDescent="0.3">
      <c r="A444">
        <v>12</v>
      </c>
      <c r="B444" t="s">
        <v>71</v>
      </c>
      <c r="C444">
        <v>2</v>
      </c>
      <c r="D444" s="3">
        <v>71</v>
      </c>
      <c r="E444">
        <f>IF(C444="","",VLOOKUP(C444,PointsSystem!$A$2:$B$41,2,FALSE()))</f>
        <v>35</v>
      </c>
    </row>
    <row r="445" spans="1:5" x14ac:dyDescent="0.3">
      <c r="A445">
        <v>12</v>
      </c>
      <c r="B445" t="s">
        <v>71</v>
      </c>
      <c r="C445">
        <v>3</v>
      </c>
      <c r="D445" s="3">
        <v>54</v>
      </c>
      <c r="E445">
        <f>IF(C445="","",VLOOKUP(C445,PointsSystem!$A$2:$B$41,2,FALSE()))</f>
        <v>34</v>
      </c>
    </row>
    <row r="446" spans="1:5" x14ac:dyDescent="0.3">
      <c r="A446">
        <v>12</v>
      </c>
      <c r="B446" t="s">
        <v>71</v>
      </c>
      <c r="C446">
        <v>4</v>
      </c>
      <c r="D446" s="3">
        <v>19</v>
      </c>
      <c r="E446">
        <f>IF(C446="","",VLOOKUP(C446,PointsSystem!$A$2:$B$41,2,FALSE()))</f>
        <v>33</v>
      </c>
    </row>
    <row r="447" spans="1:5" x14ac:dyDescent="0.3">
      <c r="A447">
        <v>12</v>
      </c>
      <c r="B447" t="s">
        <v>71</v>
      </c>
      <c r="C447">
        <v>5</v>
      </c>
      <c r="D447" s="3">
        <v>45</v>
      </c>
      <c r="E447">
        <f>IF(C447="","",VLOOKUP(C447,PointsSystem!$A$2:$B$41,2,FALSE()))</f>
        <v>32</v>
      </c>
    </row>
    <row r="448" spans="1:5" x14ac:dyDescent="0.3">
      <c r="A448">
        <v>12</v>
      </c>
      <c r="B448" t="s">
        <v>71</v>
      </c>
      <c r="C448">
        <v>6</v>
      </c>
      <c r="D448" s="3">
        <v>3</v>
      </c>
      <c r="E448">
        <f>IF(C448="","",VLOOKUP(C448,PointsSystem!$A$2:$B$41,2,FALSE()))</f>
        <v>31</v>
      </c>
    </row>
    <row r="449" spans="1:5" x14ac:dyDescent="0.3">
      <c r="A449">
        <v>12</v>
      </c>
      <c r="B449" t="s">
        <v>71</v>
      </c>
      <c r="C449">
        <v>7</v>
      </c>
      <c r="D449" s="3">
        <v>16</v>
      </c>
      <c r="E449">
        <f>IF(C449="","",VLOOKUP(C449,PointsSystem!$A$2:$B$41,2,FALSE()))</f>
        <v>30</v>
      </c>
    </row>
    <row r="450" spans="1:5" x14ac:dyDescent="0.3">
      <c r="A450">
        <v>12</v>
      </c>
      <c r="B450" t="s">
        <v>71</v>
      </c>
      <c r="C450">
        <v>8</v>
      </c>
      <c r="D450" s="3">
        <v>8</v>
      </c>
      <c r="E450">
        <f>IF(C450="","",VLOOKUP(C450,PointsSystem!$A$2:$B$41,2,FALSE()))</f>
        <v>29</v>
      </c>
    </row>
    <row r="451" spans="1:5" x14ac:dyDescent="0.3">
      <c r="A451">
        <v>12</v>
      </c>
      <c r="B451" t="s">
        <v>71</v>
      </c>
      <c r="C451">
        <v>9</v>
      </c>
      <c r="D451" s="3">
        <v>2</v>
      </c>
      <c r="E451">
        <f>IF(C451="","",VLOOKUP(C451,PointsSystem!$A$2:$B$41,2,FALSE()))</f>
        <v>28</v>
      </c>
    </row>
    <row r="452" spans="1:5" x14ac:dyDescent="0.3">
      <c r="A452">
        <v>12</v>
      </c>
      <c r="B452" t="s">
        <v>71</v>
      </c>
      <c r="C452">
        <v>10</v>
      </c>
      <c r="D452" s="3">
        <v>42</v>
      </c>
      <c r="E452">
        <f>IF(C452="","",VLOOKUP(C452,PointsSystem!$A$2:$B$41,2,FALSE()))</f>
        <v>27</v>
      </c>
    </row>
    <row r="453" spans="1:5" x14ac:dyDescent="0.3">
      <c r="A453">
        <v>12</v>
      </c>
      <c r="B453" t="s">
        <v>71</v>
      </c>
      <c r="C453">
        <v>11</v>
      </c>
      <c r="D453" s="3">
        <v>12</v>
      </c>
      <c r="E453">
        <f>IF(C453="","",VLOOKUP(C453,PointsSystem!$A$2:$B$41,2,FALSE()))</f>
        <v>26</v>
      </c>
    </row>
    <row r="454" spans="1:5" x14ac:dyDescent="0.3">
      <c r="A454">
        <v>12</v>
      </c>
      <c r="B454" t="s">
        <v>71</v>
      </c>
      <c r="C454">
        <v>12</v>
      </c>
      <c r="D454" s="3">
        <v>17</v>
      </c>
      <c r="E454">
        <f>IF(C454="","",VLOOKUP(C454,PointsSystem!$A$2:$B$41,2,FALSE()))</f>
        <v>25</v>
      </c>
    </row>
    <row r="455" spans="1:5" x14ac:dyDescent="0.3">
      <c r="A455">
        <v>12</v>
      </c>
      <c r="B455" t="s">
        <v>71</v>
      </c>
      <c r="C455">
        <v>13</v>
      </c>
      <c r="D455" s="3">
        <v>7</v>
      </c>
      <c r="E455">
        <f>IF(C455="","",VLOOKUP(C455,PointsSystem!$A$2:$B$41,2,FALSE()))</f>
        <v>24</v>
      </c>
    </row>
    <row r="456" spans="1:5" x14ac:dyDescent="0.3">
      <c r="A456">
        <v>12</v>
      </c>
      <c r="B456" t="s">
        <v>71</v>
      </c>
      <c r="C456">
        <v>14</v>
      </c>
      <c r="D456" s="3">
        <v>60</v>
      </c>
      <c r="E456">
        <f>IF(C456="","",VLOOKUP(C456,PointsSystem!$A$2:$B$41,2,FALSE()))</f>
        <v>23</v>
      </c>
    </row>
    <row r="457" spans="1:5" x14ac:dyDescent="0.3">
      <c r="A457">
        <v>12</v>
      </c>
      <c r="B457" t="s">
        <v>71</v>
      </c>
      <c r="C457">
        <v>15</v>
      </c>
      <c r="D457" s="3">
        <v>41</v>
      </c>
      <c r="E457">
        <f>IF(C457="","",VLOOKUP(C457,PointsSystem!$A$2:$B$41,2,FALSE()))</f>
        <v>22</v>
      </c>
    </row>
    <row r="458" spans="1:5" x14ac:dyDescent="0.3">
      <c r="A458">
        <v>12</v>
      </c>
      <c r="B458" t="s">
        <v>71</v>
      </c>
      <c r="C458">
        <v>16</v>
      </c>
      <c r="D458" s="3">
        <v>11</v>
      </c>
      <c r="E458">
        <f>IF(C458="","",VLOOKUP(C458,PointsSystem!$A$2:$B$41,2,FALSE()))</f>
        <v>21</v>
      </c>
    </row>
    <row r="459" spans="1:5" x14ac:dyDescent="0.3">
      <c r="A459">
        <v>12</v>
      </c>
      <c r="B459" t="s">
        <v>71</v>
      </c>
      <c r="C459">
        <v>17</v>
      </c>
      <c r="D459" s="3">
        <v>34</v>
      </c>
      <c r="E459">
        <f>IF(C459="","",VLOOKUP(C459,PointsSystem!$A$2:$B$41,2,FALSE()))</f>
        <v>20</v>
      </c>
    </row>
    <row r="460" spans="1:5" x14ac:dyDescent="0.3">
      <c r="A460">
        <v>12</v>
      </c>
      <c r="B460" t="s">
        <v>71</v>
      </c>
      <c r="C460">
        <v>18</v>
      </c>
      <c r="D460" s="3">
        <v>38</v>
      </c>
      <c r="E460">
        <f>IF(C460="","",VLOOKUP(C460,PointsSystem!$A$2:$B$41,2,FALSE()))</f>
        <v>19</v>
      </c>
    </row>
    <row r="461" spans="1:5" x14ac:dyDescent="0.3">
      <c r="A461">
        <v>12</v>
      </c>
      <c r="B461" t="s">
        <v>71</v>
      </c>
      <c r="C461">
        <v>19</v>
      </c>
      <c r="D461" s="3">
        <v>43</v>
      </c>
      <c r="E461">
        <f>IF(C461="","",VLOOKUP(C461,PointsSystem!$A$2:$B$41,2,FALSE()))</f>
        <v>18</v>
      </c>
    </row>
    <row r="462" spans="1:5" x14ac:dyDescent="0.3">
      <c r="A462">
        <v>12</v>
      </c>
      <c r="B462" t="s">
        <v>71</v>
      </c>
      <c r="C462">
        <v>20</v>
      </c>
      <c r="D462" s="3">
        <v>88</v>
      </c>
      <c r="E462">
        <f>IF(C462="","",VLOOKUP(C462,PointsSystem!$A$2:$B$41,2,FALSE()))</f>
        <v>17</v>
      </c>
    </row>
    <row r="463" spans="1:5" x14ac:dyDescent="0.3">
      <c r="A463">
        <v>12</v>
      </c>
      <c r="B463" t="s">
        <v>71</v>
      </c>
      <c r="C463">
        <v>21</v>
      </c>
      <c r="D463" s="3">
        <v>20</v>
      </c>
      <c r="E463">
        <f>IF(C463="","",VLOOKUP(C463,PointsSystem!$A$2:$B$41,2,FALSE()))</f>
        <v>16</v>
      </c>
    </row>
    <row r="464" spans="1:5" x14ac:dyDescent="0.3">
      <c r="A464">
        <v>12</v>
      </c>
      <c r="B464" t="s">
        <v>71</v>
      </c>
      <c r="C464">
        <v>22</v>
      </c>
      <c r="D464" s="3">
        <v>4</v>
      </c>
      <c r="E464">
        <f>IF(C464="","",VLOOKUP(C464,PointsSystem!$A$2:$B$41,2,FALSE()))</f>
        <v>15</v>
      </c>
    </row>
    <row r="465" spans="1:5" x14ac:dyDescent="0.3">
      <c r="A465">
        <v>12</v>
      </c>
      <c r="B465" t="s">
        <v>71</v>
      </c>
      <c r="C465">
        <v>23</v>
      </c>
      <c r="D465" s="3">
        <v>5</v>
      </c>
      <c r="E465">
        <f>IF(C465="","",VLOOKUP(C465,PointsSystem!$A$2:$B$41,2,FALSE()))</f>
        <v>14</v>
      </c>
    </row>
    <row r="466" spans="1:5" x14ac:dyDescent="0.3">
      <c r="A466">
        <v>12</v>
      </c>
      <c r="B466" t="s">
        <v>71</v>
      </c>
      <c r="C466">
        <v>24</v>
      </c>
      <c r="D466" s="3">
        <v>9</v>
      </c>
      <c r="E466">
        <f>IF(C466="","",VLOOKUP(C466,PointsSystem!$A$2:$B$41,2,FALSE()))</f>
        <v>13</v>
      </c>
    </row>
    <row r="467" spans="1:5" x14ac:dyDescent="0.3">
      <c r="A467">
        <v>12</v>
      </c>
      <c r="B467" t="s">
        <v>71</v>
      </c>
      <c r="C467">
        <v>25</v>
      </c>
      <c r="D467" s="3">
        <v>48</v>
      </c>
      <c r="E467">
        <f>IF(C467="","",VLOOKUP(C467,PointsSystem!$A$2:$B$41,2,FALSE()))</f>
        <v>12</v>
      </c>
    </row>
    <row r="468" spans="1:5" x14ac:dyDescent="0.3">
      <c r="A468">
        <v>12</v>
      </c>
      <c r="B468" t="s">
        <v>71</v>
      </c>
      <c r="C468">
        <v>26</v>
      </c>
      <c r="D468" s="3">
        <v>35</v>
      </c>
      <c r="E468">
        <f>IF(C468="","",VLOOKUP(C468,PointsSystem!$A$2:$B$41,2,FALSE()))</f>
        <v>11</v>
      </c>
    </row>
    <row r="469" spans="1:5" x14ac:dyDescent="0.3">
      <c r="A469">
        <v>12</v>
      </c>
      <c r="B469" t="s">
        <v>71</v>
      </c>
      <c r="C469">
        <v>27</v>
      </c>
      <c r="D469" s="3">
        <v>1</v>
      </c>
      <c r="E469">
        <f>IF(C469="","",VLOOKUP(C469,PointsSystem!$A$2:$B$41,2,FALSE()))</f>
        <v>10</v>
      </c>
    </row>
    <row r="470" spans="1:5" x14ac:dyDescent="0.3">
      <c r="A470">
        <v>12</v>
      </c>
      <c r="B470" t="s">
        <v>71</v>
      </c>
      <c r="C470">
        <v>28</v>
      </c>
      <c r="D470" s="3">
        <v>77</v>
      </c>
      <c r="E470">
        <f>IF(C470="","",VLOOKUP(C470,PointsSystem!$A$2:$B$41,2,FALSE()))</f>
        <v>9</v>
      </c>
    </row>
    <row r="471" spans="1:5" x14ac:dyDescent="0.3">
      <c r="A471">
        <v>12</v>
      </c>
      <c r="B471" t="s">
        <v>71</v>
      </c>
      <c r="C471">
        <v>29</v>
      </c>
      <c r="D471" s="3">
        <v>23</v>
      </c>
      <c r="E471">
        <f>IF(C471="","",VLOOKUP(C471,PointsSystem!$A$2:$B$41,2,FALSE()))</f>
        <v>8</v>
      </c>
    </row>
    <row r="472" spans="1:5" x14ac:dyDescent="0.3">
      <c r="A472">
        <v>12</v>
      </c>
      <c r="B472" t="s">
        <v>71</v>
      </c>
      <c r="C472">
        <v>30</v>
      </c>
      <c r="D472" s="3">
        <v>6</v>
      </c>
      <c r="E472">
        <f>IF(C472="","",VLOOKUP(C472,PointsSystem!$A$2:$B$41,2,FALSE()))</f>
        <v>7</v>
      </c>
    </row>
    <row r="473" spans="1:5" x14ac:dyDescent="0.3">
      <c r="A473">
        <v>12</v>
      </c>
      <c r="B473" t="s">
        <v>71</v>
      </c>
      <c r="C473">
        <v>31</v>
      </c>
      <c r="D473" s="3">
        <v>47</v>
      </c>
      <c r="E473">
        <f>IF(C473="","",VLOOKUP(C473,PointsSystem!$A$2:$B$41,2,FALSE()))</f>
        <v>6</v>
      </c>
    </row>
    <row r="474" spans="1:5" x14ac:dyDescent="0.3">
      <c r="A474">
        <v>12</v>
      </c>
      <c r="B474" t="s">
        <v>71</v>
      </c>
      <c r="C474">
        <v>32</v>
      </c>
      <c r="D474" s="3">
        <v>21</v>
      </c>
      <c r="E474">
        <f>IF(C474="","",VLOOKUP(C474,PointsSystem!$A$2:$B$41,2,FALSE()))</f>
        <v>5</v>
      </c>
    </row>
    <row r="475" spans="1:5" x14ac:dyDescent="0.3">
      <c r="A475">
        <v>12</v>
      </c>
      <c r="B475" t="s">
        <v>71</v>
      </c>
      <c r="C475">
        <v>33</v>
      </c>
      <c r="D475" s="3">
        <v>10</v>
      </c>
      <c r="E475">
        <f>IF(C475="","",VLOOKUP(C475,PointsSystem!$A$2:$B$41,2,FALSE()))</f>
        <v>4</v>
      </c>
    </row>
    <row r="476" spans="1:5" x14ac:dyDescent="0.3">
      <c r="A476">
        <v>12</v>
      </c>
      <c r="B476" t="s">
        <v>71</v>
      </c>
      <c r="C476">
        <v>34</v>
      </c>
      <c r="D476" s="3">
        <v>66</v>
      </c>
      <c r="E476">
        <f>IF(C476="","",VLOOKUP(C476,PointsSystem!$A$2:$B$41,2,FALSE()))</f>
        <v>3</v>
      </c>
    </row>
    <row r="477" spans="1:5" x14ac:dyDescent="0.3">
      <c r="A477">
        <v>12</v>
      </c>
      <c r="B477" t="s">
        <v>71</v>
      </c>
      <c r="C477">
        <v>35</v>
      </c>
      <c r="D477" s="3">
        <v>78</v>
      </c>
      <c r="E477">
        <f>IF(C477="","",VLOOKUP(C477,PointsSystem!$A$2:$B$41,2,FALSE()))</f>
        <v>2</v>
      </c>
    </row>
    <row r="478" spans="1:5" x14ac:dyDescent="0.3">
      <c r="A478">
        <v>12</v>
      </c>
      <c r="B478" t="s">
        <v>71</v>
      </c>
      <c r="C478">
        <v>36</v>
      </c>
      <c r="D478" s="3">
        <v>24</v>
      </c>
      <c r="E478">
        <f>IF(C478="","",VLOOKUP(C478,PointsSystem!$A$2:$B$41,2,FALSE()))</f>
        <v>1</v>
      </c>
    </row>
    <row r="479" spans="1:5" x14ac:dyDescent="0.3">
      <c r="A479">
        <v>12</v>
      </c>
      <c r="B479" t="s">
        <v>71</v>
      </c>
      <c r="C479">
        <v>37</v>
      </c>
      <c r="D479" s="3">
        <v>51</v>
      </c>
      <c r="E479">
        <f>IF(C479="","",VLOOKUP(C479,PointsSystem!$A$2:$B$41,2,FALSE()))</f>
        <v>1</v>
      </c>
    </row>
    <row r="480" spans="1:5" x14ac:dyDescent="0.3">
      <c r="A480">
        <v>12</v>
      </c>
      <c r="B480" t="s">
        <v>71</v>
      </c>
      <c r="C480">
        <v>38</v>
      </c>
      <c r="D480" s="3">
        <v>22</v>
      </c>
      <c r="E480">
        <f>IF(C480="","",VLOOKUP(C480,PointsSystem!$A$2:$B$41,2,FALSE()))</f>
        <v>1</v>
      </c>
    </row>
    <row r="481" spans="1:5" x14ac:dyDescent="0.3">
      <c r="A481">
        <v>12</v>
      </c>
      <c r="B481" t="s">
        <v>71</v>
      </c>
      <c r="C481">
        <v>39</v>
      </c>
      <c r="D481" s="3"/>
      <c r="E481">
        <f>IF(C481="","",VLOOKUP(C481,PointsSystem!$A$2:$B$41,2,FALSE()))</f>
        <v>1</v>
      </c>
    </row>
    <row r="482" spans="1:5" x14ac:dyDescent="0.3">
      <c r="A482">
        <v>12</v>
      </c>
      <c r="B482" t="s">
        <v>71</v>
      </c>
      <c r="C482">
        <v>40</v>
      </c>
      <c r="D482" s="3"/>
      <c r="E482">
        <f>IF(C482="","",VLOOKUP(C482,PointsSystem!$A$2:$B$41,2,FALSE()))</f>
        <v>1</v>
      </c>
    </row>
    <row r="483" spans="1:5" x14ac:dyDescent="0.3">
      <c r="A483">
        <v>13</v>
      </c>
      <c r="B483" t="s">
        <v>73</v>
      </c>
      <c r="C483">
        <v>1</v>
      </c>
      <c r="D483" s="3"/>
      <c r="E483">
        <f>IF(C483="","",VLOOKUP(C483,PointsSystem!$A$2:$B$41,2,FALSE()))</f>
        <v>55</v>
      </c>
    </row>
    <row r="484" spans="1:5" x14ac:dyDescent="0.3">
      <c r="A484">
        <v>13</v>
      </c>
      <c r="B484" t="s">
        <v>73</v>
      </c>
      <c r="C484">
        <v>2</v>
      </c>
      <c r="D484" s="3"/>
      <c r="E484">
        <f>IF(C484="","",VLOOKUP(C484,PointsSystem!$A$2:$B$41,2,FALSE()))</f>
        <v>35</v>
      </c>
    </row>
    <row r="485" spans="1:5" x14ac:dyDescent="0.3">
      <c r="A485">
        <v>13</v>
      </c>
      <c r="B485" t="s">
        <v>73</v>
      </c>
      <c r="C485">
        <v>3</v>
      </c>
      <c r="D485" s="3"/>
      <c r="E485">
        <f>IF(C485="","",VLOOKUP(C485,PointsSystem!$A$2:$B$41,2,FALSE()))</f>
        <v>34</v>
      </c>
    </row>
    <row r="486" spans="1:5" x14ac:dyDescent="0.3">
      <c r="A486">
        <v>13</v>
      </c>
      <c r="B486" t="s">
        <v>73</v>
      </c>
      <c r="C486">
        <v>4</v>
      </c>
      <c r="D486" s="3"/>
      <c r="E486">
        <f>IF(C486="","",VLOOKUP(C486,PointsSystem!$A$2:$B$41,2,FALSE()))</f>
        <v>33</v>
      </c>
    </row>
    <row r="487" spans="1:5" x14ac:dyDescent="0.3">
      <c r="A487">
        <v>13</v>
      </c>
      <c r="B487" t="s">
        <v>73</v>
      </c>
      <c r="C487">
        <v>5</v>
      </c>
      <c r="D487" s="3"/>
      <c r="E487">
        <f>IF(C487="","",VLOOKUP(C487,PointsSystem!$A$2:$B$41,2,FALSE()))</f>
        <v>32</v>
      </c>
    </row>
    <row r="488" spans="1:5" x14ac:dyDescent="0.3">
      <c r="A488">
        <v>13</v>
      </c>
      <c r="B488" t="s">
        <v>73</v>
      </c>
      <c r="C488">
        <v>6</v>
      </c>
      <c r="D488" s="3"/>
      <c r="E488">
        <f>IF(C488="","",VLOOKUP(C488,PointsSystem!$A$2:$B$41,2,FALSE()))</f>
        <v>31</v>
      </c>
    </row>
    <row r="489" spans="1:5" x14ac:dyDescent="0.3">
      <c r="A489">
        <v>13</v>
      </c>
      <c r="B489" t="s">
        <v>73</v>
      </c>
      <c r="C489">
        <v>7</v>
      </c>
      <c r="D489" s="3"/>
      <c r="E489">
        <f>IF(C489="","",VLOOKUP(C489,PointsSystem!$A$2:$B$41,2,FALSE()))</f>
        <v>30</v>
      </c>
    </row>
    <row r="490" spans="1:5" x14ac:dyDescent="0.3">
      <c r="A490">
        <v>13</v>
      </c>
      <c r="B490" t="s">
        <v>73</v>
      </c>
      <c r="C490">
        <v>8</v>
      </c>
      <c r="D490" s="3"/>
      <c r="E490">
        <f>IF(C490="","",VLOOKUP(C490,PointsSystem!$A$2:$B$41,2,FALSE()))</f>
        <v>29</v>
      </c>
    </row>
    <row r="491" spans="1:5" x14ac:dyDescent="0.3">
      <c r="A491">
        <v>13</v>
      </c>
      <c r="B491" t="s">
        <v>73</v>
      </c>
      <c r="C491">
        <v>9</v>
      </c>
      <c r="D491" s="3"/>
      <c r="E491">
        <f>IF(C491="","",VLOOKUP(C491,PointsSystem!$A$2:$B$41,2,FALSE()))</f>
        <v>28</v>
      </c>
    </row>
    <row r="492" spans="1:5" x14ac:dyDescent="0.3">
      <c r="A492">
        <v>13</v>
      </c>
      <c r="B492" t="s">
        <v>73</v>
      </c>
      <c r="C492">
        <v>10</v>
      </c>
      <c r="D492" s="3"/>
      <c r="E492">
        <f>IF(C492="","",VLOOKUP(C492,PointsSystem!$A$2:$B$41,2,FALSE()))</f>
        <v>27</v>
      </c>
    </row>
    <row r="493" spans="1:5" x14ac:dyDescent="0.3">
      <c r="A493">
        <v>13</v>
      </c>
      <c r="B493" t="s">
        <v>73</v>
      </c>
      <c r="C493">
        <v>11</v>
      </c>
      <c r="D493" s="3"/>
      <c r="E493">
        <f>IF(C493="","",VLOOKUP(C493,PointsSystem!$A$2:$B$41,2,FALSE()))</f>
        <v>26</v>
      </c>
    </row>
    <row r="494" spans="1:5" x14ac:dyDescent="0.3">
      <c r="A494">
        <v>13</v>
      </c>
      <c r="B494" t="s">
        <v>73</v>
      </c>
      <c r="C494">
        <v>12</v>
      </c>
      <c r="D494" s="3"/>
      <c r="E494">
        <f>IF(C494="","",VLOOKUP(C494,PointsSystem!$A$2:$B$41,2,FALSE()))</f>
        <v>25</v>
      </c>
    </row>
    <row r="495" spans="1:5" x14ac:dyDescent="0.3">
      <c r="A495">
        <v>13</v>
      </c>
      <c r="B495" t="s">
        <v>73</v>
      </c>
      <c r="C495">
        <v>13</v>
      </c>
      <c r="D495" s="3"/>
      <c r="E495">
        <f>IF(C495="","",VLOOKUP(C495,PointsSystem!$A$2:$B$41,2,FALSE()))</f>
        <v>24</v>
      </c>
    </row>
    <row r="496" spans="1:5" x14ac:dyDescent="0.3">
      <c r="A496">
        <v>13</v>
      </c>
      <c r="B496" t="s">
        <v>73</v>
      </c>
      <c r="C496">
        <v>14</v>
      </c>
      <c r="D496" s="3"/>
      <c r="E496">
        <f>IF(C496="","",VLOOKUP(C496,PointsSystem!$A$2:$B$41,2,FALSE()))</f>
        <v>23</v>
      </c>
    </row>
    <row r="497" spans="1:5" x14ac:dyDescent="0.3">
      <c r="A497">
        <v>13</v>
      </c>
      <c r="B497" t="s">
        <v>73</v>
      </c>
      <c r="C497">
        <v>15</v>
      </c>
      <c r="D497" s="3"/>
      <c r="E497">
        <f>IF(C497="","",VLOOKUP(C497,PointsSystem!$A$2:$B$41,2,FALSE()))</f>
        <v>22</v>
      </c>
    </row>
    <row r="498" spans="1:5" x14ac:dyDescent="0.3">
      <c r="A498">
        <v>13</v>
      </c>
      <c r="B498" t="s">
        <v>73</v>
      </c>
      <c r="C498">
        <v>16</v>
      </c>
      <c r="D498" s="3"/>
      <c r="E498">
        <f>IF(C498="","",VLOOKUP(C498,PointsSystem!$A$2:$B$41,2,FALSE()))</f>
        <v>21</v>
      </c>
    </row>
    <row r="499" spans="1:5" x14ac:dyDescent="0.3">
      <c r="A499">
        <v>13</v>
      </c>
      <c r="B499" t="s">
        <v>73</v>
      </c>
      <c r="C499">
        <v>17</v>
      </c>
      <c r="D499" s="3"/>
      <c r="E499">
        <f>IF(C499="","",VLOOKUP(C499,PointsSystem!$A$2:$B$41,2,FALSE()))</f>
        <v>20</v>
      </c>
    </row>
    <row r="500" spans="1:5" x14ac:dyDescent="0.3">
      <c r="A500">
        <v>13</v>
      </c>
      <c r="B500" t="s">
        <v>73</v>
      </c>
      <c r="C500">
        <v>18</v>
      </c>
      <c r="D500" s="3"/>
      <c r="E500">
        <f>IF(C500="","",VLOOKUP(C500,PointsSystem!$A$2:$B$41,2,FALSE()))</f>
        <v>19</v>
      </c>
    </row>
    <row r="501" spans="1:5" x14ac:dyDescent="0.3">
      <c r="A501">
        <v>13</v>
      </c>
      <c r="B501" t="s">
        <v>73</v>
      </c>
      <c r="C501">
        <v>19</v>
      </c>
      <c r="D501" s="3"/>
      <c r="E501">
        <f>IF(C501="","",VLOOKUP(C501,PointsSystem!$A$2:$B$41,2,FALSE()))</f>
        <v>18</v>
      </c>
    </row>
    <row r="502" spans="1:5" x14ac:dyDescent="0.3">
      <c r="A502">
        <v>13</v>
      </c>
      <c r="B502" t="s">
        <v>73</v>
      </c>
      <c r="C502">
        <v>20</v>
      </c>
      <c r="D502" s="3"/>
      <c r="E502">
        <f>IF(C502="","",VLOOKUP(C502,PointsSystem!$A$2:$B$41,2,FALSE()))</f>
        <v>17</v>
      </c>
    </row>
    <row r="503" spans="1:5" x14ac:dyDescent="0.3">
      <c r="A503">
        <v>13</v>
      </c>
      <c r="B503" t="s">
        <v>73</v>
      </c>
      <c r="C503">
        <v>21</v>
      </c>
      <c r="D503" s="3"/>
      <c r="E503">
        <f>IF(C503="","",VLOOKUP(C503,PointsSystem!$A$2:$B$41,2,FALSE()))</f>
        <v>16</v>
      </c>
    </row>
    <row r="504" spans="1:5" x14ac:dyDescent="0.3">
      <c r="A504">
        <v>13</v>
      </c>
      <c r="B504" t="s">
        <v>73</v>
      </c>
      <c r="C504">
        <v>22</v>
      </c>
      <c r="D504" s="3"/>
      <c r="E504">
        <f>IF(C504="","",VLOOKUP(C504,PointsSystem!$A$2:$B$41,2,FALSE()))</f>
        <v>15</v>
      </c>
    </row>
    <row r="505" spans="1:5" x14ac:dyDescent="0.3">
      <c r="A505">
        <v>13</v>
      </c>
      <c r="B505" t="s">
        <v>73</v>
      </c>
      <c r="C505">
        <v>23</v>
      </c>
      <c r="D505" s="3"/>
      <c r="E505">
        <f>IF(C505="","",VLOOKUP(C505,PointsSystem!$A$2:$B$41,2,FALSE()))</f>
        <v>14</v>
      </c>
    </row>
    <row r="506" spans="1:5" x14ac:dyDescent="0.3">
      <c r="A506">
        <v>13</v>
      </c>
      <c r="B506" t="s">
        <v>73</v>
      </c>
      <c r="C506">
        <v>24</v>
      </c>
      <c r="D506" s="3"/>
      <c r="E506">
        <f>IF(C506="","",VLOOKUP(C506,PointsSystem!$A$2:$B$41,2,FALSE()))</f>
        <v>13</v>
      </c>
    </row>
    <row r="507" spans="1:5" x14ac:dyDescent="0.3">
      <c r="A507">
        <v>13</v>
      </c>
      <c r="B507" t="s">
        <v>73</v>
      </c>
      <c r="C507">
        <v>25</v>
      </c>
      <c r="D507" s="3"/>
      <c r="E507">
        <f>IF(C507="","",VLOOKUP(C507,PointsSystem!$A$2:$B$41,2,FALSE()))</f>
        <v>12</v>
      </c>
    </row>
    <row r="508" spans="1:5" x14ac:dyDescent="0.3">
      <c r="A508">
        <v>13</v>
      </c>
      <c r="B508" t="s">
        <v>73</v>
      </c>
      <c r="C508">
        <v>26</v>
      </c>
      <c r="D508" s="3"/>
      <c r="E508">
        <f>IF(C508="","",VLOOKUP(C508,PointsSystem!$A$2:$B$41,2,FALSE()))</f>
        <v>11</v>
      </c>
    </row>
    <row r="509" spans="1:5" x14ac:dyDescent="0.3">
      <c r="A509">
        <v>13</v>
      </c>
      <c r="B509" t="s">
        <v>73</v>
      </c>
      <c r="C509">
        <v>27</v>
      </c>
      <c r="D509" s="3"/>
      <c r="E509">
        <f>IF(C509="","",VLOOKUP(C509,PointsSystem!$A$2:$B$41,2,FALSE()))</f>
        <v>10</v>
      </c>
    </row>
    <row r="510" spans="1:5" x14ac:dyDescent="0.3">
      <c r="A510">
        <v>13</v>
      </c>
      <c r="B510" t="s">
        <v>73</v>
      </c>
      <c r="C510">
        <v>28</v>
      </c>
      <c r="D510" s="3"/>
      <c r="E510">
        <f>IF(C510="","",VLOOKUP(C510,PointsSystem!$A$2:$B$41,2,FALSE()))</f>
        <v>9</v>
      </c>
    </row>
    <row r="511" spans="1:5" x14ac:dyDescent="0.3">
      <c r="A511">
        <v>13</v>
      </c>
      <c r="B511" t="s">
        <v>73</v>
      </c>
      <c r="C511">
        <v>29</v>
      </c>
      <c r="D511" s="3"/>
      <c r="E511">
        <f>IF(C511="","",VLOOKUP(C511,PointsSystem!$A$2:$B$41,2,FALSE()))</f>
        <v>8</v>
      </c>
    </row>
    <row r="512" spans="1:5" x14ac:dyDescent="0.3">
      <c r="A512">
        <v>13</v>
      </c>
      <c r="B512" t="s">
        <v>73</v>
      </c>
      <c r="C512">
        <v>30</v>
      </c>
      <c r="D512" s="3"/>
      <c r="E512">
        <f>IF(C512="","",VLOOKUP(C512,PointsSystem!$A$2:$B$41,2,FALSE()))</f>
        <v>7</v>
      </c>
    </row>
    <row r="513" spans="1:5" x14ac:dyDescent="0.3">
      <c r="A513">
        <v>13</v>
      </c>
      <c r="B513" t="s">
        <v>73</v>
      </c>
      <c r="C513">
        <v>31</v>
      </c>
      <c r="D513" s="3"/>
      <c r="E513">
        <f>IF(C513="","",VLOOKUP(C513,PointsSystem!$A$2:$B$41,2,FALSE()))</f>
        <v>6</v>
      </c>
    </row>
    <row r="514" spans="1:5" x14ac:dyDescent="0.3">
      <c r="A514">
        <v>13</v>
      </c>
      <c r="B514" t="s">
        <v>73</v>
      </c>
      <c r="C514">
        <v>32</v>
      </c>
      <c r="D514" s="3"/>
      <c r="E514">
        <f>IF(C514="","",VLOOKUP(C514,PointsSystem!$A$2:$B$41,2,FALSE()))</f>
        <v>5</v>
      </c>
    </row>
    <row r="515" spans="1:5" x14ac:dyDescent="0.3">
      <c r="A515">
        <v>13</v>
      </c>
      <c r="B515" t="s">
        <v>73</v>
      </c>
      <c r="C515">
        <v>33</v>
      </c>
      <c r="D515" s="3"/>
      <c r="E515">
        <f>IF(C515="","",VLOOKUP(C515,PointsSystem!$A$2:$B$41,2,FALSE()))</f>
        <v>4</v>
      </c>
    </row>
    <row r="516" spans="1:5" x14ac:dyDescent="0.3">
      <c r="A516">
        <v>13</v>
      </c>
      <c r="B516" t="s">
        <v>73</v>
      </c>
      <c r="C516">
        <v>34</v>
      </c>
      <c r="D516" s="3"/>
      <c r="E516">
        <f>IF(C516="","",VLOOKUP(C516,PointsSystem!$A$2:$B$41,2,FALSE()))</f>
        <v>3</v>
      </c>
    </row>
    <row r="517" spans="1:5" x14ac:dyDescent="0.3">
      <c r="A517">
        <v>13</v>
      </c>
      <c r="B517" t="s">
        <v>73</v>
      </c>
      <c r="C517">
        <v>35</v>
      </c>
      <c r="D517" s="3"/>
      <c r="E517">
        <f>IF(C517="","",VLOOKUP(C517,PointsSystem!$A$2:$B$41,2,FALSE()))</f>
        <v>2</v>
      </c>
    </row>
    <row r="518" spans="1:5" x14ac:dyDescent="0.3">
      <c r="A518">
        <v>13</v>
      </c>
      <c r="B518" t="s">
        <v>73</v>
      </c>
      <c r="C518">
        <v>36</v>
      </c>
      <c r="D518" s="3"/>
      <c r="E518">
        <f>IF(C518="","",VLOOKUP(C518,PointsSystem!$A$2:$B$41,2,FALSE()))</f>
        <v>1</v>
      </c>
    </row>
    <row r="519" spans="1:5" x14ac:dyDescent="0.3">
      <c r="A519">
        <v>13</v>
      </c>
      <c r="B519" t="s">
        <v>73</v>
      </c>
      <c r="C519">
        <v>37</v>
      </c>
      <c r="D519" s="3"/>
      <c r="E519">
        <f>IF(C519="","",VLOOKUP(C519,PointsSystem!$A$2:$B$41,2,FALSE()))</f>
        <v>1</v>
      </c>
    </row>
    <row r="520" spans="1:5" x14ac:dyDescent="0.3">
      <c r="A520">
        <v>13</v>
      </c>
      <c r="B520" t="s">
        <v>73</v>
      </c>
      <c r="C520">
        <v>38</v>
      </c>
      <c r="D520" s="3"/>
      <c r="E520">
        <f>IF(C520="","",VLOOKUP(C520,PointsSystem!$A$2:$B$41,2,FALSE()))</f>
        <v>1</v>
      </c>
    </row>
    <row r="521" spans="1:5" x14ac:dyDescent="0.3">
      <c r="A521">
        <v>13</v>
      </c>
      <c r="B521" t="s">
        <v>73</v>
      </c>
      <c r="C521">
        <v>39</v>
      </c>
      <c r="D521" s="3"/>
      <c r="E521">
        <f>IF(C521="","",VLOOKUP(C521,PointsSystem!$A$2:$B$41,2,FALSE()))</f>
        <v>1</v>
      </c>
    </row>
    <row r="522" spans="1:5" x14ac:dyDescent="0.3">
      <c r="A522">
        <v>13</v>
      </c>
      <c r="B522" t="s">
        <v>73</v>
      </c>
      <c r="C522">
        <v>40</v>
      </c>
      <c r="D522" s="3"/>
      <c r="E522">
        <f>IF(C522="","",VLOOKUP(C522,PointsSystem!$A$2:$B$41,2,FALSE()))</f>
        <v>1</v>
      </c>
    </row>
    <row r="523" spans="1:5" x14ac:dyDescent="0.3">
      <c r="A523">
        <v>14</v>
      </c>
      <c r="B523" t="s">
        <v>76</v>
      </c>
      <c r="C523">
        <v>1</v>
      </c>
      <c r="D523" s="3"/>
      <c r="E523">
        <f>IF(C523="","",VLOOKUP(C523,PointsSystem!$A$2:$B$41,2,FALSE()))</f>
        <v>55</v>
      </c>
    </row>
    <row r="524" spans="1:5" x14ac:dyDescent="0.3">
      <c r="A524">
        <v>14</v>
      </c>
      <c r="B524" t="s">
        <v>76</v>
      </c>
      <c r="C524">
        <v>2</v>
      </c>
      <c r="D524" s="3"/>
      <c r="E524">
        <f>IF(C524="","",VLOOKUP(C524,PointsSystem!$A$2:$B$41,2,FALSE()))</f>
        <v>35</v>
      </c>
    </row>
    <row r="525" spans="1:5" x14ac:dyDescent="0.3">
      <c r="A525">
        <v>14</v>
      </c>
      <c r="B525" t="s">
        <v>76</v>
      </c>
      <c r="C525">
        <v>3</v>
      </c>
      <c r="D525" s="3"/>
      <c r="E525">
        <f>IF(C525="","",VLOOKUP(C525,PointsSystem!$A$2:$B$41,2,FALSE()))</f>
        <v>34</v>
      </c>
    </row>
    <row r="526" spans="1:5" x14ac:dyDescent="0.3">
      <c r="A526">
        <v>14</v>
      </c>
      <c r="B526" t="s">
        <v>76</v>
      </c>
      <c r="C526">
        <v>4</v>
      </c>
      <c r="D526" s="3"/>
      <c r="E526">
        <f>IF(C526="","",VLOOKUP(C526,PointsSystem!$A$2:$B$41,2,FALSE()))</f>
        <v>33</v>
      </c>
    </row>
    <row r="527" spans="1:5" x14ac:dyDescent="0.3">
      <c r="A527">
        <v>14</v>
      </c>
      <c r="B527" t="s">
        <v>76</v>
      </c>
      <c r="C527">
        <v>5</v>
      </c>
      <c r="D527" s="3"/>
      <c r="E527">
        <f>IF(C527="","",VLOOKUP(C527,PointsSystem!$A$2:$B$41,2,FALSE()))</f>
        <v>32</v>
      </c>
    </row>
    <row r="528" spans="1:5" x14ac:dyDescent="0.3">
      <c r="A528">
        <v>14</v>
      </c>
      <c r="B528" t="s">
        <v>76</v>
      </c>
      <c r="C528">
        <v>6</v>
      </c>
      <c r="D528" s="3"/>
      <c r="E528">
        <f>IF(C528="","",VLOOKUP(C528,PointsSystem!$A$2:$B$41,2,FALSE()))</f>
        <v>31</v>
      </c>
    </row>
    <row r="529" spans="1:5" x14ac:dyDescent="0.3">
      <c r="A529">
        <v>14</v>
      </c>
      <c r="B529" t="s">
        <v>76</v>
      </c>
      <c r="C529">
        <v>7</v>
      </c>
      <c r="D529" s="3"/>
      <c r="E529">
        <f>IF(C529="","",VLOOKUP(C529,PointsSystem!$A$2:$B$41,2,FALSE()))</f>
        <v>30</v>
      </c>
    </row>
    <row r="530" spans="1:5" x14ac:dyDescent="0.3">
      <c r="A530">
        <v>14</v>
      </c>
      <c r="B530" t="s">
        <v>76</v>
      </c>
      <c r="C530">
        <v>8</v>
      </c>
      <c r="D530" s="3"/>
      <c r="E530">
        <f>IF(C530="","",VLOOKUP(C530,PointsSystem!$A$2:$B$41,2,FALSE()))</f>
        <v>29</v>
      </c>
    </row>
    <row r="531" spans="1:5" x14ac:dyDescent="0.3">
      <c r="A531">
        <v>14</v>
      </c>
      <c r="B531" t="s">
        <v>76</v>
      </c>
      <c r="C531">
        <v>9</v>
      </c>
      <c r="D531" s="3"/>
      <c r="E531">
        <f>IF(C531="","",VLOOKUP(C531,PointsSystem!$A$2:$B$41,2,FALSE()))</f>
        <v>28</v>
      </c>
    </row>
    <row r="532" spans="1:5" x14ac:dyDescent="0.3">
      <c r="A532">
        <v>14</v>
      </c>
      <c r="B532" t="s">
        <v>76</v>
      </c>
      <c r="C532">
        <v>10</v>
      </c>
      <c r="D532" s="3"/>
      <c r="E532">
        <f>IF(C532="","",VLOOKUP(C532,PointsSystem!$A$2:$B$41,2,FALSE()))</f>
        <v>27</v>
      </c>
    </row>
    <row r="533" spans="1:5" x14ac:dyDescent="0.3">
      <c r="A533">
        <v>14</v>
      </c>
      <c r="B533" t="s">
        <v>76</v>
      </c>
      <c r="C533">
        <v>11</v>
      </c>
      <c r="D533" s="3"/>
      <c r="E533">
        <f>IF(C533="","",VLOOKUP(C533,PointsSystem!$A$2:$B$41,2,FALSE()))</f>
        <v>26</v>
      </c>
    </row>
    <row r="534" spans="1:5" x14ac:dyDescent="0.3">
      <c r="A534">
        <v>14</v>
      </c>
      <c r="B534" t="s">
        <v>76</v>
      </c>
      <c r="C534">
        <v>12</v>
      </c>
      <c r="D534" s="3"/>
      <c r="E534">
        <f>IF(C534="","",VLOOKUP(C534,PointsSystem!$A$2:$B$41,2,FALSE()))</f>
        <v>25</v>
      </c>
    </row>
    <row r="535" spans="1:5" x14ac:dyDescent="0.3">
      <c r="A535">
        <v>14</v>
      </c>
      <c r="B535" t="s">
        <v>76</v>
      </c>
      <c r="C535">
        <v>13</v>
      </c>
      <c r="D535" s="3"/>
      <c r="E535">
        <f>IF(C535="","",VLOOKUP(C535,PointsSystem!$A$2:$B$41,2,FALSE()))</f>
        <v>24</v>
      </c>
    </row>
    <row r="536" spans="1:5" x14ac:dyDescent="0.3">
      <c r="A536">
        <v>14</v>
      </c>
      <c r="B536" t="s">
        <v>76</v>
      </c>
      <c r="C536">
        <v>14</v>
      </c>
      <c r="D536" s="3"/>
      <c r="E536">
        <f>IF(C536="","",VLOOKUP(C536,PointsSystem!$A$2:$B$41,2,FALSE()))</f>
        <v>23</v>
      </c>
    </row>
    <row r="537" spans="1:5" x14ac:dyDescent="0.3">
      <c r="A537">
        <v>14</v>
      </c>
      <c r="B537" t="s">
        <v>76</v>
      </c>
      <c r="C537">
        <v>15</v>
      </c>
      <c r="D537" s="3"/>
      <c r="E537">
        <f>IF(C537="","",VLOOKUP(C537,PointsSystem!$A$2:$B$41,2,FALSE()))</f>
        <v>22</v>
      </c>
    </row>
    <row r="538" spans="1:5" x14ac:dyDescent="0.3">
      <c r="A538">
        <v>14</v>
      </c>
      <c r="B538" t="s">
        <v>76</v>
      </c>
      <c r="C538">
        <v>16</v>
      </c>
      <c r="D538" s="3"/>
      <c r="E538">
        <f>IF(C538="","",VLOOKUP(C538,PointsSystem!$A$2:$B$41,2,FALSE()))</f>
        <v>21</v>
      </c>
    </row>
    <row r="539" spans="1:5" x14ac:dyDescent="0.3">
      <c r="A539">
        <v>14</v>
      </c>
      <c r="B539" t="s">
        <v>76</v>
      </c>
      <c r="C539">
        <v>17</v>
      </c>
      <c r="D539" s="3"/>
      <c r="E539">
        <f>IF(C539="","",VLOOKUP(C539,PointsSystem!$A$2:$B$41,2,FALSE()))</f>
        <v>20</v>
      </c>
    </row>
    <row r="540" spans="1:5" x14ac:dyDescent="0.3">
      <c r="A540">
        <v>14</v>
      </c>
      <c r="B540" t="s">
        <v>76</v>
      </c>
      <c r="C540">
        <v>18</v>
      </c>
      <c r="D540" s="3"/>
      <c r="E540">
        <f>IF(C540="","",VLOOKUP(C540,PointsSystem!$A$2:$B$41,2,FALSE()))</f>
        <v>19</v>
      </c>
    </row>
    <row r="541" spans="1:5" x14ac:dyDescent="0.3">
      <c r="A541">
        <v>14</v>
      </c>
      <c r="B541" t="s">
        <v>76</v>
      </c>
      <c r="C541">
        <v>19</v>
      </c>
      <c r="D541" s="3"/>
      <c r="E541">
        <f>IF(C541="","",VLOOKUP(C541,PointsSystem!$A$2:$B$41,2,FALSE()))</f>
        <v>18</v>
      </c>
    </row>
    <row r="542" spans="1:5" x14ac:dyDescent="0.3">
      <c r="A542">
        <v>14</v>
      </c>
      <c r="B542" t="s">
        <v>76</v>
      </c>
      <c r="C542">
        <v>20</v>
      </c>
      <c r="D542" s="3"/>
      <c r="E542">
        <f>IF(C542="","",VLOOKUP(C542,PointsSystem!$A$2:$B$41,2,FALSE()))</f>
        <v>17</v>
      </c>
    </row>
    <row r="543" spans="1:5" x14ac:dyDescent="0.3">
      <c r="A543">
        <v>14</v>
      </c>
      <c r="B543" t="s">
        <v>76</v>
      </c>
      <c r="C543">
        <v>21</v>
      </c>
      <c r="D543" s="3"/>
      <c r="E543">
        <f>IF(C543="","",VLOOKUP(C543,PointsSystem!$A$2:$B$41,2,FALSE()))</f>
        <v>16</v>
      </c>
    </row>
    <row r="544" spans="1:5" x14ac:dyDescent="0.3">
      <c r="A544">
        <v>14</v>
      </c>
      <c r="B544" t="s">
        <v>76</v>
      </c>
      <c r="C544">
        <v>22</v>
      </c>
      <c r="D544" s="3"/>
      <c r="E544">
        <f>IF(C544="","",VLOOKUP(C544,PointsSystem!$A$2:$B$41,2,FALSE()))</f>
        <v>15</v>
      </c>
    </row>
    <row r="545" spans="1:5" x14ac:dyDescent="0.3">
      <c r="A545">
        <v>14</v>
      </c>
      <c r="B545" t="s">
        <v>76</v>
      </c>
      <c r="C545">
        <v>23</v>
      </c>
      <c r="D545" s="3"/>
      <c r="E545">
        <f>IF(C545="","",VLOOKUP(C545,PointsSystem!$A$2:$B$41,2,FALSE()))</f>
        <v>14</v>
      </c>
    </row>
    <row r="546" spans="1:5" x14ac:dyDescent="0.3">
      <c r="A546">
        <v>14</v>
      </c>
      <c r="B546" t="s">
        <v>76</v>
      </c>
      <c r="C546">
        <v>24</v>
      </c>
      <c r="D546" s="3"/>
      <c r="E546">
        <f>IF(C546="","",VLOOKUP(C546,PointsSystem!$A$2:$B$41,2,FALSE()))</f>
        <v>13</v>
      </c>
    </row>
    <row r="547" spans="1:5" x14ac:dyDescent="0.3">
      <c r="A547">
        <v>14</v>
      </c>
      <c r="B547" t="s">
        <v>76</v>
      </c>
      <c r="C547">
        <v>25</v>
      </c>
      <c r="D547" s="3"/>
      <c r="E547">
        <f>IF(C547="","",VLOOKUP(C547,PointsSystem!$A$2:$B$41,2,FALSE()))</f>
        <v>12</v>
      </c>
    </row>
    <row r="548" spans="1:5" x14ac:dyDescent="0.3">
      <c r="A548">
        <v>14</v>
      </c>
      <c r="B548" t="s">
        <v>76</v>
      </c>
      <c r="C548">
        <v>26</v>
      </c>
      <c r="D548" s="3"/>
      <c r="E548">
        <f>IF(C548="","",VLOOKUP(C548,PointsSystem!$A$2:$B$41,2,FALSE()))</f>
        <v>11</v>
      </c>
    </row>
    <row r="549" spans="1:5" x14ac:dyDescent="0.3">
      <c r="A549">
        <v>14</v>
      </c>
      <c r="B549" t="s">
        <v>76</v>
      </c>
      <c r="C549">
        <v>27</v>
      </c>
      <c r="D549" s="3"/>
      <c r="E549">
        <f>IF(C549="","",VLOOKUP(C549,PointsSystem!$A$2:$B$41,2,FALSE()))</f>
        <v>10</v>
      </c>
    </row>
    <row r="550" spans="1:5" x14ac:dyDescent="0.3">
      <c r="A550">
        <v>14</v>
      </c>
      <c r="B550" t="s">
        <v>76</v>
      </c>
      <c r="C550">
        <v>28</v>
      </c>
      <c r="D550" s="3"/>
      <c r="E550">
        <f>IF(C550="","",VLOOKUP(C550,PointsSystem!$A$2:$B$41,2,FALSE()))</f>
        <v>9</v>
      </c>
    </row>
    <row r="551" spans="1:5" x14ac:dyDescent="0.3">
      <c r="A551">
        <v>14</v>
      </c>
      <c r="B551" t="s">
        <v>76</v>
      </c>
      <c r="C551">
        <v>29</v>
      </c>
      <c r="D551" s="3"/>
      <c r="E551">
        <f>IF(C551="","",VLOOKUP(C551,PointsSystem!$A$2:$B$41,2,FALSE()))</f>
        <v>8</v>
      </c>
    </row>
    <row r="552" spans="1:5" x14ac:dyDescent="0.3">
      <c r="A552">
        <v>14</v>
      </c>
      <c r="B552" t="s">
        <v>76</v>
      </c>
      <c r="C552">
        <v>30</v>
      </c>
      <c r="D552" s="3"/>
      <c r="E552">
        <f>IF(C552="","",VLOOKUP(C552,PointsSystem!$A$2:$B$41,2,FALSE()))</f>
        <v>7</v>
      </c>
    </row>
    <row r="553" spans="1:5" x14ac:dyDescent="0.3">
      <c r="A553">
        <v>14</v>
      </c>
      <c r="B553" t="s">
        <v>76</v>
      </c>
      <c r="C553">
        <v>31</v>
      </c>
      <c r="D553" s="3"/>
      <c r="E553">
        <f>IF(C553="","",VLOOKUP(C553,PointsSystem!$A$2:$B$41,2,FALSE()))</f>
        <v>6</v>
      </c>
    </row>
    <row r="554" spans="1:5" x14ac:dyDescent="0.3">
      <c r="A554">
        <v>14</v>
      </c>
      <c r="B554" t="s">
        <v>76</v>
      </c>
      <c r="C554">
        <v>32</v>
      </c>
      <c r="D554" s="3"/>
      <c r="E554">
        <f>IF(C554="","",VLOOKUP(C554,PointsSystem!$A$2:$B$41,2,FALSE()))</f>
        <v>5</v>
      </c>
    </row>
    <row r="555" spans="1:5" x14ac:dyDescent="0.3">
      <c r="A555">
        <v>14</v>
      </c>
      <c r="B555" t="s">
        <v>76</v>
      </c>
      <c r="C555">
        <v>33</v>
      </c>
      <c r="D555" s="3"/>
      <c r="E555">
        <f>IF(C555="","",VLOOKUP(C555,PointsSystem!$A$2:$B$41,2,FALSE()))</f>
        <v>4</v>
      </c>
    </row>
    <row r="556" spans="1:5" x14ac:dyDescent="0.3">
      <c r="A556">
        <v>14</v>
      </c>
      <c r="B556" t="s">
        <v>76</v>
      </c>
      <c r="C556">
        <v>34</v>
      </c>
      <c r="D556" s="3"/>
      <c r="E556">
        <f>IF(C556="","",VLOOKUP(C556,PointsSystem!$A$2:$B$41,2,FALSE()))</f>
        <v>3</v>
      </c>
    </row>
    <row r="557" spans="1:5" x14ac:dyDescent="0.3">
      <c r="A557">
        <v>14</v>
      </c>
      <c r="B557" t="s">
        <v>76</v>
      </c>
      <c r="C557">
        <v>35</v>
      </c>
      <c r="D557" s="3"/>
      <c r="E557">
        <f>IF(C557="","",VLOOKUP(C557,PointsSystem!$A$2:$B$41,2,FALSE()))</f>
        <v>2</v>
      </c>
    </row>
    <row r="558" spans="1:5" x14ac:dyDescent="0.3">
      <c r="A558">
        <v>14</v>
      </c>
      <c r="B558" t="s">
        <v>76</v>
      </c>
      <c r="C558">
        <v>36</v>
      </c>
      <c r="D558" s="3"/>
      <c r="E558">
        <f>IF(C558="","",VLOOKUP(C558,PointsSystem!$A$2:$B$41,2,FALSE()))</f>
        <v>1</v>
      </c>
    </row>
    <row r="559" spans="1:5" x14ac:dyDescent="0.3">
      <c r="A559">
        <v>14</v>
      </c>
      <c r="B559" t="s">
        <v>76</v>
      </c>
      <c r="C559">
        <v>37</v>
      </c>
      <c r="D559" s="3"/>
      <c r="E559">
        <f>IF(C559="","",VLOOKUP(C559,PointsSystem!$A$2:$B$41,2,FALSE()))</f>
        <v>1</v>
      </c>
    </row>
    <row r="560" spans="1:5" x14ac:dyDescent="0.3">
      <c r="A560">
        <v>14</v>
      </c>
      <c r="B560" t="s">
        <v>76</v>
      </c>
      <c r="C560">
        <v>38</v>
      </c>
      <c r="D560" s="3"/>
      <c r="E560">
        <f>IF(C560="","",VLOOKUP(C560,PointsSystem!$A$2:$B$41,2,FALSE()))</f>
        <v>1</v>
      </c>
    </row>
    <row r="561" spans="1:5" x14ac:dyDescent="0.3">
      <c r="A561">
        <v>14</v>
      </c>
      <c r="B561" t="s">
        <v>76</v>
      </c>
      <c r="C561">
        <v>39</v>
      </c>
      <c r="D561" s="3"/>
      <c r="E561">
        <f>IF(C561="","",VLOOKUP(C561,PointsSystem!$A$2:$B$41,2,FALSE()))</f>
        <v>1</v>
      </c>
    </row>
    <row r="562" spans="1:5" x14ac:dyDescent="0.3">
      <c r="A562">
        <v>14</v>
      </c>
      <c r="B562" t="s">
        <v>76</v>
      </c>
      <c r="C562">
        <v>40</v>
      </c>
      <c r="D562" s="3"/>
      <c r="E562">
        <f>IF(C562="","",VLOOKUP(C562,PointsSystem!$A$2:$B$41,2,FALSE()))</f>
        <v>1</v>
      </c>
    </row>
    <row r="563" spans="1:5" x14ac:dyDescent="0.3">
      <c r="A563">
        <v>15</v>
      </c>
      <c r="B563" t="s">
        <v>78</v>
      </c>
      <c r="C563">
        <v>1</v>
      </c>
      <c r="D563" s="3"/>
      <c r="E563">
        <f>IF(C563="","",VLOOKUP(C563,PointsSystem!$A$2:$B$41,2,FALSE()))</f>
        <v>55</v>
      </c>
    </row>
    <row r="564" spans="1:5" x14ac:dyDescent="0.3">
      <c r="A564">
        <v>15</v>
      </c>
      <c r="B564" t="s">
        <v>78</v>
      </c>
      <c r="C564">
        <v>2</v>
      </c>
      <c r="D564" s="3"/>
      <c r="E564">
        <f>IF(C564="","",VLOOKUP(C564,PointsSystem!$A$2:$B$41,2,FALSE()))</f>
        <v>35</v>
      </c>
    </row>
    <row r="565" spans="1:5" x14ac:dyDescent="0.3">
      <c r="A565">
        <v>15</v>
      </c>
      <c r="B565" t="s">
        <v>78</v>
      </c>
      <c r="C565">
        <v>3</v>
      </c>
      <c r="D565" s="3"/>
      <c r="E565">
        <f>IF(C565="","",VLOOKUP(C565,PointsSystem!$A$2:$B$41,2,FALSE()))</f>
        <v>34</v>
      </c>
    </row>
    <row r="566" spans="1:5" x14ac:dyDescent="0.3">
      <c r="A566">
        <v>15</v>
      </c>
      <c r="B566" t="s">
        <v>78</v>
      </c>
      <c r="C566">
        <v>4</v>
      </c>
      <c r="D566" s="3"/>
      <c r="E566">
        <f>IF(C566="","",VLOOKUP(C566,PointsSystem!$A$2:$B$41,2,FALSE()))</f>
        <v>33</v>
      </c>
    </row>
    <row r="567" spans="1:5" x14ac:dyDescent="0.3">
      <c r="A567">
        <v>15</v>
      </c>
      <c r="B567" t="s">
        <v>78</v>
      </c>
      <c r="C567">
        <v>5</v>
      </c>
      <c r="D567" s="3"/>
      <c r="E567">
        <f>IF(C567="","",VLOOKUP(C567,PointsSystem!$A$2:$B$41,2,FALSE()))</f>
        <v>32</v>
      </c>
    </row>
    <row r="568" spans="1:5" x14ac:dyDescent="0.3">
      <c r="A568">
        <v>15</v>
      </c>
      <c r="B568" t="s">
        <v>78</v>
      </c>
      <c r="C568">
        <v>6</v>
      </c>
      <c r="D568" s="3"/>
      <c r="E568">
        <f>IF(C568="","",VLOOKUP(C568,PointsSystem!$A$2:$B$41,2,FALSE()))</f>
        <v>31</v>
      </c>
    </row>
    <row r="569" spans="1:5" x14ac:dyDescent="0.3">
      <c r="A569">
        <v>15</v>
      </c>
      <c r="B569" t="s">
        <v>78</v>
      </c>
      <c r="C569">
        <v>7</v>
      </c>
      <c r="D569" s="3"/>
      <c r="E569">
        <f>IF(C569="","",VLOOKUP(C569,PointsSystem!$A$2:$B$41,2,FALSE()))</f>
        <v>30</v>
      </c>
    </row>
    <row r="570" spans="1:5" x14ac:dyDescent="0.3">
      <c r="A570">
        <v>15</v>
      </c>
      <c r="B570" t="s">
        <v>78</v>
      </c>
      <c r="C570">
        <v>8</v>
      </c>
      <c r="D570" s="3"/>
      <c r="E570">
        <f>IF(C570="","",VLOOKUP(C570,PointsSystem!$A$2:$B$41,2,FALSE()))</f>
        <v>29</v>
      </c>
    </row>
    <row r="571" spans="1:5" x14ac:dyDescent="0.3">
      <c r="A571">
        <v>15</v>
      </c>
      <c r="B571" t="s">
        <v>78</v>
      </c>
      <c r="C571">
        <v>9</v>
      </c>
      <c r="D571" s="3"/>
      <c r="E571">
        <f>IF(C571="","",VLOOKUP(C571,PointsSystem!$A$2:$B$41,2,FALSE()))</f>
        <v>28</v>
      </c>
    </row>
    <row r="572" spans="1:5" x14ac:dyDescent="0.3">
      <c r="A572">
        <v>15</v>
      </c>
      <c r="B572" t="s">
        <v>78</v>
      </c>
      <c r="C572">
        <v>10</v>
      </c>
      <c r="D572" s="3"/>
      <c r="E572">
        <f>IF(C572="","",VLOOKUP(C572,PointsSystem!$A$2:$B$41,2,FALSE()))</f>
        <v>27</v>
      </c>
    </row>
    <row r="573" spans="1:5" x14ac:dyDescent="0.3">
      <c r="A573">
        <v>15</v>
      </c>
      <c r="B573" t="s">
        <v>78</v>
      </c>
      <c r="C573">
        <v>11</v>
      </c>
      <c r="D573" s="3"/>
      <c r="E573">
        <f>IF(C573="","",VLOOKUP(C573,PointsSystem!$A$2:$B$41,2,FALSE()))</f>
        <v>26</v>
      </c>
    </row>
    <row r="574" spans="1:5" x14ac:dyDescent="0.3">
      <c r="A574">
        <v>15</v>
      </c>
      <c r="B574" t="s">
        <v>78</v>
      </c>
      <c r="C574">
        <v>12</v>
      </c>
      <c r="D574" s="3"/>
      <c r="E574">
        <f>IF(C574="","",VLOOKUP(C574,PointsSystem!$A$2:$B$41,2,FALSE()))</f>
        <v>25</v>
      </c>
    </row>
    <row r="575" spans="1:5" x14ac:dyDescent="0.3">
      <c r="A575">
        <v>15</v>
      </c>
      <c r="B575" t="s">
        <v>78</v>
      </c>
      <c r="C575">
        <v>13</v>
      </c>
      <c r="D575" s="3"/>
      <c r="E575">
        <f>IF(C575="","",VLOOKUP(C575,PointsSystem!$A$2:$B$41,2,FALSE()))</f>
        <v>24</v>
      </c>
    </row>
    <row r="576" spans="1:5" x14ac:dyDescent="0.3">
      <c r="A576">
        <v>15</v>
      </c>
      <c r="B576" t="s">
        <v>78</v>
      </c>
      <c r="C576">
        <v>14</v>
      </c>
      <c r="D576" s="3"/>
      <c r="E576">
        <f>IF(C576="","",VLOOKUP(C576,PointsSystem!$A$2:$B$41,2,FALSE()))</f>
        <v>23</v>
      </c>
    </row>
    <row r="577" spans="1:5" x14ac:dyDescent="0.3">
      <c r="A577">
        <v>15</v>
      </c>
      <c r="B577" t="s">
        <v>78</v>
      </c>
      <c r="C577">
        <v>15</v>
      </c>
      <c r="D577" s="3"/>
      <c r="E577">
        <f>IF(C577="","",VLOOKUP(C577,PointsSystem!$A$2:$B$41,2,FALSE()))</f>
        <v>22</v>
      </c>
    </row>
    <row r="578" spans="1:5" x14ac:dyDescent="0.3">
      <c r="A578">
        <v>15</v>
      </c>
      <c r="B578" t="s">
        <v>78</v>
      </c>
      <c r="C578">
        <v>16</v>
      </c>
      <c r="D578" s="3"/>
      <c r="E578">
        <f>IF(C578="","",VLOOKUP(C578,PointsSystem!$A$2:$B$41,2,FALSE()))</f>
        <v>21</v>
      </c>
    </row>
    <row r="579" spans="1:5" x14ac:dyDescent="0.3">
      <c r="A579">
        <v>15</v>
      </c>
      <c r="B579" t="s">
        <v>78</v>
      </c>
      <c r="C579">
        <v>17</v>
      </c>
      <c r="D579" s="3"/>
      <c r="E579">
        <f>IF(C579="","",VLOOKUP(C579,PointsSystem!$A$2:$B$41,2,FALSE()))</f>
        <v>20</v>
      </c>
    </row>
    <row r="580" spans="1:5" x14ac:dyDescent="0.3">
      <c r="A580">
        <v>15</v>
      </c>
      <c r="B580" t="s">
        <v>78</v>
      </c>
      <c r="C580">
        <v>18</v>
      </c>
      <c r="D580" s="3"/>
      <c r="E580">
        <f>IF(C580="","",VLOOKUP(C580,PointsSystem!$A$2:$B$41,2,FALSE()))</f>
        <v>19</v>
      </c>
    </row>
    <row r="581" spans="1:5" x14ac:dyDescent="0.3">
      <c r="A581">
        <v>15</v>
      </c>
      <c r="B581" t="s">
        <v>78</v>
      </c>
      <c r="C581">
        <v>19</v>
      </c>
      <c r="D581" s="3"/>
      <c r="E581">
        <f>IF(C581="","",VLOOKUP(C581,PointsSystem!$A$2:$B$41,2,FALSE()))</f>
        <v>18</v>
      </c>
    </row>
    <row r="582" spans="1:5" x14ac:dyDescent="0.3">
      <c r="A582">
        <v>15</v>
      </c>
      <c r="B582" t="s">
        <v>78</v>
      </c>
      <c r="C582">
        <v>20</v>
      </c>
      <c r="D582" s="3"/>
      <c r="E582">
        <f>IF(C582="","",VLOOKUP(C582,PointsSystem!$A$2:$B$41,2,FALSE()))</f>
        <v>17</v>
      </c>
    </row>
    <row r="583" spans="1:5" x14ac:dyDescent="0.3">
      <c r="A583">
        <v>15</v>
      </c>
      <c r="B583" t="s">
        <v>78</v>
      </c>
      <c r="C583">
        <v>21</v>
      </c>
      <c r="D583" s="3"/>
      <c r="E583">
        <f>IF(C583="","",VLOOKUP(C583,PointsSystem!$A$2:$B$41,2,FALSE()))</f>
        <v>16</v>
      </c>
    </row>
    <row r="584" spans="1:5" x14ac:dyDescent="0.3">
      <c r="A584">
        <v>15</v>
      </c>
      <c r="B584" t="s">
        <v>78</v>
      </c>
      <c r="C584">
        <v>22</v>
      </c>
      <c r="D584" s="3"/>
      <c r="E584">
        <f>IF(C584="","",VLOOKUP(C584,PointsSystem!$A$2:$B$41,2,FALSE()))</f>
        <v>15</v>
      </c>
    </row>
    <row r="585" spans="1:5" x14ac:dyDescent="0.3">
      <c r="A585">
        <v>15</v>
      </c>
      <c r="B585" t="s">
        <v>78</v>
      </c>
      <c r="C585">
        <v>23</v>
      </c>
      <c r="D585" s="3"/>
      <c r="E585">
        <f>IF(C585="","",VLOOKUP(C585,PointsSystem!$A$2:$B$41,2,FALSE()))</f>
        <v>14</v>
      </c>
    </row>
    <row r="586" spans="1:5" x14ac:dyDescent="0.3">
      <c r="A586">
        <v>15</v>
      </c>
      <c r="B586" t="s">
        <v>78</v>
      </c>
      <c r="C586">
        <v>24</v>
      </c>
      <c r="D586" s="3"/>
      <c r="E586">
        <f>IF(C586="","",VLOOKUP(C586,PointsSystem!$A$2:$B$41,2,FALSE()))</f>
        <v>13</v>
      </c>
    </row>
    <row r="587" spans="1:5" x14ac:dyDescent="0.3">
      <c r="A587">
        <v>15</v>
      </c>
      <c r="B587" t="s">
        <v>78</v>
      </c>
      <c r="C587">
        <v>25</v>
      </c>
      <c r="D587" s="3"/>
      <c r="E587">
        <f>IF(C587="","",VLOOKUP(C587,PointsSystem!$A$2:$B$41,2,FALSE()))</f>
        <v>12</v>
      </c>
    </row>
    <row r="588" spans="1:5" x14ac:dyDescent="0.3">
      <c r="A588">
        <v>15</v>
      </c>
      <c r="B588" t="s">
        <v>78</v>
      </c>
      <c r="C588">
        <v>26</v>
      </c>
      <c r="D588" s="3"/>
      <c r="E588">
        <f>IF(C588="","",VLOOKUP(C588,PointsSystem!$A$2:$B$41,2,FALSE()))</f>
        <v>11</v>
      </c>
    </row>
    <row r="589" spans="1:5" x14ac:dyDescent="0.3">
      <c r="A589">
        <v>15</v>
      </c>
      <c r="B589" t="s">
        <v>78</v>
      </c>
      <c r="C589">
        <v>27</v>
      </c>
      <c r="D589" s="3"/>
      <c r="E589">
        <f>IF(C589="","",VLOOKUP(C589,PointsSystem!$A$2:$B$41,2,FALSE()))</f>
        <v>10</v>
      </c>
    </row>
    <row r="590" spans="1:5" x14ac:dyDescent="0.3">
      <c r="A590">
        <v>15</v>
      </c>
      <c r="B590" t="s">
        <v>78</v>
      </c>
      <c r="C590">
        <v>28</v>
      </c>
      <c r="D590" s="3"/>
      <c r="E590">
        <f>IF(C590="","",VLOOKUP(C590,PointsSystem!$A$2:$B$41,2,FALSE()))</f>
        <v>9</v>
      </c>
    </row>
    <row r="591" spans="1:5" x14ac:dyDescent="0.3">
      <c r="A591">
        <v>15</v>
      </c>
      <c r="B591" t="s">
        <v>78</v>
      </c>
      <c r="C591">
        <v>29</v>
      </c>
      <c r="D591" s="3"/>
      <c r="E591">
        <f>IF(C591="","",VLOOKUP(C591,PointsSystem!$A$2:$B$41,2,FALSE()))</f>
        <v>8</v>
      </c>
    </row>
    <row r="592" spans="1:5" x14ac:dyDescent="0.3">
      <c r="A592">
        <v>15</v>
      </c>
      <c r="B592" t="s">
        <v>78</v>
      </c>
      <c r="C592">
        <v>30</v>
      </c>
      <c r="D592" s="3"/>
      <c r="E592">
        <f>IF(C592="","",VLOOKUP(C592,PointsSystem!$A$2:$B$41,2,FALSE()))</f>
        <v>7</v>
      </c>
    </row>
    <row r="593" spans="1:5" x14ac:dyDescent="0.3">
      <c r="A593">
        <v>15</v>
      </c>
      <c r="B593" t="s">
        <v>78</v>
      </c>
      <c r="C593">
        <v>31</v>
      </c>
      <c r="D593" s="3"/>
      <c r="E593">
        <f>IF(C593="","",VLOOKUP(C593,PointsSystem!$A$2:$B$41,2,FALSE()))</f>
        <v>6</v>
      </c>
    </row>
    <row r="594" spans="1:5" x14ac:dyDescent="0.3">
      <c r="A594">
        <v>15</v>
      </c>
      <c r="B594" t="s">
        <v>78</v>
      </c>
      <c r="C594">
        <v>32</v>
      </c>
      <c r="D594" s="3"/>
      <c r="E594">
        <f>IF(C594="","",VLOOKUP(C594,PointsSystem!$A$2:$B$41,2,FALSE()))</f>
        <v>5</v>
      </c>
    </row>
    <row r="595" spans="1:5" x14ac:dyDescent="0.3">
      <c r="A595">
        <v>15</v>
      </c>
      <c r="B595" t="s">
        <v>78</v>
      </c>
      <c r="C595">
        <v>33</v>
      </c>
      <c r="D595" s="3"/>
      <c r="E595">
        <f>IF(C595="","",VLOOKUP(C595,PointsSystem!$A$2:$B$41,2,FALSE()))</f>
        <v>4</v>
      </c>
    </row>
    <row r="596" spans="1:5" x14ac:dyDescent="0.3">
      <c r="A596">
        <v>15</v>
      </c>
      <c r="B596" t="s">
        <v>78</v>
      </c>
      <c r="C596">
        <v>34</v>
      </c>
      <c r="D596" s="3"/>
      <c r="E596">
        <f>IF(C596="","",VLOOKUP(C596,PointsSystem!$A$2:$B$41,2,FALSE()))</f>
        <v>3</v>
      </c>
    </row>
    <row r="597" spans="1:5" x14ac:dyDescent="0.3">
      <c r="A597">
        <v>15</v>
      </c>
      <c r="B597" t="s">
        <v>78</v>
      </c>
      <c r="C597">
        <v>35</v>
      </c>
      <c r="D597" s="3"/>
      <c r="E597">
        <f>IF(C597="","",VLOOKUP(C597,PointsSystem!$A$2:$B$41,2,FALSE()))</f>
        <v>2</v>
      </c>
    </row>
    <row r="598" spans="1:5" x14ac:dyDescent="0.3">
      <c r="A598">
        <v>15</v>
      </c>
      <c r="B598" t="s">
        <v>78</v>
      </c>
      <c r="C598">
        <v>36</v>
      </c>
      <c r="D598" s="3"/>
      <c r="E598">
        <f>IF(C598="","",VLOOKUP(C598,PointsSystem!$A$2:$B$41,2,FALSE()))</f>
        <v>1</v>
      </c>
    </row>
    <row r="599" spans="1:5" x14ac:dyDescent="0.3">
      <c r="A599">
        <v>15</v>
      </c>
      <c r="B599" t="s">
        <v>78</v>
      </c>
      <c r="C599">
        <v>37</v>
      </c>
      <c r="D599" s="3"/>
      <c r="E599">
        <f>IF(C599="","",VLOOKUP(C599,PointsSystem!$A$2:$B$41,2,FALSE()))</f>
        <v>1</v>
      </c>
    </row>
    <row r="600" spans="1:5" x14ac:dyDescent="0.3">
      <c r="A600">
        <v>15</v>
      </c>
      <c r="B600" t="s">
        <v>78</v>
      </c>
      <c r="C600">
        <v>38</v>
      </c>
      <c r="D600" s="3"/>
      <c r="E600">
        <f>IF(C600="","",VLOOKUP(C600,PointsSystem!$A$2:$B$41,2,FALSE()))</f>
        <v>1</v>
      </c>
    </row>
    <row r="601" spans="1:5" x14ac:dyDescent="0.3">
      <c r="A601">
        <v>15</v>
      </c>
      <c r="B601" t="s">
        <v>78</v>
      </c>
      <c r="C601">
        <v>39</v>
      </c>
      <c r="D601" s="3"/>
      <c r="E601">
        <f>IF(C601="","",VLOOKUP(C601,PointsSystem!$A$2:$B$41,2,FALSE()))</f>
        <v>1</v>
      </c>
    </row>
    <row r="602" spans="1:5" x14ac:dyDescent="0.3">
      <c r="A602">
        <v>15</v>
      </c>
      <c r="B602" t="s">
        <v>78</v>
      </c>
      <c r="C602">
        <v>40</v>
      </c>
      <c r="D602" s="3"/>
      <c r="E602">
        <f>IF(C602="","",VLOOKUP(C602,PointsSystem!$A$2:$B$41,2,FALSE()))</f>
        <v>1</v>
      </c>
    </row>
    <row r="603" spans="1:5" x14ac:dyDescent="0.3">
      <c r="A603">
        <v>16</v>
      </c>
      <c r="B603" t="s">
        <v>80</v>
      </c>
      <c r="C603">
        <v>1</v>
      </c>
      <c r="D603" s="3"/>
      <c r="E603">
        <f>IF(C603="","",VLOOKUP(C603,PointsSystem!$A$2:$B$41,2,FALSE()))</f>
        <v>55</v>
      </c>
    </row>
    <row r="604" spans="1:5" x14ac:dyDescent="0.3">
      <c r="A604">
        <v>16</v>
      </c>
      <c r="B604" t="s">
        <v>80</v>
      </c>
      <c r="C604">
        <v>2</v>
      </c>
      <c r="D604" s="3"/>
      <c r="E604">
        <f>IF(C604="","",VLOOKUP(C604,PointsSystem!$A$2:$B$41,2,FALSE()))</f>
        <v>35</v>
      </c>
    </row>
    <row r="605" spans="1:5" x14ac:dyDescent="0.3">
      <c r="A605">
        <v>16</v>
      </c>
      <c r="B605" t="s">
        <v>80</v>
      </c>
      <c r="C605">
        <v>3</v>
      </c>
      <c r="D605" s="3"/>
      <c r="E605">
        <f>IF(C605="","",VLOOKUP(C605,PointsSystem!$A$2:$B$41,2,FALSE()))</f>
        <v>34</v>
      </c>
    </row>
    <row r="606" spans="1:5" x14ac:dyDescent="0.3">
      <c r="A606">
        <v>16</v>
      </c>
      <c r="B606" t="s">
        <v>80</v>
      </c>
      <c r="C606">
        <v>4</v>
      </c>
      <c r="D606" s="3"/>
      <c r="E606">
        <f>IF(C606="","",VLOOKUP(C606,PointsSystem!$A$2:$B$41,2,FALSE()))</f>
        <v>33</v>
      </c>
    </row>
    <row r="607" spans="1:5" x14ac:dyDescent="0.3">
      <c r="A607">
        <v>16</v>
      </c>
      <c r="B607" t="s">
        <v>80</v>
      </c>
      <c r="C607">
        <v>5</v>
      </c>
      <c r="D607" s="3"/>
      <c r="E607">
        <f>IF(C607="","",VLOOKUP(C607,PointsSystem!$A$2:$B$41,2,FALSE()))</f>
        <v>32</v>
      </c>
    </row>
    <row r="608" spans="1:5" x14ac:dyDescent="0.3">
      <c r="A608">
        <v>16</v>
      </c>
      <c r="B608" t="s">
        <v>80</v>
      </c>
      <c r="C608">
        <v>6</v>
      </c>
      <c r="D608" s="3"/>
      <c r="E608">
        <f>IF(C608="","",VLOOKUP(C608,PointsSystem!$A$2:$B$41,2,FALSE()))</f>
        <v>31</v>
      </c>
    </row>
    <row r="609" spans="1:5" x14ac:dyDescent="0.3">
      <c r="A609">
        <v>16</v>
      </c>
      <c r="B609" t="s">
        <v>80</v>
      </c>
      <c r="C609">
        <v>7</v>
      </c>
      <c r="D609" s="3"/>
      <c r="E609">
        <f>IF(C609="","",VLOOKUP(C609,PointsSystem!$A$2:$B$41,2,FALSE()))</f>
        <v>30</v>
      </c>
    </row>
    <row r="610" spans="1:5" x14ac:dyDescent="0.3">
      <c r="A610">
        <v>16</v>
      </c>
      <c r="B610" t="s">
        <v>80</v>
      </c>
      <c r="C610">
        <v>8</v>
      </c>
      <c r="D610" s="3"/>
      <c r="E610">
        <f>IF(C610="","",VLOOKUP(C610,PointsSystem!$A$2:$B$41,2,FALSE()))</f>
        <v>29</v>
      </c>
    </row>
    <row r="611" spans="1:5" x14ac:dyDescent="0.3">
      <c r="A611">
        <v>16</v>
      </c>
      <c r="B611" t="s">
        <v>80</v>
      </c>
      <c r="C611">
        <v>9</v>
      </c>
      <c r="D611" s="3"/>
      <c r="E611">
        <f>IF(C611="","",VLOOKUP(C611,PointsSystem!$A$2:$B$41,2,FALSE()))</f>
        <v>28</v>
      </c>
    </row>
    <row r="612" spans="1:5" x14ac:dyDescent="0.3">
      <c r="A612">
        <v>16</v>
      </c>
      <c r="B612" t="s">
        <v>80</v>
      </c>
      <c r="C612">
        <v>10</v>
      </c>
      <c r="D612" s="3"/>
      <c r="E612">
        <f>IF(C612="","",VLOOKUP(C612,PointsSystem!$A$2:$B$41,2,FALSE()))</f>
        <v>27</v>
      </c>
    </row>
    <row r="613" spans="1:5" x14ac:dyDescent="0.3">
      <c r="A613">
        <v>16</v>
      </c>
      <c r="B613" t="s">
        <v>80</v>
      </c>
      <c r="C613">
        <v>11</v>
      </c>
      <c r="D613" s="3"/>
      <c r="E613">
        <f>IF(C613="","",VLOOKUP(C613,PointsSystem!$A$2:$B$41,2,FALSE()))</f>
        <v>26</v>
      </c>
    </row>
    <row r="614" spans="1:5" x14ac:dyDescent="0.3">
      <c r="A614">
        <v>16</v>
      </c>
      <c r="B614" t="s">
        <v>80</v>
      </c>
      <c r="C614">
        <v>12</v>
      </c>
      <c r="D614" s="3"/>
      <c r="E614">
        <f>IF(C614="","",VLOOKUP(C614,PointsSystem!$A$2:$B$41,2,FALSE()))</f>
        <v>25</v>
      </c>
    </row>
    <row r="615" spans="1:5" x14ac:dyDescent="0.3">
      <c r="A615">
        <v>16</v>
      </c>
      <c r="B615" t="s">
        <v>80</v>
      </c>
      <c r="C615">
        <v>13</v>
      </c>
      <c r="D615" s="3"/>
      <c r="E615">
        <f>IF(C615="","",VLOOKUP(C615,PointsSystem!$A$2:$B$41,2,FALSE()))</f>
        <v>24</v>
      </c>
    </row>
    <row r="616" spans="1:5" x14ac:dyDescent="0.3">
      <c r="A616">
        <v>16</v>
      </c>
      <c r="B616" t="s">
        <v>80</v>
      </c>
      <c r="C616">
        <v>14</v>
      </c>
      <c r="D616" s="3"/>
      <c r="E616">
        <f>IF(C616="","",VLOOKUP(C616,PointsSystem!$A$2:$B$41,2,FALSE()))</f>
        <v>23</v>
      </c>
    </row>
    <row r="617" spans="1:5" x14ac:dyDescent="0.3">
      <c r="A617">
        <v>16</v>
      </c>
      <c r="B617" t="s">
        <v>80</v>
      </c>
      <c r="C617">
        <v>15</v>
      </c>
      <c r="D617" s="3"/>
      <c r="E617">
        <f>IF(C617="","",VLOOKUP(C617,PointsSystem!$A$2:$B$41,2,FALSE()))</f>
        <v>22</v>
      </c>
    </row>
    <row r="618" spans="1:5" x14ac:dyDescent="0.3">
      <c r="A618">
        <v>16</v>
      </c>
      <c r="B618" t="s">
        <v>80</v>
      </c>
      <c r="C618">
        <v>16</v>
      </c>
      <c r="D618" s="3"/>
      <c r="E618">
        <f>IF(C618="","",VLOOKUP(C618,PointsSystem!$A$2:$B$41,2,FALSE()))</f>
        <v>21</v>
      </c>
    </row>
    <row r="619" spans="1:5" x14ac:dyDescent="0.3">
      <c r="A619">
        <v>16</v>
      </c>
      <c r="B619" t="s">
        <v>80</v>
      </c>
      <c r="C619">
        <v>17</v>
      </c>
      <c r="D619" s="3"/>
      <c r="E619">
        <f>IF(C619="","",VLOOKUP(C619,PointsSystem!$A$2:$B$41,2,FALSE()))</f>
        <v>20</v>
      </c>
    </row>
    <row r="620" spans="1:5" x14ac:dyDescent="0.3">
      <c r="A620">
        <v>16</v>
      </c>
      <c r="B620" t="s">
        <v>80</v>
      </c>
      <c r="C620">
        <v>18</v>
      </c>
      <c r="D620" s="3"/>
      <c r="E620">
        <f>IF(C620="","",VLOOKUP(C620,PointsSystem!$A$2:$B$41,2,FALSE()))</f>
        <v>19</v>
      </c>
    </row>
    <row r="621" spans="1:5" x14ac:dyDescent="0.3">
      <c r="A621">
        <v>16</v>
      </c>
      <c r="B621" t="s">
        <v>80</v>
      </c>
      <c r="C621">
        <v>19</v>
      </c>
      <c r="D621" s="3"/>
      <c r="E621">
        <f>IF(C621="","",VLOOKUP(C621,PointsSystem!$A$2:$B$41,2,FALSE()))</f>
        <v>18</v>
      </c>
    </row>
    <row r="622" spans="1:5" x14ac:dyDescent="0.3">
      <c r="A622">
        <v>16</v>
      </c>
      <c r="B622" t="s">
        <v>80</v>
      </c>
      <c r="C622">
        <v>20</v>
      </c>
      <c r="D622" s="3"/>
      <c r="E622">
        <f>IF(C622="","",VLOOKUP(C622,PointsSystem!$A$2:$B$41,2,FALSE()))</f>
        <v>17</v>
      </c>
    </row>
    <row r="623" spans="1:5" x14ac:dyDescent="0.3">
      <c r="A623">
        <v>16</v>
      </c>
      <c r="B623" t="s">
        <v>80</v>
      </c>
      <c r="C623">
        <v>21</v>
      </c>
      <c r="D623" s="3"/>
      <c r="E623">
        <f>IF(C623="","",VLOOKUP(C623,PointsSystem!$A$2:$B$41,2,FALSE()))</f>
        <v>16</v>
      </c>
    </row>
    <row r="624" spans="1:5" x14ac:dyDescent="0.3">
      <c r="A624">
        <v>16</v>
      </c>
      <c r="B624" t="s">
        <v>80</v>
      </c>
      <c r="C624">
        <v>22</v>
      </c>
      <c r="D624" s="3"/>
      <c r="E624">
        <f>IF(C624="","",VLOOKUP(C624,PointsSystem!$A$2:$B$41,2,FALSE()))</f>
        <v>15</v>
      </c>
    </row>
    <row r="625" spans="1:5" x14ac:dyDescent="0.3">
      <c r="A625">
        <v>16</v>
      </c>
      <c r="B625" t="s">
        <v>80</v>
      </c>
      <c r="C625">
        <v>23</v>
      </c>
      <c r="D625" s="3"/>
      <c r="E625">
        <f>IF(C625="","",VLOOKUP(C625,PointsSystem!$A$2:$B$41,2,FALSE()))</f>
        <v>14</v>
      </c>
    </row>
    <row r="626" spans="1:5" x14ac:dyDescent="0.3">
      <c r="A626">
        <v>16</v>
      </c>
      <c r="B626" t="s">
        <v>80</v>
      </c>
      <c r="C626">
        <v>24</v>
      </c>
      <c r="D626" s="3"/>
      <c r="E626">
        <f>IF(C626="","",VLOOKUP(C626,PointsSystem!$A$2:$B$41,2,FALSE()))</f>
        <v>13</v>
      </c>
    </row>
    <row r="627" spans="1:5" x14ac:dyDescent="0.3">
      <c r="A627">
        <v>16</v>
      </c>
      <c r="B627" t="s">
        <v>80</v>
      </c>
      <c r="C627">
        <v>25</v>
      </c>
      <c r="D627" s="3"/>
      <c r="E627">
        <f>IF(C627="","",VLOOKUP(C627,PointsSystem!$A$2:$B$41,2,FALSE()))</f>
        <v>12</v>
      </c>
    </row>
    <row r="628" spans="1:5" x14ac:dyDescent="0.3">
      <c r="A628">
        <v>16</v>
      </c>
      <c r="B628" t="s">
        <v>80</v>
      </c>
      <c r="C628">
        <v>26</v>
      </c>
      <c r="D628" s="3"/>
      <c r="E628">
        <f>IF(C628="","",VLOOKUP(C628,PointsSystem!$A$2:$B$41,2,FALSE()))</f>
        <v>11</v>
      </c>
    </row>
    <row r="629" spans="1:5" x14ac:dyDescent="0.3">
      <c r="A629">
        <v>16</v>
      </c>
      <c r="B629" t="s">
        <v>80</v>
      </c>
      <c r="C629">
        <v>27</v>
      </c>
      <c r="D629" s="3"/>
      <c r="E629">
        <f>IF(C629="","",VLOOKUP(C629,PointsSystem!$A$2:$B$41,2,FALSE()))</f>
        <v>10</v>
      </c>
    </row>
    <row r="630" spans="1:5" x14ac:dyDescent="0.3">
      <c r="A630">
        <v>16</v>
      </c>
      <c r="B630" t="s">
        <v>80</v>
      </c>
      <c r="C630">
        <v>28</v>
      </c>
      <c r="D630" s="3"/>
      <c r="E630">
        <f>IF(C630="","",VLOOKUP(C630,PointsSystem!$A$2:$B$41,2,FALSE()))</f>
        <v>9</v>
      </c>
    </row>
    <row r="631" spans="1:5" x14ac:dyDescent="0.3">
      <c r="A631">
        <v>16</v>
      </c>
      <c r="B631" t="s">
        <v>80</v>
      </c>
      <c r="C631">
        <v>29</v>
      </c>
      <c r="D631" s="3"/>
      <c r="E631">
        <f>IF(C631="","",VLOOKUP(C631,PointsSystem!$A$2:$B$41,2,FALSE()))</f>
        <v>8</v>
      </c>
    </row>
    <row r="632" spans="1:5" x14ac:dyDescent="0.3">
      <c r="A632">
        <v>16</v>
      </c>
      <c r="B632" t="s">
        <v>80</v>
      </c>
      <c r="C632">
        <v>30</v>
      </c>
      <c r="D632" s="3"/>
      <c r="E632">
        <f>IF(C632="","",VLOOKUP(C632,PointsSystem!$A$2:$B$41,2,FALSE()))</f>
        <v>7</v>
      </c>
    </row>
    <row r="633" spans="1:5" x14ac:dyDescent="0.3">
      <c r="A633">
        <v>16</v>
      </c>
      <c r="B633" t="s">
        <v>80</v>
      </c>
      <c r="C633">
        <v>31</v>
      </c>
      <c r="D633" s="3"/>
      <c r="E633">
        <f>IF(C633="","",VLOOKUP(C633,PointsSystem!$A$2:$B$41,2,FALSE()))</f>
        <v>6</v>
      </c>
    </row>
    <row r="634" spans="1:5" x14ac:dyDescent="0.3">
      <c r="A634">
        <v>16</v>
      </c>
      <c r="B634" t="s">
        <v>80</v>
      </c>
      <c r="C634">
        <v>32</v>
      </c>
      <c r="D634" s="3"/>
      <c r="E634">
        <f>IF(C634="","",VLOOKUP(C634,PointsSystem!$A$2:$B$41,2,FALSE()))</f>
        <v>5</v>
      </c>
    </row>
    <row r="635" spans="1:5" x14ac:dyDescent="0.3">
      <c r="A635">
        <v>16</v>
      </c>
      <c r="B635" t="s">
        <v>80</v>
      </c>
      <c r="C635">
        <v>33</v>
      </c>
      <c r="D635" s="3"/>
      <c r="E635">
        <f>IF(C635="","",VLOOKUP(C635,PointsSystem!$A$2:$B$41,2,FALSE()))</f>
        <v>4</v>
      </c>
    </row>
    <row r="636" spans="1:5" x14ac:dyDescent="0.3">
      <c r="A636">
        <v>16</v>
      </c>
      <c r="B636" t="s">
        <v>80</v>
      </c>
      <c r="C636">
        <v>34</v>
      </c>
      <c r="D636" s="3"/>
      <c r="E636">
        <f>IF(C636="","",VLOOKUP(C636,PointsSystem!$A$2:$B$41,2,FALSE()))</f>
        <v>3</v>
      </c>
    </row>
    <row r="637" spans="1:5" x14ac:dyDescent="0.3">
      <c r="A637">
        <v>16</v>
      </c>
      <c r="B637" t="s">
        <v>80</v>
      </c>
      <c r="C637">
        <v>35</v>
      </c>
      <c r="D637" s="3"/>
      <c r="E637">
        <f>IF(C637="","",VLOOKUP(C637,PointsSystem!$A$2:$B$41,2,FALSE()))</f>
        <v>2</v>
      </c>
    </row>
    <row r="638" spans="1:5" x14ac:dyDescent="0.3">
      <c r="A638">
        <v>16</v>
      </c>
      <c r="B638" t="s">
        <v>80</v>
      </c>
      <c r="C638">
        <v>36</v>
      </c>
      <c r="D638" s="3"/>
      <c r="E638">
        <f>IF(C638="","",VLOOKUP(C638,PointsSystem!$A$2:$B$41,2,FALSE()))</f>
        <v>1</v>
      </c>
    </row>
    <row r="639" spans="1:5" x14ac:dyDescent="0.3">
      <c r="A639">
        <v>16</v>
      </c>
      <c r="B639" t="s">
        <v>80</v>
      </c>
      <c r="C639">
        <v>37</v>
      </c>
      <c r="D639" s="3"/>
      <c r="E639">
        <f>IF(C639="","",VLOOKUP(C639,PointsSystem!$A$2:$B$41,2,FALSE()))</f>
        <v>1</v>
      </c>
    </row>
    <row r="640" spans="1:5" x14ac:dyDescent="0.3">
      <c r="A640">
        <v>16</v>
      </c>
      <c r="B640" t="s">
        <v>80</v>
      </c>
      <c r="C640">
        <v>38</v>
      </c>
      <c r="D640" s="3"/>
      <c r="E640">
        <f>IF(C640="","",VLOOKUP(C640,PointsSystem!$A$2:$B$41,2,FALSE()))</f>
        <v>1</v>
      </c>
    </row>
    <row r="641" spans="1:5" x14ac:dyDescent="0.3">
      <c r="A641">
        <v>16</v>
      </c>
      <c r="B641" t="s">
        <v>80</v>
      </c>
      <c r="C641">
        <v>39</v>
      </c>
      <c r="D641" s="3"/>
      <c r="E641">
        <f>IF(C641="","",VLOOKUP(C641,PointsSystem!$A$2:$B$41,2,FALSE()))</f>
        <v>1</v>
      </c>
    </row>
    <row r="642" spans="1:5" x14ac:dyDescent="0.3">
      <c r="A642">
        <v>16</v>
      </c>
      <c r="B642" t="s">
        <v>80</v>
      </c>
      <c r="C642">
        <v>40</v>
      </c>
      <c r="D642" s="3"/>
      <c r="E642">
        <f>IF(C642="","",VLOOKUP(C642,PointsSystem!$A$2:$B$41,2,FALSE()))</f>
        <v>1</v>
      </c>
    </row>
    <row r="643" spans="1:5" x14ac:dyDescent="0.3">
      <c r="A643">
        <v>17</v>
      </c>
      <c r="B643" t="s">
        <v>82</v>
      </c>
      <c r="C643">
        <v>1</v>
      </c>
      <c r="D643" s="3"/>
      <c r="E643">
        <f>IF(C643="","",VLOOKUP(C643,PointsSystem!$A$2:$B$41,2,FALSE()))</f>
        <v>55</v>
      </c>
    </row>
    <row r="644" spans="1:5" x14ac:dyDescent="0.3">
      <c r="A644">
        <v>17</v>
      </c>
      <c r="B644" t="s">
        <v>82</v>
      </c>
      <c r="C644">
        <v>2</v>
      </c>
      <c r="D644" s="3"/>
      <c r="E644">
        <f>IF(C644="","",VLOOKUP(C644,PointsSystem!$A$2:$B$41,2,FALSE()))</f>
        <v>35</v>
      </c>
    </row>
    <row r="645" spans="1:5" x14ac:dyDescent="0.3">
      <c r="A645">
        <v>17</v>
      </c>
      <c r="B645" t="s">
        <v>82</v>
      </c>
      <c r="C645">
        <v>3</v>
      </c>
      <c r="D645" s="3"/>
      <c r="E645">
        <f>IF(C645="","",VLOOKUP(C645,PointsSystem!$A$2:$B$41,2,FALSE()))</f>
        <v>34</v>
      </c>
    </row>
    <row r="646" spans="1:5" x14ac:dyDescent="0.3">
      <c r="A646">
        <v>17</v>
      </c>
      <c r="B646" t="s">
        <v>82</v>
      </c>
      <c r="C646">
        <v>4</v>
      </c>
      <c r="D646" s="3"/>
      <c r="E646">
        <f>IF(C646="","",VLOOKUP(C646,PointsSystem!$A$2:$B$41,2,FALSE()))</f>
        <v>33</v>
      </c>
    </row>
    <row r="647" spans="1:5" x14ac:dyDescent="0.3">
      <c r="A647">
        <v>17</v>
      </c>
      <c r="B647" t="s">
        <v>82</v>
      </c>
      <c r="C647">
        <v>5</v>
      </c>
      <c r="D647" s="3"/>
      <c r="E647">
        <f>IF(C647="","",VLOOKUP(C647,PointsSystem!$A$2:$B$41,2,FALSE()))</f>
        <v>32</v>
      </c>
    </row>
    <row r="648" spans="1:5" x14ac:dyDescent="0.3">
      <c r="A648">
        <v>17</v>
      </c>
      <c r="B648" t="s">
        <v>82</v>
      </c>
      <c r="C648">
        <v>6</v>
      </c>
      <c r="D648" s="3"/>
      <c r="E648">
        <f>IF(C648="","",VLOOKUP(C648,PointsSystem!$A$2:$B$41,2,FALSE()))</f>
        <v>31</v>
      </c>
    </row>
    <row r="649" spans="1:5" x14ac:dyDescent="0.3">
      <c r="A649">
        <v>17</v>
      </c>
      <c r="B649" t="s">
        <v>82</v>
      </c>
      <c r="C649">
        <v>7</v>
      </c>
      <c r="D649" s="3"/>
      <c r="E649">
        <f>IF(C649="","",VLOOKUP(C649,PointsSystem!$A$2:$B$41,2,FALSE()))</f>
        <v>30</v>
      </c>
    </row>
    <row r="650" spans="1:5" x14ac:dyDescent="0.3">
      <c r="A650">
        <v>17</v>
      </c>
      <c r="B650" t="s">
        <v>82</v>
      </c>
      <c r="C650">
        <v>8</v>
      </c>
      <c r="D650" s="3"/>
      <c r="E650">
        <f>IF(C650="","",VLOOKUP(C650,PointsSystem!$A$2:$B$41,2,FALSE()))</f>
        <v>29</v>
      </c>
    </row>
    <row r="651" spans="1:5" x14ac:dyDescent="0.3">
      <c r="A651">
        <v>17</v>
      </c>
      <c r="B651" t="s">
        <v>82</v>
      </c>
      <c r="C651">
        <v>9</v>
      </c>
      <c r="D651" s="3"/>
      <c r="E651">
        <f>IF(C651="","",VLOOKUP(C651,PointsSystem!$A$2:$B$41,2,FALSE()))</f>
        <v>28</v>
      </c>
    </row>
    <row r="652" spans="1:5" x14ac:dyDescent="0.3">
      <c r="A652">
        <v>17</v>
      </c>
      <c r="B652" t="s">
        <v>82</v>
      </c>
      <c r="C652">
        <v>10</v>
      </c>
      <c r="D652" s="3"/>
      <c r="E652">
        <f>IF(C652="","",VLOOKUP(C652,PointsSystem!$A$2:$B$41,2,FALSE()))</f>
        <v>27</v>
      </c>
    </row>
    <row r="653" spans="1:5" x14ac:dyDescent="0.3">
      <c r="A653">
        <v>17</v>
      </c>
      <c r="B653" t="s">
        <v>82</v>
      </c>
      <c r="C653">
        <v>11</v>
      </c>
      <c r="D653" s="3"/>
      <c r="E653">
        <f>IF(C653="","",VLOOKUP(C653,PointsSystem!$A$2:$B$41,2,FALSE()))</f>
        <v>26</v>
      </c>
    </row>
    <row r="654" spans="1:5" x14ac:dyDescent="0.3">
      <c r="A654">
        <v>17</v>
      </c>
      <c r="B654" t="s">
        <v>82</v>
      </c>
      <c r="C654">
        <v>12</v>
      </c>
      <c r="D654" s="3"/>
      <c r="E654">
        <f>IF(C654="","",VLOOKUP(C654,PointsSystem!$A$2:$B$41,2,FALSE()))</f>
        <v>25</v>
      </c>
    </row>
    <row r="655" spans="1:5" x14ac:dyDescent="0.3">
      <c r="A655">
        <v>17</v>
      </c>
      <c r="B655" t="s">
        <v>82</v>
      </c>
      <c r="C655">
        <v>13</v>
      </c>
      <c r="D655" s="3"/>
      <c r="E655">
        <f>IF(C655="","",VLOOKUP(C655,PointsSystem!$A$2:$B$41,2,FALSE()))</f>
        <v>24</v>
      </c>
    </row>
    <row r="656" spans="1:5" x14ac:dyDescent="0.3">
      <c r="A656">
        <v>17</v>
      </c>
      <c r="B656" t="s">
        <v>82</v>
      </c>
      <c r="C656">
        <v>14</v>
      </c>
      <c r="D656" s="3"/>
      <c r="E656">
        <f>IF(C656="","",VLOOKUP(C656,PointsSystem!$A$2:$B$41,2,FALSE()))</f>
        <v>23</v>
      </c>
    </row>
    <row r="657" spans="1:5" x14ac:dyDescent="0.3">
      <c r="A657">
        <v>17</v>
      </c>
      <c r="B657" t="s">
        <v>82</v>
      </c>
      <c r="C657">
        <v>15</v>
      </c>
      <c r="D657" s="3"/>
      <c r="E657">
        <f>IF(C657="","",VLOOKUP(C657,PointsSystem!$A$2:$B$41,2,FALSE()))</f>
        <v>22</v>
      </c>
    </row>
    <row r="658" spans="1:5" x14ac:dyDescent="0.3">
      <c r="A658">
        <v>17</v>
      </c>
      <c r="B658" t="s">
        <v>82</v>
      </c>
      <c r="C658">
        <v>16</v>
      </c>
      <c r="D658" s="3"/>
      <c r="E658">
        <f>IF(C658="","",VLOOKUP(C658,PointsSystem!$A$2:$B$41,2,FALSE()))</f>
        <v>21</v>
      </c>
    </row>
    <row r="659" spans="1:5" x14ac:dyDescent="0.3">
      <c r="A659">
        <v>17</v>
      </c>
      <c r="B659" t="s">
        <v>82</v>
      </c>
      <c r="C659">
        <v>17</v>
      </c>
      <c r="D659" s="3"/>
      <c r="E659">
        <f>IF(C659="","",VLOOKUP(C659,PointsSystem!$A$2:$B$41,2,FALSE()))</f>
        <v>20</v>
      </c>
    </row>
    <row r="660" spans="1:5" x14ac:dyDescent="0.3">
      <c r="A660">
        <v>17</v>
      </c>
      <c r="B660" t="s">
        <v>82</v>
      </c>
      <c r="C660">
        <v>18</v>
      </c>
      <c r="D660" s="3"/>
      <c r="E660">
        <f>IF(C660="","",VLOOKUP(C660,PointsSystem!$A$2:$B$41,2,FALSE()))</f>
        <v>19</v>
      </c>
    </row>
    <row r="661" spans="1:5" x14ac:dyDescent="0.3">
      <c r="A661">
        <v>17</v>
      </c>
      <c r="B661" t="s">
        <v>82</v>
      </c>
      <c r="C661">
        <v>19</v>
      </c>
      <c r="D661" s="3"/>
      <c r="E661">
        <f>IF(C661="","",VLOOKUP(C661,PointsSystem!$A$2:$B$41,2,FALSE()))</f>
        <v>18</v>
      </c>
    </row>
    <row r="662" spans="1:5" x14ac:dyDescent="0.3">
      <c r="A662">
        <v>17</v>
      </c>
      <c r="B662" t="s">
        <v>82</v>
      </c>
      <c r="C662">
        <v>20</v>
      </c>
      <c r="D662" s="3"/>
      <c r="E662">
        <f>IF(C662="","",VLOOKUP(C662,PointsSystem!$A$2:$B$41,2,FALSE()))</f>
        <v>17</v>
      </c>
    </row>
    <row r="663" spans="1:5" x14ac:dyDescent="0.3">
      <c r="A663">
        <v>17</v>
      </c>
      <c r="B663" t="s">
        <v>82</v>
      </c>
      <c r="C663">
        <v>21</v>
      </c>
      <c r="D663" s="3"/>
      <c r="E663">
        <f>IF(C663="","",VLOOKUP(C663,PointsSystem!$A$2:$B$41,2,FALSE()))</f>
        <v>16</v>
      </c>
    </row>
    <row r="664" spans="1:5" x14ac:dyDescent="0.3">
      <c r="A664">
        <v>17</v>
      </c>
      <c r="B664" t="s">
        <v>82</v>
      </c>
      <c r="C664">
        <v>22</v>
      </c>
      <c r="D664" s="3"/>
      <c r="E664">
        <f>IF(C664="","",VLOOKUP(C664,PointsSystem!$A$2:$B$41,2,FALSE()))</f>
        <v>15</v>
      </c>
    </row>
    <row r="665" spans="1:5" x14ac:dyDescent="0.3">
      <c r="A665">
        <v>17</v>
      </c>
      <c r="B665" t="s">
        <v>82</v>
      </c>
      <c r="C665">
        <v>23</v>
      </c>
      <c r="D665" s="3"/>
      <c r="E665">
        <f>IF(C665="","",VLOOKUP(C665,PointsSystem!$A$2:$B$41,2,FALSE()))</f>
        <v>14</v>
      </c>
    </row>
    <row r="666" spans="1:5" x14ac:dyDescent="0.3">
      <c r="A666">
        <v>17</v>
      </c>
      <c r="B666" t="s">
        <v>82</v>
      </c>
      <c r="C666">
        <v>24</v>
      </c>
      <c r="D666" s="3"/>
      <c r="E666">
        <f>IF(C666="","",VLOOKUP(C666,PointsSystem!$A$2:$B$41,2,FALSE()))</f>
        <v>13</v>
      </c>
    </row>
    <row r="667" spans="1:5" x14ac:dyDescent="0.3">
      <c r="A667">
        <v>17</v>
      </c>
      <c r="B667" t="s">
        <v>82</v>
      </c>
      <c r="C667">
        <v>25</v>
      </c>
      <c r="D667" s="3"/>
      <c r="E667">
        <f>IF(C667="","",VLOOKUP(C667,PointsSystem!$A$2:$B$41,2,FALSE()))</f>
        <v>12</v>
      </c>
    </row>
    <row r="668" spans="1:5" x14ac:dyDescent="0.3">
      <c r="A668">
        <v>17</v>
      </c>
      <c r="B668" t="s">
        <v>82</v>
      </c>
      <c r="C668">
        <v>26</v>
      </c>
      <c r="D668" s="3"/>
      <c r="E668">
        <f>IF(C668="","",VLOOKUP(C668,PointsSystem!$A$2:$B$41,2,FALSE()))</f>
        <v>11</v>
      </c>
    </row>
    <row r="669" spans="1:5" x14ac:dyDescent="0.3">
      <c r="A669">
        <v>17</v>
      </c>
      <c r="B669" t="s">
        <v>82</v>
      </c>
      <c r="C669">
        <v>27</v>
      </c>
      <c r="D669" s="3"/>
      <c r="E669">
        <f>IF(C669="","",VLOOKUP(C669,PointsSystem!$A$2:$B$41,2,FALSE()))</f>
        <v>10</v>
      </c>
    </row>
    <row r="670" spans="1:5" x14ac:dyDescent="0.3">
      <c r="A670">
        <v>17</v>
      </c>
      <c r="B670" t="s">
        <v>82</v>
      </c>
      <c r="C670">
        <v>28</v>
      </c>
      <c r="D670" s="3"/>
      <c r="E670">
        <f>IF(C670="","",VLOOKUP(C670,PointsSystem!$A$2:$B$41,2,FALSE()))</f>
        <v>9</v>
      </c>
    </row>
    <row r="671" spans="1:5" x14ac:dyDescent="0.3">
      <c r="A671">
        <v>17</v>
      </c>
      <c r="B671" t="s">
        <v>82</v>
      </c>
      <c r="C671">
        <v>29</v>
      </c>
      <c r="D671" s="3"/>
      <c r="E671">
        <f>IF(C671="","",VLOOKUP(C671,PointsSystem!$A$2:$B$41,2,FALSE()))</f>
        <v>8</v>
      </c>
    </row>
    <row r="672" spans="1:5" x14ac:dyDescent="0.3">
      <c r="A672">
        <v>17</v>
      </c>
      <c r="B672" t="s">
        <v>82</v>
      </c>
      <c r="C672">
        <v>30</v>
      </c>
      <c r="D672" s="3"/>
      <c r="E672">
        <f>IF(C672="","",VLOOKUP(C672,PointsSystem!$A$2:$B$41,2,FALSE()))</f>
        <v>7</v>
      </c>
    </row>
    <row r="673" spans="1:5" x14ac:dyDescent="0.3">
      <c r="A673">
        <v>17</v>
      </c>
      <c r="B673" t="s">
        <v>82</v>
      </c>
      <c r="C673">
        <v>31</v>
      </c>
      <c r="D673" s="3"/>
      <c r="E673">
        <f>IF(C673="","",VLOOKUP(C673,PointsSystem!$A$2:$B$41,2,FALSE()))</f>
        <v>6</v>
      </c>
    </row>
    <row r="674" spans="1:5" x14ac:dyDescent="0.3">
      <c r="A674">
        <v>17</v>
      </c>
      <c r="B674" t="s">
        <v>82</v>
      </c>
      <c r="C674">
        <v>32</v>
      </c>
      <c r="D674" s="3"/>
      <c r="E674">
        <f>IF(C674="","",VLOOKUP(C674,PointsSystem!$A$2:$B$41,2,FALSE()))</f>
        <v>5</v>
      </c>
    </row>
    <row r="675" spans="1:5" x14ac:dyDescent="0.3">
      <c r="A675">
        <v>17</v>
      </c>
      <c r="B675" t="s">
        <v>82</v>
      </c>
      <c r="C675">
        <v>33</v>
      </c>
      <c r="D675" s="3"/>
      <c r="E675">
        <f>IF(C675="","",VLOOKUP(C675,PointsSystem!$A$2:$B$41,2,FALSE()))</f>
        <v>4</v>
      </c>
    </row>
    <row r="676" spans="1:5" x14ac:dyDescent="0.3">
      <c r="A676">
        <v>17</v>
      </c>
      <c r="B676" t="s">
        <v>82</v>
      </c>
      <c r="C676">
        <v>34</v>
      </c>
      <c r="D676" s="3"/>
      <c r="E676">
        <f>IF(C676="","",VLOOKUP(C676,PointsSystem!$A$2:$B$41,2,FALSE()))</f>
        <v>3</v>
      </c>
    </row>
    <row r="677" spans="1:5" x14ac:dyDescent="0.3">
      <c r="A677">
        <v>17</v>
      </c>
      <c r="B677" t="s">
        <v>82</v>
      </c>
      <c r="C677">
        <v>35</v>
      </c>
      <c r="D677" s="3"/>
      <c r="E677">
        <f>IF(C677="","",VLOOKUP(C677,PointsSystem!$A$2:$B$41,2,FALSE()))</f>
        <v>2</v>
      </c>
    </row>
    <row r="678" spans="1:5" x14ac:dyDescent="0.3">
      <c r="A678">
        <v>17</v>
      </c>
      <c r="B678" t="s">
        <v>82</v>
      </c>
      <c r="C678">
        <v>36</v>
      </c>
      <c r="D678" s="3"/>
      <c r="E678">
        <f>IF(C678="","",VLOOKUP(C678,PointsSystem!$A$2:$B$41,2,FALSE()))</f>
        <v>1</v>
      </c>
    </row>
    <row r="679" spans="1:5" x14ac:dyDescent="0.3">
      <c r="A679">
        <v>17</v>
      </c>
      <c r="B679" t="s">
        <v>82</v>
      </c>
      <c r="C679">
        <v>37</v>
      </c>
      <c r="D679" s="3"/>
      <c r="E679">
        <f>IF(C679="","",VLOOKUP(C679,PointsSystem!$A$2:$B$41,2,FALSE()))</f>
        <v>1</v>
      </c>
    </row>
    <row r="680" spans="1:5" x14ac:dyDescent="0.3">
      <c r="A680">
        <v>17</v>
      </c>
      <c r="B680" t="s">
        <v>82</v>
      </c>
      <c r="C680">
        <v>38</v>
      </c>
      <c r="D680" s="3"/>
      <c r="E680">
        <f>IF(C680="","",VLOOKUP(C680,PointsSystem!$A$2:$B$41,2,FALSE()))</f>
        <v>1</v>
      </c>
    </row>
    <row r="681" spans="1:5" x14ac:dyDescent="0.3">
      <c r="A681">
        <v>17</v>
      </c>
      <c r="B681" t="s">
        <v>82</v>
      </c>
      <c r="C681">
        <v>39</v>
      </c>
      <c r="D681" s="3"/>
      <c r="E681">
        <f>IF(C681="","",VLOOKUP(C681,PointsSystem!$A$2:$B$41,2,FALSE()))</f>
        <v>1</v>
      </c>
    </row>
    <row r="682" spans="1:5" x14ac:dyDescent="0.3">
      <c r="A682">
        <v>17</v>
      </c>
      <c r="B682" t="s">
        <v>82</v>
      </c>
      <c r="C682">
        <v>40</v>
      </c>
      <c r="D682" s="3"/>
      <c r="E682">
        <f>IF(C682="","",VLOOKUP(C682,PointsSystem!$A$2:$B$41,2,FALSE()))</f>
        <v>1</v>
      </c>
    </row>
    <row r="683" spans="1:5" x14ac:dyDescent="0.3">
      <c r="A683">
        <v>18</v>
      </c>
      <c r="B683" t="s">
        <v>84</v>
      </c>
      <c r="C683">
        <v>1</v>
      </c>
      <c r="D683" s="3"/>
      <c r="E683">
        <f>IF(C683="","",VLOOKUP(C683,PointsSystem!$A$2:$B$41,2,FALSE()))</f>
        <v>55</v>
      </c>
    </row>
    <row r="684" spans="1:5" x14ac:dyDescent="0.3">
      <c r="A684">
        <v>18</v>
      </c>
      <c r="B684" t="s">
        <v>84</v>
      </c>
      <c r="C684">
        <v>2</v>
      </c>
      <c r="D684" s="3"/>
      <c r="E684">
        <f>IF(C684="","",VLOOKUP(C684,PointsSystem!$A$2:$B$41,2,FALSE()))</f>
        <v>35</v>
      </c>
    </row>
    <row r="685" spans="1:5" x14ac:dyDescent="0.3">
      <c r="A685">
        <v>18</v>
      </c>
      <c r="B685" t="s">
        <v>84</v>
      </c>
      <c r="C685">
        <v>3</v>
      </c>
      <c r="D685" s="3"/>
      <c r="E685">
        <f>IF(C685="","",VLOOKUP(C685,PointsSystem!$A$2:$B$41,2,FALSE()))</f>
        <v>34</v>
      </c>
    </row>
    <row r="686" spans="1:5" x14ac:dyDescent="0.3">
      <c r="A686">
        <v>18</v>
      </c>
      <c r="B686" t="s">
        <v>84</v>
      </c>
      <c r="C686">
        <v>4</v>
      </c>
      <c r="D686" s="3"/>
      <c r="E686">
        <f>IF(C686="","",VLOOKUP(C686,PointsSystem!$A$2:$B$41,2,FALSE()))</f>
        <v>33</v>
      </c>
    </row>
    <row r="687" spans="1:5" x14ac:dyDescent="0.3">
      <c r="A687">
        <v>18</v>
      </c>
      <c r="B687" t="s">
        <v>84</v>
      </c>
      <c r="C687">
        <v>5</v>
      </c>
      <c r="D687" s="3"/>
      <c r="E687">
        <f>IF(C687="","",VLOOKUP(C687,PointsSystem!$A$2:$B$41,2,FALSE()))</f>
        <v>32</v>
      </c>
    </row>
    <row r="688" spans="1:5" x14ac:dyDescent="0.3">
      <c r="A688">
        <v>18</v>
      </c>
      <c r="B688" t="s">
        <v>84</v>
      </c>
      <c r="C688">
        <v>6</v>
      </c>
      <c r="D688" s="3"/>
      <c r="E688">
        <f>IF(C688="","",VLOOKUP(C688,PointsSystem!$A$2:$B$41,2,FALSE()))</f>
        <v>31</v>
      </c>
    </row>
    <row r="689" spans="1:5" x14ac:dyDescent="0.3">
      <c r="A689">
        <v>18</v>
      </c>
      <c r="B689" t="s">
        <v>84</v>
      </c>
      <c r="C689">
        <v>7</v>
      </c>
      <c r="D689" s="3"/>
      <c r="E689">
        <f>IF(C689="","",VLOOKUP(C689,PointsSystem!$A$2:$B$41,2,FALSE()))</f>
        <v>30</v>
      </c>
    </row>
    <row r="690" spans="1:5" x14ac:dyDescent="0.3">
      <c r="A690">
        <v>18</v>
      </c>
      <c r="B690" t="s">
        <v>84</v>
      </c>
      <c r="C690">
        <v>8</v>
      </c>
      <c r="D690" s="3"/>
      <c r="E690">
        <f>IF(C690="","",VLOOKUP(C690,PointsSystem!$A$2:$B$41,2,FALSE()))</f>
        <v>29</v>
      </c>
    </row>
    <row r="691" spans="1:5" x14ac:dyDescent="0.3">
      <c r="A691">
        <v>18</v>
      </c>
      <c r="B691" t="s">
        <v>84</v>
      </c>
      <c r="C691">
        <v>9</v>
      </c>
      <c r="D691" s="3"/>
      <c r="E691">
        <f>IF(C691="","",VLOOKUP(C691,PointsSystem!$A$2:$B$41,2,FALSE()))</f>
        <v>28</v>
      </c>
    </row>
    <row r="692" spans="1:5" x14ac:dyDescent="0.3">
      <c r="A692">
        <v>18</v>
      </c>
      <c r="B692" t="s">
        <v>84</v>
      </c>
      <c r="C692">
        <v>10</v>
      </c>
      <c r="D692" s="3"/>
      <c r="E692">
        <f>IF(C692="","",VLOOKUP(C692,PointsSystem!$A$2:$B$41,2,FALSE()))</f>
        <v>27</v>
      </c>
    </row>
    <row r="693" spans="1:5" x14ac:dyDescent="0.3">
      <c r="A693">
        <v>18</v>
      </c>
      <c r="B693" t="s">
        <v>84</v>
      </c>
      <c r="C693">
        <v>11</v>
      </c>
      <c r="D693" s="3"/>
      <c r="E693">
        <f>IF(C693="","",VLOOKUP(C693,PointsSystem!$A$2:$B$41,2,FALSE()))</f>
        <v>26</v>
      </c>
    </row>
    <row r="694" spans="1:5" x14ac:dyDescent="0.3">
      <c r="A694">
        <v>18</v>
      </c>
      <c r="B694" t="s">
        <v>84</v>
      </c>
      <c r="C694">
        <v>12</v>
      </c>
      <c r="D694" s="3"/>
      <c r="E694">
        <f>IF(C694="","",VLOOKUP(C694,PointsSystem!$A$2:$B$41,2,FALSE()))</f>
        <v>25</v>
      </c>
    </row>
    <row r="695" spans="1:5" x14ac:dyDescent="0.3">
      <c r="A695">
        <v>18</v>
      </c>
      <c r="B695" t="s">
        <v>84</v>
      </c>
      <c r="C695">
        <v>13</v>
      </c>
      <c r="D695" s="3"/>
      <c r="E695">
        <f>IF(C695="","",VLOOKUP(C695,PointsSystem!$A$2:$B$41,2,FALSE()))</f>
        <v>24</v>
      </c>
    </row>
    <row r="696" spans="1:5" x14ac:dyDescent="0.3">
      <c r="A696">
        <v>18</v>
      </c>
      <c r="B696" t="s">
        <v>84</v>
      </c>
      <c r="C696">
        <v>14</v>
      </c>
      <c r="D696" s="3"/>
      <c r="E696">
        <f>IF(C696="","",VLOOKUP(C696,PointsSystem!$A$2:$B$41,2,FALSE()))</f>
        <v>23</v>
      </c>
    </row>
    <row r="697" spans="1:5" x14ac:dyDescent="0.3">
      <c r="A697">
        <v>18</v>
      </c>
      <c r="B697" t="s">
        <v>84</v>
      </c>
      <c r="C697">
        <v>15</v>
      </c>
      <c r="D697" s="3"/>
      <c r="E697">
        <f>IF(C697="","",VLOOKUP(C697,PointsSystem!$A$2:$B$41,2,FALSE()))</f>
        <v>22</v>
      </c>
    </row>
    <row r="698" spans="1:5" x14ac:dyDescent="0.3">
      <c r="A698">
        <v>18</v>
      </c>
      <c r="B698" t="s">
        <v>84</v>
      </c>
      <c r="C698">
        <v>16</v>
      </c>
      <c r="D698" s="3"/>
      <c r="E698">
        <f>IF(C698="","",VLOOKUP(C698,PointsSystem!$A$2:$B$41,2,FALSE()))</f>
        <v>21</v>
      </c>
    </row>
    <row r="699" spans="1:5" x14ac:dyDescent="0.3">
      <c r="A699">
        <v>18</v>
      </c>
      <c r="B699" t="s">
        <v>84</v>
      </c>
      <c r="C699">
        <v>17</v>
      </c>
      <c r="D699" s="3"/>
      <c r="E699">
        <f>IF(C699="","",VLOOKUP(C699,PointsSystem!$A$2:$B$41,2,FALSE()))</f>
        <v>20</v>
      </c>
    </row>
    <row r="700" spans="1:5" x14ac:dyDescent="0.3">
      <c r="A700">
        <v>18</v>
      </c>
      <c r="B700" t="s">
        <v>84</v>
      </c>
      <c r="C700">
        <v>18</v>
      </c>
      <c r="D700" s="3"/>
      <c r="E700">
        <f>IF(C700="","",VLOOKUP(C700,PointsSystem!$A$2:$B$41,2,FALSE()))</f>
        <v>19</v>
      </c>
    </row>
    <row r="701" spans="1:5" x14ac:dyDescent="0.3">
      <c r="A701">
        <v>18</v>
      </c>
      <c r="B701" t="s">
        <v>84</v>
      </c>
      <c r="C701">
        <v>19</v>
      </c>
      <c r="D701" s="3"/>
      <c r="E701">
        <f>IF(C701="","",VLOOKUP(C701,PointsSystem!$A$2:$B$41,2,FALSE()))</f>
        <v>18</v>
      </c>
    </row>
    <row r="702" spans="1:5" x14ac:dyDescent="0.3">
      <c r="A702">
        <v>18</v>
      </c>
      <c r="B702" t="s">
        <v>84</v>
      </c>
      <c r="C702">
        <v>20</v>
      </c>
      <c r="D702" s="3"/>
      <c r="E702">
        <f>IF(C702="","",VLOOKUP(C702,PointsSystem!$A$2:$B$41,2,FALSE()))</f>
        <v>17</v>
      </c>
    </row>
    <row r="703" spans="1:5" x14ac:dyDescent="0.3">
      <c r="A703">
        <v>18</v>
      </c>
      <c r="B703" t="s">
        <v>84</v>
      </c>
      <c r="C703">
        <v>21</v>
      </c>
      <c r="D703" s="3"/>
      <c r="E703">
        <f>IF(C703="","",VLOOKUP(C703,PointsSystem!$A$2:$B$41,2,FALSE()))</f>
        <v>16</v>
      </c>
    </row>
    <row r="704" spans="1:5" x14ac:dyDescent="0.3">
      <c r="A704">
        <v>18</v>
      </c>
      <c r="B704" t="s">
        <v>84</v>
      </c>
      <c r="C704">
        <v>22</v>
      </c>
      <c r="D704" s="3"/>
      <c r="E704">
        <f>IF(C704="","",VLOOKUP(C704,PointsSystem!$A$2:$B$41,2,FALSE()))</f>
        <v>15</v>
      </c>
    </row>
    <row r="705" spans="1:5" x14ac:dyDescent="0.3">
      <c r="A705">
        <v>18</v>
      </c>
      <c r="B705" t="s">
        <v>84</v>
      </c>
      <c r="C705">
        <v>23</v>
      </c>
      <c r="D705" s="3"/>
      <c r="E705">
        <f>IF(C705="","",VLOOKUP(C705,PointsSystem!$A$2:$B$41,2,FALSE()))</f>
        <v>14</v>
      </c>
    </row>
    <row r="706" spans="1:5" x14ac:dyDescent="0.3">
      <c r="A706">
        <v>18</v>
      </c>
      <c r="B706" t="s">
        <v>84</v>
      </c>
      <c r="C706">
        <v>24</v>
      </c>
      <c r="D706" s="3"/>
      <c r="E706">
        <f>IF(C706="","",VLOOKUP(C706,PointsSystem!$A$2:$B$41,2,FALSE()))</f>
        <v>13</v>
      </c>
    </row>
    <row r="707" spans="1:5" x14ac:dyDescent="0.3">
      <c r="A707">
        <v>18</v>
      </c>
      <c r="B707" t="s">
        <v>84</v>
      </c>
      <c r="C707">
        <v>25</v>
      </c>
      <c r="D707" s="3"/>
      <c r="E707">
        <f>IF(C707="","",VLOOKUP(C707,PointsSystem!$A$2:$B$41,2,FALSE()))</f>
        <v>12</v>
      </c>
    </row>
    <row r="708" spans="1:5" x14ac:dyDescent="0.3">
      <c r="A708">
        <v>18</v>
      </c>
      <c r="B708" t="s">
        <v>84</v>
      </c>
      <c r="C708">
        <v>26</v>
      </c>
      <c r="D708" s="3"/>
      <c r="E708">
        <f>IF(C708="","",VLOOKUP(C708,PointsSystem!$A$2:$B$41,2,FALSE()))</f>
        <v>11</v>
      </c>
    </row>
    <row r="709" spans="1:5" x14ac:dyDescent="0.3">
      <c r="A709">
        <v>18</v>
      </c>
      <c r="B709" t="s">
        <v>84</v>
      </c>
      <c r="C709">
        <v>27</v>
      </c>
      <c r="D709" s="3"/>
      <c r="E709">
        <f>IF(C709="","",VLOOKUP(C709,PointsSystem!$A$2:$B$41,2,FALSE()))</f>
        <v>10</v>
      </c>
    </row>
    <row r="710" spans="1:5" x14ac:dyDescent="0.3">
      <c r="A710">
        <v>18</v>
      </c>
      <c r="B710" t="s">
        <v>84</v>
      </c>
      <c r="C710">
        <v>28</v>
      </c>
      <c r="D710" s="3"/>
      <c r="E710">
        <f>IF(C710="","",VLOOKUP(C710,PointsSystem!$A$2:$B$41,2,FALSE()))</f>
        <v>9</v>
      </c>
    </row>
    <row r="711" spans="1:5" x14ac:dyDescent="0.3">
      <c r="A711">
        <v>18</v>
      </c>
      <c r="B711" t="s">
        <v>84</v>
      </c>
      <c r="C711">
        <v>29</v>
      </c>
      <c r="D711" s="3"/>
      <c r="E711">
        <f>IF(C711="","",VLOOKUP(C711,PointsSystem!$A$2:$B$41,2,FALSE()))</f>
        <v>8</v>
      </c>
    </row>
    <row r="712" spans="1:5" x14ac:dyDescent="0.3">
      <c r="A712">
        <v>18</v>
      </c>
      <c r="B712" t="s">
        <v>84</v>
      </c>
      <c r="C712">
        <v>30</v>
      </c>
      <c r="D712" s="3"/>
      <c r="E712">
        <f>IF(C712="","",VLOOKUP(C712,PointsSystem!$A$2:$B$41,2,FALSE()))</f>
        <v>7</v>
      </c>
    </row>
    <row r="713" spans="1:5" x14ac:dyDescent="0.3">
      <c r="A713">
        <v>18</v>
      </c>
      <c r="B713" t="s">
        <v>84</v>
      </c>
      <c r="C713">
        <v>31</v>
      </c>
      <c r="D713" s="3"/>
      <c r="E713">
        <f>IF(C713="","",VLOOKUP(C713,PointsSystem!$A$2:$B$41,2,FALSE()))</f>
        <v>6</v>
      </c>
    </row>
    <row r="714" spans="1:5" x14ac:dyDescent="0.3">
      <c r="A714">
        <v>18</v>
      </c>
      <c r="B714" t="s">
        <v>84</v>
      </c>
      <c r="C714">
        <v>32</v>
      </c>
      <c r="D714" s="3"/>
      <c r="E714">
        <f>IF(C714="","",VLOOKUP(C714,PointsSystem!$A$2:$B$41,2,FALSE()))</f>
        <v>5</v>
      </c>
    </row>
    <row r="715" spans="1:5" x14ac:dyDescent="0.3">
      <c r="A715">
        <v>18</v>
      </c>
      <c r="B715" t="s">
        <v>84</v>
      </c>
      <c r="C715">
        <v>33</v>
      </c>
      <c r="D715" s="3"/>
      <c r="E715">
        <f>IF(C715="","",VLOOKUP(C715,PointsSystem!$A$2:$B$41,2,FALSE()))</f>
        <v>4</v>
      </c>
    </row>
    <row r="716" spans="1:5" x14ac:dyDescent="0.3">
      <c r="A716">
        <v>18</v>
      </c>
      <c r="B716" t="s">
        <v>84</v>
      </c>
      <c r="C716">
        <v>34</v>
      </c>
      <c r="D716" s="3"/>
      <c r="E716">
        <f>IF(C716="","",VLOOKUP(C716,PointsSystem!$A$2:$B$41,2,FALSE()))</f>
        <v>3</v>
      </c>
    </row>
    <row r="717" spans="1:5" x14ac:dyDescent="0.3">
      <c r="A717">
        <v>18</v>
      </c>
      <c r="B717" t="s">
        <v>84</v>
      </c>
      <c r="C717">
        <v>35</v>
      </c>
      <c r="D717" s="3"/>
      <c r="E717">
        <f>IF(C717="","",VLOOKUP(C717,PointsSystem!$A$2:$B$41,2,FALSE()))</f>
        <v>2</v>
      </c>
    </row>
    <row r="718" spans="1:5" x14ac:dyDescent="0.3">
      <c r="A718">
        <v>18</v>
      </c>
      <c r="B718" t="s">
        <v>84</v>
      </c>
      <c r="C718">
        <v>36</v>
      </c>
      <c r="D718" s="3"/>
      <c r="E718">
        <f>IF(C718="","",VLOOKUP(C718,PointsSystem!$A$2:$B$41,2,FALSE()))</f>
        <v>1</v>
      </c>
    </row>
    <row r="719" spans="1:5" x14ac:dyDescent="0.3">
      <c r="A719">
        <v>18</v>
      </c>
      <c r="B719" t="s">
        <v>84</v>
      </c>
      <c r="C719">
        <v>37</v>
      </c>
      <c r="D719" s="3"/>
      <c r="E719">
        <f>IF(C719="","",VLOOKUP(C719,PointsSystem!$A$2:$B$41,2,FALSE()))</f>
        <v>1</v>
      </c>
    </row>
    <row r="720" spans="1:5" x14ac:dyDescent="0.3">
      <c r="A720">
        <v>18</v>
      </c>
      <c r="B720" t="s">
        <v>84</v>
      </c>
      <c r="C720">
        <v>38</v>
      </c>
      <c r="D720" s="3"/>
      <c r="E720">
        <f>IF(C720="","",VLOOKUP(C720,PointsSystem!$A$2:$B$41,2,FALSE()))</f>
        <v>1</v>
      </c>
    </row>
    <row r="721" spans="1:5" x14ac:dyDescent="0.3">
      <c r="A721">
        <v>18</v>
      </c>
      <c r="B721" t="s">
        <v>84</v>
      </c>
      <c r="C721">
        <v>39</v>
      </c>
      <c r="D721" s="3"/>
      <c r="E721">
        <f>IF(C721="","",VLOOKUP(C721,PointsSystem!$A$2:$B$41,2,FALSE()))</f>
        <v>1</v>
      </c>
    </row>
    <row r="722" spans="1:5" x14ac:dyDescent="0.3">
      <c r="A722">
        <v>18</v>
      </c>
      <c r="B722" t="s">
        <v>84</v>
      </c>
      <c r="C722">
        <v>40</v>
      </c>
      <c r="D722" s="3"/>
      <c r="E722">
        <f>IF(C722="","",VLOOKUP(C722,PointsSystem!$A$2:$B$41,2,FALSE()))</f>
        <v>1</v>
      </c>
    </row>
    <row r="723" spans="1:5" x14ac:dyDescent="0.3">
      <c r="A723">
        <v>19</v>
      </c>
      <c r="B723" t="s">
        <v>87</v>
      </c>
      <c r="C723">
        <v>1</v>
      </c>
      <c r="D723" s="3"/>
      <c r="E723">
        <f>IF(C723="","",VLOOKUP(C723,PointsSystem!$A$2:$B$41,2,FALSE()))</f>
        <v>55</v>
      </c>
    </row>
    <row r="724" spans="1:5" x14ac:dyDescent="0.3">
      <c r="A724">
        <v>19</v>
      </c>
      <c r="B724" t="s">
        <v>87</v>
      </c>
      <c r="C724">
        <v>2</v>
      </c>
      <c r="D724" s="3"/>
      <c r="E724">
        <f>IF(C724="","",VLOOKUP(C724,PointsSystem!$A$2:$B$41,2,FALSE()))</f>
        <v>35</v>
      </c>
    </row>
    <row r="725" spans="1:5" x14ac:dyDescent="0.3">
      <c r="A725">
        <v>19</v>
      </c>
      <c r="B725" t="s">
        <v>87</v>
      </c>
      <c r="C725">
        <v>3</v>
      </c>
      <c r="D725" s="3"/>
      <c r="E725">
        <f>IF(C725="","",VLOOKUP(C725,PointsSystem!$A$2:$B$41,2,FALSE()))</f>
        <v>34</v>
      </c>
    </row>
    <row r="726" spans="1:5" x14ac:dyDescent="0.3">
      <c r="A726">
        <v>19</v>
      </c>
      <c r="B726" t="s">
        <v>87</v>
      </c>
      <c r="C726">
        <v>4</v>
      </c>
      <c r="D726" s="3"/>
      <c r="E726">
        <f>IF(C726="","",VLOOKUP(C726,PointsSystem!$A$2:$B$41,2,FALSE()))</f>
        <v>33</v>
      </c>
    </row>
    <row r="727" spans="1:5" x14ac:dyDescent="0.3">
      <c r="A727">
        <v>19</v>
      </c>
      <c r="B727" t="s">
        <v>87</v>
      </c>
      <c r="C727">
        <v>5</v>
      </c>
      <c r="D727" s="3"/>
      <c r="E727">
        <f>IF(C727="","",VLOOKUP(C727,PointsSystem!$A$2:$B$41,2,FALSE()))</f>
        <v>32</v>
      </c>
    </row>
    <row r="728" spans="1:5" x14ac:dyDescent="0.3">
      <c r="A728">
        <v>19</v>
      </c>
      <c r="B728" t="s">
        <v>87</v>
      </c>
      <c r="C728">
        <v>6</v>
      </c>
      <c r="D728" s="3"/>
      <c r="E728">
        <f>IF(C728="","",VLOOKUP(C728,PointsSystem!$A$2:$B$41,2,FALSE()))</f>
        <v>31</v>
      </c>
    </row>
    <row r="729" spans="1:5" x14ac:dyDescent="0.3">
      <c r="A729">
        <v>19</v>
      </c>
      <c r="B729" t="s">
        <v>87</v>
      </c>
      <c r="C729">
        <v>7</v>
      </c>
      <c r="D729" s="3"/>
      <c r="E729">
        <f>IF(C729="","",VLOOKUP(C729,PointsSystem!$A$2:$B$41,2,FALSE()))</f>
        <v>30</v>
      </c>
    </row>
    <row r="730" spans="1:5" x14ac:dyDescent="0.3">
      <c r="A730">
        <v>19</v>
      </c>
      <c r="B730" t="s">
        <v>87</v>
      </c>
      <c r="C730">
        <v>8</v>
      </c>
      <c r="D730" s="3"/>
      <c r="E730">
        <f>IF(C730="","",VLOOKUP(C730,PointsSystem!$A$2:$B$41,2,FALSE()))</f>
        <v>29</v>
      </c>
    </row>
    <row r="731" spans="1:5" x14ac:dyDescent="0.3">
      <c r="A731">
        <v>19</v>
      </c>
      <c r="B731" t="s">
        <v>87</v>
      </c>
      <c r="C731">
        <v>9</v>
      </c>
      <c r="D731" s="3"/>
      <c r="E731">
        <f>IF(C731="","",VLOOKUP(C731,PointsSystem!$A$2:$B$41,2,FALSE()))</f>
        <v>28</v>
      </c>
    </row>
    <row r="732" spans="1:5" x14ac:dyDescent="0.3">
      <c r="A732">
        <v>19</v>
      </c>
      <c r="B732" t="s">
        <v>87</v>
      </c>
      <c r="C732">
        <v>10</v>
      </c>
      <c r="D732" s="3"/>
      <c r="E732">
        <f>IF(C732="","",VLOOKUP(C732,PointsSystem!$A$2:$B$41,2,FALSE()))</f>
        <v>27</v>
      </c>
    </row>
    <row r="733" spans="1:5" x14ac:dyDescent="0.3">
      <c r="A733">
        <v>19</v>
      </c>
      <c r="B733" t="s">
        <v>87</v>
      </c>
      <c r="C733">
        <v>11</v>
      </c>
      <c r="D733" s="3"/>
      <c r="E733">
        <f>IF(C733="","",VLOOKUP(C733,PointsSystem!$A$2:$B$41,2,FALSE()))</f>
        <v>26</v>
      </c>
    </row>
    <row r="734" spans="1:5" x14ac:dyDescent="0.3">
      <c r="A734">
        <v>19</v>
      </c>
      <c r="B734" t="s">
        <v>87</v>
      </c>
      <c r="C734">
        <v>12</v>
      </c>
      <c r="D734" s="3"/>
      <c r="E734">
        <f>IF(C734="","",VLOOKUP(C734,PointsSystem!$A$2:$B$41,2,FALSE()))</f>
        <v>25</v>
      </c>
    </row>
    <row r="735" spans="1:5" x14ac:dyDescent="0.3">
      <c r="A735">
        <v>19</v>
      </c>
      <c r="B735" t="s">
        <v>87</v>
      </c>
      <c r="C735">
        <v>13</v>
      </c>
      <c r="D735" s="3"/>
      <c r="E735">
        <f>IF(C735="","",VLOOKUP(C735,PointsSystem!$A$2:$B$41,2,FALSE()))</f>
        <v>24</v>
      </c>
    </row>
    <row r="736" spans="1:5" x14ac:dyDescent="0.3">
      <c r="A736">
        <v>19</v>
      </c>
      <c r="B736" t="s">
        <v>87</v>
      </c>
      <c r="C736">
        <v>14</v>
      </c>
      <c r="D736" s="3"/>
      <c r="E736">
        <f>IF(C736="","",VLOOKUP(C736,PointsSystem!$A$2:$B$41,2,FALSE()))</f>
        <v>23</v>
      </c>
    </row>
    <row r="737" spans="1:5" x14ac:dyDescent="0.3">
      <c r="A737">
        <v>19</v>
      </c>
      <c r="B737" t="s">
        <v>87</v>
      </c>
      <c r="C737">
        <v>15</v>
      </c>
      <c r="D737" s="3"/>
      <c r="E737">
        <f>IF(C737="","",VLOOKUP(C737,PointsSystem!$A$2:$B$41,2,FALSE()))</f>
        <v>22</v>
      </c>
    </row>
    <row r="738" spans="1:5" x14ac:dyDescent="0.3">
      <c r="A738">
        <v>19</v>
      </c>
      <c r="B738" t="s">
        <v>87</v>
      </c>
      <c r="C738">
        <v>16</v>
      </c>
      <c r="D738" s="3"/>
      <c r="E738">
        <f>IF(C738="","",VLOOKUP(C738,PointsSystem!$A$2:$B$41,2,FALSE()))</f>
        <v>21</v>
      </c>
    </row>
    <row r="739" spans="1:5" x14ac:dyDescent="0.3">
      <c r="A739">
        <v>19</v>
      </c>
      <c r="B739" t="s">
        <v>87</v>
      </c>
      <c r="C739">
        <v>17</v>
      </c>
      <c r="D739" s="3"/>
      <c r="E739">
        <f>IF(C739="","",VLOOKUP(C739,PointsSystem!$A$2:$B$41,2,FALSE()))</f>
        <v>20</v>
      </c>
    </row>
    <row r="740" spans="1:5" x14ac:dyDescent="0.3">
      <c r="A740">
        <v>19</v>
      </c>
      <c r="B740" t="s">
        <v>87</v>
      </c>
      <c r="C740">
        <v>18</v>
      </c>
      <c r="D740" s="3"/>
      <c r="E740">
        <f>IF(C740="","",VLOOKUP(C740,PointsSystem!$A$2:$B$41,2,FALSE()))</f>
        <v>19</v>
      </c>
    </row>
    <row r="741" spans="1:5" x14ac:dyDescent="0.3">
      <c r="A741">
        <v>19</v>
      </c>
      <c r="B741" t="s">
        <v>87</v>
      </c>
      <c r="C741">
        <v>19</v>
      </c>
      <c r="D741" s="3"/>
      <c r="E741">
        <f>IF(C741="","",VLOOKUP(C741,PointsSystem!$A$2:$B$41,2,FALSE()))</f>
        <v>18</v>
      </c>
    </row>
    <row r="742" spans="1:5" x14ac:dyDescent="0.3">
      <c r="A742">
        <v>19</v>
      </c>
      <c r="B742" t="s">
        <v>87</v>
      </c>
      <c r="C742">
        <v>20</v>
      </c>
      <c r="D742" s="3"/>
      <c r="E742">
        <f>IF(C742="","",VLOOKUP(C742,PointsSystem!$A$2:$B$41,2,FALSE()))</f>
        <v>17</v>
      </c>
    </row>
    <row r="743" spans="1:5" x14ac:dyDescent="0.3">
      <c r="A743">
        <v>19</v>
      </c>
      <c r="B743" t="s">
        <v>87</v>
      </c>
      <c r="C743">
        <v>21</v>
      </c>
      <c r="D743" s="3"/>
      <c r="E743">
        <f>IF(C743="","",VLOOKUP(C743,PointsSystem!$A$2:$B$41,2,FALSE()))</f>
        <v>16</v>
      </c>
    </row>
    <row r="744" spans="1:5" x14ac:dyDescent="0.3">
      <c r="A744">
        <v>19</v>
      </c>
      <c r="B744" t="s">
        <v>87</v>
      </c>
      <c r="C744">
        <v>22</v>
      </c>
      <c r="D744" s="3"/>
      <c r="E744">
        <f>IF(C744="","",VLOOKUP(C744,PointsSystem!$A$2:$B$41,2,FALSE()))</f>
        <v>15</v>
      </c>
    </row>
    <row r="745" spans="1:5" x14ac:dyDescent="0.3">
      <c r="A745">
        <v>19</v>
      </c>
      <c r="B745" t="s">
        <v>87</v>
      </c>
      <c r="C745">
        <v>23</v>
      </c>
      <c r="D745" s="3"/>
      <c r="E745">
        <f>IF(C745="","",VLOOKUP(C745,PointsSystem!$A$2:$B$41,2,FALSE()))</f>
        <v>14</v>
      </c>
    </row>
    <row r="746" spans="1:5" x14ac:dyDescent="0.3">
      <c r="A746">
        <v>19</v>
      </c>
      <c r="B746" t="s">
        <v>87</v>
      </c>
      <c r="C746">
        <v>24</v>
      </c>
      <c r="D746" s="3"/>
      <c r="E746">
        <f>IF(C746="","",VLOOKUP(C746,PointsSystem!$A$2:$B$41,2,FALSE()))</f>
        <v>13</v>
      </c>
    </row>
    <row r="747" spans="1:5" x14ac:dyDescent="0.3">
      <c r="A747">
        <v>19</v>
      </c>
      <c r="B747" t="s">
        <v>87</v>
      </c>
      <c r="C747">
        <v>25</v>
      </c>
      <c r="D747" s="3"/>
      <c r="E747">
        <f>IF(C747="","",VLOOKUP(C747,PointsSystem!$A$2:$B$41,2,FALSE()))</f>
        <v>12</v>
      </c>
    </row>
    <row r="748" spans="1:5" x14ac:dyDescent="0.3">
      <c r="A748">
        <v>19</v>
      </c>
      <c r="B748" t="s">
        <v>87</v>
      </c>
      <c r="C748">
        <v>26</v>
      </c>
      <c r="D748" s="3"/>
      <c r="E748">
        <f>IF(C748="","",VLOOKUP(C748,PointsSystem!$A$2:$B$41,2,FALSE()))</f>
        <v>11</v>
      </c>
    </row>
    <row r="749" spans="1:5" x14ac:dyDescent="0.3">
      <c r="A749">
        <v>19</v>
      </c>
      <c r="B749" t="s">
        <v>87</v>
      </c>
      <c r="C749">
        <v>27</v>
      </c>
      <c r="D749" s="3"/>
      <c r="E749">
        <f>IF(C749="","",VLOOKUP(C749,PointsSystem!$A$2:$B$41,2,FALSE()))</f>
        <v>10</v>
      </c>
    </row>
    <row r="750" spans="1:5" x14ac:dyDescent="0.3">
      <c r="A750">
        <v>19</v>
      </c>
      <c r="B750" t="s">
        <v>87</v>
      </c>
      <c r="C750">
        <v>28</v>
      </c>
      <c r="D750" s="3"/>
      <c r="E750">
        <f>IF(C750="","",VLOOKUP(C750,PointsSystem!$A$2:$B$41,2,FALSE()))</f>
        <v>9</v>
      </c>
    </row>
    <row r="751" spans="1:5" x14ac:dyDescent="0.3">
      <c r="A751">
        <v>19</v>
      </c>
      <c r="B751" t="s">
        <v>87</v>
      </c>
      <c r="C751">
        <v>29</v>
      </c>
      <c r="D751" s="3"/>
      <c r="E751">
        <f>IF(C751="","",VLOOKUP(C751,PointsSystem!$A$2:$B$41,2,FALSE()))</f>
        <v>8</v>
      </c>
    </row>
    <row r="752" spans="1:5" x14ac:dyDescent="0.3">
      <c r="A752">
        <v>19</v>
      </c>
      <c r="B752" t="s">
        <v>87</v>
      </c>
      <c r="C752">
        <v>30</v>
      </c>
      <c r="D752" s="3"/>
      <c r="E752">
        <f>IF(C752="","",VLOOKUP(C752,PointsSystem!$A$2:$B$41,2,FALSE()))</f>
        <v>7</v>
      </c>
    </row>
    <row r="753" spans="1:5" x14ac:dyDescent="0.3">
      <c r="A753">
        <v>19</v>
      </c>
      <c r="B753" t="s">
        <v>87</v>
      </c>
      <c r="C753">
        <v>31</v>
      </c>
      <c r="D753" s="3"/>
      <c r="E753">
        <f>IF(C753="","",VLOOKUP(C753,PointsSystem!$A$2:$B$41,2,FALSE()))</f>
        <v>6</v>
      </c>
    </row>
    <row r="754" spans="1:5" x14ac:dyDescent="0.3">
      <c r="A754">
        <v>19</v>
      </c>
      <c r="B754" t="s">
        <v>87</v>
      </c>
      <c r="C754">
        <v>32</v>
      </c>
      <c r="D754" s="3"/>
      <c r="E754">
        <f>IF(C754="","",VLOOKUP(C754,PointsSystem!$A$2:$B$41,2,FALSE()))</f>
        <v>5</v>
      </c>
    </row>
    <row r="755" spans="1:5" x14ac:dyDescent="0.3">
      <c r="A755">
        <v>19</v>
      </c>
      <c r="B755" t="s">
        <v>87</v>
      </c>
      <c r="C755">
        <v>33</v>
      </c>
      <c r="D755" s="3"/>
      <c r="E755">
        <f>IF(C755="","",VLOOKUP(C755,PointsSystem!$A$2:$B$41,2,FALSE()))</f>
        <v>4</v>
      </c>
    </row>
    <row r="756" spans="1:5" x14ac:dyDescent="0.3">
      <c r="A756">
        <v>19</v>
      </c>
      <c r="B756" t="s">
        <v>87</v>
      </c>
      <c r="C756">
        <v>34</v>
      </c>
      <c r="D756" s="3"/>
      <c r="E756">
        <f>IF(C756="","",VLOOKUP(C756,PointsSystem!$A$2:$B$41,2,FALSE()))</f>
        <v>3</v>
      </c>
    </row>
    <row r="757" spans="1:5" x14ac:dyDescent="0.3">
      <c r="A757">
        <v>19</v>
      </c>
      <c r="B757" t="s">
        <v>87</v>
      </c>
      <c r="C757">
        <v>35</v>
      </c>
      <c r="D757" s="3"/>
      <c r="E757">
        <f>IF(C757="","",VLOOKUP(C757,PointsSystem!$A$2:$B$41,2,FALSE()))</f>
        <v>2</v>
      </c>
    </row>
    <row r="758" spans="1:5" x14ac:dyDescent="0.3">
      <c r="A758">
        <v>19</v>
      </c>
      <c r="B758" t="s">
        <v>87</v>
      </c>
      <c r="C758">
        <v>36</v>
      </c>
      <c r="D758" s="3"/>
      <c r="E758">
        <f>IF(C758="","",VLOOKUP(C758,PointsSystem!$A$2:$B$41,2,FALSE()))</f>
        <v>1</v>
      </c>
    </row>
    <row r="759" spans="1:5" x14ac:dyDescent="0.3">
      <c r="A759">
        <v>19</v>
      </c>
      <c r="B759" t="s">
        <v>87</v>
      </c>
      <c r="C759">
        <v>37</v>
      </c>
      <c r="D759" s="3"/>
      <c r="E759">
        <f>IF(C759="","",VLOOKUP(C759,PointsSystem!$A$2:$B$41,2,FALSE()))</f>
        <v>1</v>
      </c>
    </row>
    <row r="760" spans="1:5" x14ac:dyDescent="0.3">
      <c r="A760">
        <v>19</v>
      </c>
      <c r="B760" t="s">
        <v>87</v>
      </c>
      <c r="C760">
        <v>38</v>
      </c>
      <c r="D760" s="3"/>
      <c r="E760">
        <f>IF(C760="","",VLOOKUP(C760,PointsSystem!$A$2:$B$41,2,FALSE()))</f>
        <v>1</v>
      </c>
    </row>
    <row r="761" spans="1:5" x14ac:dyDescent="0.3">
      <c r="A761">
        <v>19</v>
      </c>
      <c r="B761" t="s">
        <v>87</v>
      </c>
      <c r="C761">
        <v>39</v>
      </c>
      <c r="D761" s="3"/>
      <c r="E761">
        <f>IF(C761="","",VLOOKUP(C761,PointsSystem!$A$2:$B$41,2,FALSE()))</f>
        <v>1</v>
      </c>
    </row>
    <row r="762" spans="1:5" x14ac:dyDescent="0.3">
      <c r="A762">
        <v>19</v>
      </c>
      <c r="B762" t="s">
        <v>87</v>
      </c>
      <c r="C762">
        <v>40</v>
      </c>
      <c r="D762" s="3"/>
      <c r="E762">
        <f>IF(C762="","",VLOOKUP(C762,PointsSystem!$A$2:$B$41,2,FALSE()))</f>
        <v>1</v>
      </c>
    </row>
    <row r="763" spans="1:5" x14ac:dyDescent="0.3">
      <c r="A763">
        <v>20</v>
      </c>
      <c r="B763" t="s">
        <v>50</v>
      </c>
      <c r="C763">
        <v>1</v>
      </c>
      <c r="D763" s="3"/>
      <c r="E763">
        <f>IF(C763="","",VLOOKUP(C763,PointsSystem!$A$2:$B$41,2,FALSE()))</f>
        <v>55</v>
      </c>
    </row>
    <row r="764" spans="1:5" x14ac:dyDescent="0.3">
      <c r="A764">
        <v>20</v>
      </c>
      <c r="B764" t="s">
        <v>50</v>
      </c>
      <c r="C764">
        <v>2</v>
      </c>
      <c r="D764" s="3"/>
      <c r="E764">
        <f>IF(C764="","",VLOOKUP(C764,PointsSystem!$A$2:$B$41,2,FALSE()))</f>
        <v>35</v>
      </c>
    </row>
    <row r="765" spans="1:5" x14ac:dyDescent="0.3">
      <c r="A765">
        <v>20</v>
      </c>
      <c r="B765" t="s">
        <v>50</v>
      </c>
      <c r="C765">
        <v>3</v>
      </c>
      <c r="D765" s="3"/>
      <c r="E765">
        <f>IF(C765="","",VLOOKUP(C765,PointsSystem!$A$2:$B$41,2,FALSE()))</f>
        <v>34</v>
      </c>
    </row>
    <row r="766" spans="1:5" x14ac:dyDescent="0.3">
      <c r="A766">
        <v>20</v>
      </c>
      <c r="B766" t="s">
        <v>50</v>
      </c>
      <c r="C766">
        <v>4</v>
      </c>
      <c r="D766" s="3"/>
      <c r="E766">
        <f>IF(C766="","",VLOOKUP(C766,PointsSystem!$A$2:$B$41,2,FALSE()))</f>
        <v>33</v>
      </c>
    </row>
    <row r="767" spans="1:5" x14ac:dyDescent="0.3">
      <c r="A767">
        <v>20</v>
      </c>
      <c r="B767" t="s">
        <v>50</v>
      </c>
      <c r="C767">
        <v>5</v>
      </c>
      <c r="D767" s="3"/>
      <c r="E767">
        <f>IF(C767="","",VLOOKUP(C767,PointsSystem!$A$2:$B$41,2,FALSE()))</f>
        <v>32</v>
      </c>
    </row>
    <row r="768" spans="1:5" x14ac:dyDescent="0.3">
      <c r="A768">
        <v>20</v>
      </c>
      <c r="B768" t="s">
        <v>50</v>
      </c>
      <c r="C768">
        <v>6</v>
      </c>
      <c r="D768" s="3"/>
      <c r="E768">
        <f>IF(C768="","",VLOOKUP(C768,PointsSystem!$A$2:$B$41,2,FALSE()))</f>
        <v>31</v>
      </c>
    </row>
    <row r="769" spans="1:5" x14ac:dyDescent="0.3">
      <c r="A769">
        <v>20</v>
      </c>
      <c r="B769" t="s">
        <v>50</v>
      </c>
      <c r="C769">
        <v>7</v>
      </c>
      <c r="D769" s="3"/>
      <c r="E769">
        <f>IF(C769="","",VLOOKUP(C769,PointsSystem!$A$2:$B$41,2,FALSE()))</f>
        <v>30</v>
      </c>
    </row>
    <row r="770" spans="1:5" x14ac:dyDescent="0.3">
      <c r="A770">
        <v>20</v>
      </c>
      <c r="B770" t="s">
        <v>50</v>
      </c>
      <c r="C770">
        <v>8</v>
      </c>
      <c r="D770" s="3"/>
      <c r="E770">
        <f>IF(C770="","",VLOOKUP(C770,PointsSystem!$A$2:$B$41,2,FALSE()))</f>
        <v>29</v>
      </c>
    </row>
    <row r="771" spans="1:5" x14ac:dyDescent="0.3">
      <c r="A771">
        <v>20</v>
      </c>
      <c r="B771" t="s">
        <v>50</v>
      </c>
      <c r="C771">
        <v>9</v>
      </c>
      <c r="D771" s="3"/>
      <c r="E771">
        <f>IF(C771="","",VLOOKUP(C771,PointsSystem!$A$2:$B$41,2,FALSE()))</f>
        <v>28</v>
      </c>
    </row>
    <row r="772" spans="1:5" x14ac:dyDescent="0.3">
      <c r="A772">
        <v>20</v>
      </c>
      <c r="B772" t="s">
        <v>50</v>
      </c>
      <c r="C772">
        <v>10</v>
      </c>
      <c r="D772" s="3"/>
      <c r="E772">
        <f>IF(C772="","",VLOOKUP(C772,PointsSystem!$A$2:$B$41,2,FALSE()))</f>
        <v>27</v>
      </c>
    </row>
    <row r="773" spans="1:5" x14ac:dyDescent="0.3">
      <c r="A773">
        <v>20</v>
      </c>
      <c r="B773" t="s">
        <v>50</v>
      </c>
      <c r="C773">
        <v>11</v>
      </c>
      <c r="D773" s="3"/>
      <c r="E773">
        <f>IF(C773="","",VLOOKUP(C773,PointsSystem!$A$2:$B$41,2,FALSE()))</f>
        <v>26</v>
      </c>
    </row>
    <row r="774" spans="1:5" x14ac:dyDescent="0.3">
      <c r="A774">
        <v>20</v>
      </c>
      <c r="B774" t="s">
        <v>50</v>
      </c>
      <c r="C774">
        <v>12</v>
      </c>
      <c r="D774" s="3"/>
      <c r="E774">
        <f>IF(C774="","",VLOOKUP(C774,PointsSystem!$A$2:$B$41,2,FALSE()))</f>
        <v>25</v>
      </c>
    </row>
    <row r="775" spans="1:5" x14ac:dyDescent="0.3">
      <c r="A775">
        <v>20</v>
      </c>
      <c r="B775" t="s">
        <v>50</v>
      </c>
      <c r="C775">
        <v>13</v>
      </c>
      <c r="D775" s="3"/>
      <c r="E775">
        <f>IF(C775="","",VLOOKUP(C775,PointsSystem!$A$2:$B$41,2,FALSE()))</f>
        <v>24</v>
      </c>
    </row>
    <row r="776" spans="1:5" x14ac:dyDescent="0.3">
      <c r="A776">
        <v>20</v>
      </c>
      <c r="B776" t="s">
        <v>50</v>
      </c>
      <c r="C776">
        <v>14</v>
      </c>
      <c r="D776" s="3"/>
      <c r="E776">
        <f>IF(C776="","",VLOOKUP(C776,PointsSystem!$A$2:$B$41,2,FALSE()))</f>
        <v>23</v>
      </c>
    </row>
    <row r="777" spans="1:5" x14ac:dyDescent="0.3">
      <c r="A777">
        <v>20</v>
      </c>
      <c r="B777" t="s">
        <v>50</v>
      </c>
      <c r="C777">
        <v>15</v>
      </c>
      <c r="D777" s="3"/>
      <c r="E777">
        <f>IF(C777="","",VLOOKUP(C777,PointsSystem!$A$2:$B$41,2,FALSE()))</f>
        <v>22</v>
      </c>
    </row>
    <row r="778" spans="1:5" x14ac:dyDescent="0.3">
      <c r="A778">
        <v>20</v>
      </c>
      <c r="B778" t="s">
        <v>50</v>
      </c>
      <c r="C778">
        <v>16</v>
      </c>
      <c r="D778" s="3"/>
      <c r="E778">
        <f>IF(C778="","",VLOOKUP(C778,PointsSystem!$A$2:$B$41,2,FALSE()))</f>
        <v>21</v>
      </c>
    </row>
    <row r="779" spans="1:5" x14ac:dyDescent="0.3">
      <c r="A779">
        <v>20</v>
      </c>
      <c r="B779" t="s">
        <v>50</v>
      </c>
      <c r="C779">
        <v>17</v>
      </c>
      <c r="D779" s="3"/>
      <c r="E779">
        <f>IF(C779="","",VLOOKUP(C779,PointsSystem!$A$2:$B$41,2,FALSE()))</f>
        <v>20</v>
      </c>
    </row>
    <row r="780" spans="1:5" x14ac:dyDescent="0.3">
      <c r="A780">
        <v>20</v>
      </c>
      <c r="B780" t="s">
        <v>50</v>
      </c>
      <c r="C780">
        <v>18</v>
      </c>
      <c r="D780" s="3"/>
      <c r="E780">
        <f>IF(C780="","",VLOOKUP(C780,PointsSystem!$A$2:$B$41,2,FALSE()))</f>
        <v>19</v>
      </c>
    </row>
    <row r="781" spans="1:5" x14ac:dyDescent="0.3">
      <c r="A781">
        <v>20</v>
      </c>
      <c r="B781" t="s">
        <v>50</v>
      </c>
      <c r="C781">
        <v>19</v>
      </c>
      <c r="D781" s="3"/>
      <c r="E781">
        <f>IF(C781="","",VLOOKUP(C781,PointsSystem!$A$2:$B$41,2,FALSE()))</f>
        <v>18</v>
      </c>
    </row>
    <row r="782" spans="1:5" x14ac:dyDescent="0.3">
      <c r="A782">
        <v>20</v>
      </c>
      <c r="B782" t="s">
        <v>50</v>
      </c>
      <c r="C782">
        <v>20</v>
      </c>
      <c r="D782" s="3"/>
      <c r="E782">
        <f>IF(C782="","",VLOOKUP(C782,PointsSystem!$A$2:$B$41,2,FALSE()))</f>
        <v>17</v>
      </c>
    </row>
    <row r="783" spans="1:5" x14ac:dyDescent="0.3">
      <c r="A783">
        <v>20</v>
      </c>
      <c r="B783" t="s">
        <v>50</v>
      </c>
      <c r="C783">
        <v>21</v>
      </c>
      <c r="D783" s="3"/>
      <c r="E783">
        <f>IF(C783="","",VLOOKUP(C783,PointsSystem!$A$2:$B$41,2,FALSE()))</f>
        <v>16</v>
      </c>
    </row>
    <row r="784" spans="1:5" x14ac:dyDescent="0.3">
      <c r="A784">
        <v>20</v>
      </c>
      <c r="B784" t="s">
        <v>50</v>
      </c>
      <c r="C784">
        <v>22</v>
      </c>
      <c r="D784" s="3"/>
      <c r="E784">
        <f>IF(C784="","",VLOOKUP(C784,PointsSystem!$A$2:$B$41,2,FALSE()))</f>
        <v>15</v>
      </c>
    </row>
    <row r="785" spans="1:5" x14ac:dyDescent="0.3">
      <c r="A785">
        <v>20</v>
      </c>
      <c r="B785" t="s">
        <v>50</v>
      </c>
      <c r="C785">
        <v>23</v>
      </c>
      <c r="D785" s="3"/>
      <c r="E785">
        <f>IF(C785="","",VLOOKUP(C785,PointsSystem!$A$2:$B$41,2,FALSE()))</f>
        <v>14</v>
      </c>
    </row>
    <row r="786" spans="1:5" x14ac:dyDescent="0.3">
      <c r="A786">
        <v>20</v>
      </c>
      <c r="B786" t="s">
        <v>50</v>
      </c>
      <c r="C786">
        <v>24</v>
      </c>
      <c r="D786" s="3"/>
      <c r="E786">
        <f>IF(C786="","",VLOOKUP(C786,PointsSystem!$A$2:$B$41,2,FALSE()))</f>
        <v>13</v>
      </c>
    </row>
    <row r="787" spans="1:5" x14ac:dyDescent="0.3">
      <c r="A787">
        <v>20</v>
      </c>
      <c r="B787" t="s">
        <v>50</v>
      </c>
      <c r="C787">
        <v>25</v>
      </c>
      <c r="D787" s="3"/>
      <c r="E787">
        <f>IF(C787="","",VLOOKUP(C787,PointsSystem!$A$2:$B$41,2,FALSE()))</f>
        <v>12</v>
      </c>
    </row>
    <row r="788" spans="1:5" x14ac:dyDescent="0.3">
      <c r="A788">
        <v>20</v>
      </c>
      <c r="B788" t="s">
        <v>50</v>
      </c>
      <c r="C788">
        <v>26</v>
      </c>
      <c r="D788" s="3"/>
      <c r="E788">
        <f>IF(C788="","",VLOOKUP(C788,PointsSystem!$A$2:$B$41,2,FALSE()))</f>
        <v>11</v>
      </c>
    </row>
    <row r="789" spans="1:5" x14ac:dyDescent="0.3">
      <c r="A789">
        <v>20</v>
      </c>
      <c r="B789" t="s">
        <v>50</v>
      </c>
      <c r="C789">
        <v>27</v>
      </c>
      <c r="D789" s="3"/>
      <c r="E789">
        <f>IF(C789="","",VLOOKUP(C789,PointsSystem!$A$2:$B$41,2,FALSE()))</f>
        <v>10</v>
      </c>
    </row>
    <row r="790" spans="1:5" x14ac:dyDescent="0.3">
      <c r="A790">
        <v>20</v>
      </c>
      <c r="B790" t="s">
        <v>50</v>
      </c>
      <c r="C790">
        <v>28</v>
      </c>
      <c r="D790" s="3"/>
      <c r="E790">
        <f>IF(C790="","",VLOOKUP(C790,PointsSystem!$A$2:$B$41,2,FALSE()))</f>
        <v>9</v>
      </c>
    </row>
    <row r="791" spans="1:5" x14ac:dyDescent="0.3">
      <c r="A791">
        <v>20</v>
      </c>
      <c r="B791" t="s">
        <v>50</v>
      </c>
      <c r="C791">
        <v>29</v>
      </c>
      <c r="D791" s="3"/>
      <c r="E791">
        <f>IF(C791="","",VLOOKUP(C791,PointsSystem!$A$2:$B$41,2,FALSE()))</f>
        <v>8</v>
      </c>
    </row>
    <row r="792" spans="1:5" x14ac:dyDescent="0.3">
      <c r="A792">
        <v>20</v>
      </c>
      <c r="B792" t="s">
        <v>50</v>
      </c>
      <c r="C792">
        <v>30</v>
      </c>
      <c r="D792" s="3"/>
      <c r="E792">
        <f>IF(C792="","",VLOOKUP(C792,PointsSystem!$A$2:$B$41,2,FALSE()))</f>
        <v>7</v>
      </c>
    </row>
    <row r="793" spans="1:5" x14ac:dyDescent="0.3">
      <c r="A793">
        <v>20</v>
      </c>
      <c r="B793" t="s">
        <v>50</v>
      </c>
      <c r="C793">
        <v>31</v>
      </c>
      <c r="D793" s="3"/>
      <c r="E793">
        <f>IF(C793="","",VLOOKUP(C793,PointsSystem!$A$2:$B$41,2,FALSE()))</f>
        <v>6</v>
      </c>
    </row>
    <row r="794" spans="1:5" x14ac:dyDescent="0.3">
      <c r="A794">
        <v>20</v>
      </c>
      <c r="B794" t="s">
        <v>50</v>
      </c>
      <c r="C794">
        <v>32</v>
      </c>
      <c r="D794" s="3"/>
      <c r="E794">
        <f>IF(C794="","",VLOOKUP(C794,PointsSystem!$A$2:$B$41,2,FALSE()))</f>
        <v>5</v>
      </c>
    </row>
    <row r="795" spans="1:5" x14ac:dyDescent="0.3">
      <c r="A795">
        <v>20</v>
      </c>
      <c r="B795" t="s">
        <v>50</v>
      </c>
      <c r="C795">
        <v>33</v>
      </c>
      <c r="D795" s="3"/>
      <c r="E795">
        <f>IF(C795="","",VLOOKUP(C795,PointsSystem!$A$2:$B$41,2,FALSE()))</f>
        <v>4</v>
      </c>
    </row>
    <row r="796" spans="1:5" x14ac:dyDescent="0.3">
      <c r="A796">
        <v>20</v>
      </c>
      <c r="B796" t="s">
        <v>50</v>
      </c>
      <c r="C796">
        <v>34</v>
      </c>
      <c r="D796" s="3"/>
      <c r="E796">
        <f>IF(C796="","",VLOOKUP(C796,PointsSystem!$A$2:$B$41,2,FALSE()))</f>
        <v>3</v>
      </c>
    </row>
    <row r="797" spans="1:5" x14ac:dyDescent="0.3">
      <c r="A797">
        <v>20</v>
      </c>
      <c r="B797" t="s">
        <v>50</v>
      </c>
      <c r="C797">
        <v>35</v>
      </c>
      <c r="D797" s="3"/>
      <c r="E797">
        <f>IF(C797="","",VLOOKUP(C797,PointsSystem!$A$2:$B$41,2,FALSE()))</f>
        <v>2</v>
      </c>
    </row>
    <row r="798" spans="1:5" x14ac:dyDescent="0.3">
      <c r="A798">
        <v>20</v>
      </c>
      <c r="B798" t="s">
        <v>50</v>
      </c>
      <c r="C798">
        <v>36</v>
      </c>
      <c r="D798" s="3"/>
      <c r="E798">
        <f>IF(C798="","",VLOOKUP(C798,PointsSystem!$A$2:$B$41,2,FALSE()))</f>
        <v>1</v>
      </c>
    </row>
    <row r="799" spans="1:5" x14ac:dyDescent="0.3">
      <c r="A799">
        <v>20</v>
      </c>
      <c r="B799" t="s">
        <v>50</v>
      </c>
      <c r="C799">
        <v>37</v>
      </c>
      <c r="D799" s="3"/>
      <c r="E799">
        <f>IF(C799="","",VLOOKUP(C799,PointsSystem!$A$2:$B$41,2,FALSE()))</f>
        <v>1</v>
      </c>
    </row>
    <row r="800" spans="1:5" x14ac:dyDescent="0.3">
      <c r="A800">
        <v>20</v>
      </c>
      <c r="B800" t="s">
        <v>50</v>
      </c>
      <c r="C800">
        <v>38</v>
      </c>
      <c r="D800" s="3"/>
      <c r="E800">
        <f>IF(C800="","",VLOOKUP(C800,PointsSystem!$A$2:$B$41,2,FALSE()))</f>
        <v>1</v>
      </c>
    </row>
    <row r="801" spans="1:5" x14ac:dyDescent="0.3">
      <c r="A801">
        <v>20</v>
      </c>
      <c r="B801" t="s">
        <v>50</v>
      </c>
      <c r="C801">
        <v>39</v>
      </c>
      <c r="D801" s="3"/>
      <c r="E801">
        <f>IF(C801="","",VLOOKUP(C801,PointsSystem!$A$2:$B$41,2,FALSE()))</f>
        <v>1</v>
      </c>
    </row>
    <row r="802" spans="1:5" x14ac:dyDescent="0.3">
      <c r="A802">
        <v>20</v>
      </c>
      <c r="B802" t="s">
        <v>50</v>
      </c>
      <c r="C802">
        <v>40</v>
      </c>
      <c r="D802" s="3"/>
      <c r="E802">
        <f>IF(C802="","",VLOOKUP(C802,PointsSystem!$A$2:$B$41,2,FALSE()))</f>
        <v>1</v>
      </c>
    </row>
    <row r="803" spans="1:5" x14ac:dyDescent="0.3">
      <c r="A803">
        <v>21</v>
      </c>
      <c r="B803" t="s">
        <v>90</v>
      </c>
      <c r="C803">
        <v>1</v>
      </c>
      <c r="D803" s="3"/>
      <c r="E803">
        <f>IF(C803="","",VLOOKUP(C803,PointsSystem!$A$2:$B$41,2,FALSE()))</f>
        <v>55</v>
      </c>
    </row>
    <row r="804" spans="1:5" x14ac:dyDescent="0.3">
      <c r="A804">
        <v>21</v>
      </c>
      <c r="B804" t="s">
        <v>90</v>
      </c>
      <c r="C804">
        <v>2</v>
      </c>
      <c r="D804" s="3"/>
      <c r="E804">
        <f>IF(C804="","",VLOOKUP(C804,PointsSystem!$A$2:$B$41,2,FALSE()))</f>
        <v>35</v>
      </c>
    </row>
    <row r="805" spans="1:5" x14ac:dyDescent="0.3">
      <c r="A805">
        <v>21</v>
      </c>
      <c r="B805" t="s">
        <v>90</v>
      </c>
      <c r="C805">
        <v>3</v>
      </c>
      <c r="D805" s="3"/>
      <c r="E805">
        <f>IF(C805="","",VLOOKUP(C805,PointsSystem!$A$2:$B$41,2,FALSE()))</f>
        <v>34</v>
      </c>
    </row>
    <row r="806" spans="1:5" x14ac:dyDescent="0.3">
      <c r="A806">
        <v>21</v>
      </c>
      <c r="B806" t="s">
        <v>90</v>
      </c>
      <c r="C806">
        <v>4</v>
      </c>
      <c r="D806" s="3"/>
      <c r="E806">
        <f>IF(C806="","",VLOOKUP(C806,PointsSystem!$A$2:$B$41,2,FALSE()))</f>
        <v>33</v>
      </c>
    </row>
    <row r="807" spans="1:5" x14ac:dyDescent="0.3">
      <c r="A807">
        <v>21</v>
      </c>
      <c r="B807" t="s">
        <v>90</v>
      </c>
      <c r="C807">
        <v>5</v>
      </c>
      <c r="D807" s="3"/>
      <c r="E807">
        <f>IF(C807="","",VLOOKUP(C807,PointsSystem!$A$2:$B$41,2,FALSE()))</f>
        <v>32</v>
      </c>
    </row>
    <row r="808" spans="1:5" x14ac:dyDescent="0.3">
      <c r="A808">
        <v>21</v>
      </c>
      <c r="B808" t="s">
        <v>90</v>
      </c>
      <c r="C808">
        <v>6</v>
      </c>
      <c r="D808" s="3"/>
      <c r="E808">
        <f>IF(C808="","",VLOOKUP(C808,PointsSystem!$A$2:$B$41,2,FALSE()))</f>
        <v>31</v>
      </c>
    </row>
    <row r="809" spans="1:5" x14ac:dyDescent="0.3">
      <c r="A809">
        <v>21</v>
      </c>
      <c r="B809" t="s">
        <v>90</v>
      </c>
      <c r="C809">
        <v>7</v>
      </c>
      <c r="D809" s="3"/>
      <c r="E809">
        <f>IF(C809="","",VLOOKUP(C809,PointsSystem!$A$2:$B$41,2,FALSE()))</f>
        <v>30</v>
      </c>
    </row>
    <row r="810" spans="1:5" x14ac:dyDescent="0.3">
      <c r="A810">
        <v>21</v>
      </c>
      <c r="B810" t="s">
        <v>90</v>
      </c>
      <c r="C810">
        <v>8</v>
      </c>
      <c r="D810" s="3"/>
      <c r="E810">
        <f>IF(C810="","",VLOOKUP(C810,PointsSystem!$A$2:$B$41,2,FALSE()))</f>
        <v>29</v>
      </c>
    </row>
    <row r="811" spans="1:5" x14ac:dyDescent="0.3">
      <c r="A811">
        <v>21</v>
      </c>
      <c r="B811" t="s">
        <v>90</v>
      </c>
      <c r="C811">
        <v>9</v>
      </c>
      <c r="D811" s="3"/>
      <c r="E811">
        <f>IF(C811="","",VLOOKUP(C811,PointsSystem!$A$2:$B$41,2,FALSE()))</f>
        <v>28</v>
      </c>
    </row>
    <row r="812" spans="1:5" x14ac:dyDescent="0.3">
      <c r="A812">
        <v>21</v>
      </c>
      <c r="B812" t="s">
        <v>90</v>
      </c>
      <c r="C812">
        <v>10</v>
      </c>
      <c r="D812" s="3"/>
      <c r="E812">
        <f>IF(C812="","",VLOOKUP(C812,PointsSystem!$A$2:$B$41,2,FALSE()))</f>
        <v>27</v>
      </c>
    </row>
    <row r="813" spans="1:5" x14ac:dyDescent="0.3">
      <c r="A813">
        <v>21</v>
      </c>
      <c r="B813" t="s">
        <v>90</v>
      </c>
      <c r="C813">
        <v>11</v>
      </c>
      <c r="D813" s="3"/>
      <c r="E813">
        <f>IF(C813="","",VLOOKUP(C813,PointsSystem!$A$2:$B$41,2,FALSE()))</f>
        <v>26</v>
      </c>
    </row>
    <row r="814" spans="1:5" x14ac:dyDescent="0.3">
      <c r="A814">
        <v>21</v>
      </c>
      <c r="B814" t="s">
        <v>90</v>
      </c>
      <c r="C814">
        <v>12</v>
      </c>
      <c r="D814" s="3"/>
      <c r="E814">
        <f>IF(C814="","",VLOOKUP(C814,PointsSystem!$A$2:$B$41,2,FALSE()))</f>
        <v>25</v>
      </c>
    </row>
    <row r="815" spans="1:5" x14ac:dyDescent="0.3">
      <c r="A815">
        <v>21</v>
      </c>
      <c r="B815" t="s">
        <v>90</v>
      </c>
      <c r="C815">
        <v>13</v>
      </c>
      <c r="D815" s="3"/>
      <c r="E815">
        <f>IF(C815="","",VLOOKUP(C815,PointsSystem!$A$2:$B$41,2,FALSE()))</f>
        <v>24</v>
      </c>
    </row>
    <row r="816" spans="1:5" x14ac:dyDescent="0.3">
      <c r="A816">
        <v>21</v>
      </c>
      <c r="B816" t="s">
        <v>90</v>
      </c>
      <c r="C816">
        <v>14</v>
      </c>
      <c r="D816" s="3"/>
      <c r="E816">
        <f>IF(C816="","",VLOOKUP(C816,PointsSystem!$A$2:$B$41,2,FALSE()))</f>
        <v>23</v>
      </c>
    </row>
    <row r="817" spans="1:5" x14ac:dyDescent="0.3">
      <c r="A817">
        <v>21</v>
      </c>
      <c r="B817" t="s">
        <v>90</v>
      </c>
      <c r="C817">
        <v>15</v>
      </c>
      <c r="D817" s="3"/>
      <c r="E817">
        <f>IF(C817="","",VLOOKUP(C817,PointsSystem!$A$2:$B$41,2,FALSE()))</f>
        <v>22</v>
      </c>
    </row>
    <row r="818" spans="1:5" x14ac:dyDescent="0.3">
      <c r="A818">
        <v>21</v>
      </c>
      <c r="B818" t="s">
        <v>90</v>
      </c>
      <c r="C818">
        <v>16</v>
      </c>
      <c r="D818" s="3"/>
      <c r="E818">
        <f>IF(C818="","",VLOOKUP(C818,PointsSystem!$A$2:$B$41,2,FALSE()))</f>
        <v>21</v>
      </c>
    </row>
    <row r="819" spans="1:5" x14ac:dyDescent="0.3">
      <c r="A819">
        <v>21</v>
      </c>
      <c r="B819" t="s">
        <v>90</v>
      </c>
      <c r="C819">
        <v>17</v>
      </c>
      <c r="D819" s="3"/>
      <c r="E819">
        <f>IF(C819="","",VLOOKUP(C819,PointsSystem!$A$2:$B$41,2,FALSE()))</f>
        <v>20</v>
      </c>
    </row>
    <row r="820" spans="1:5" x14ac:dyDescent="0.3">
      <c r="A820">
        <v>21</v>
      </c>
      <c r="B820" t="s">
        <v>90</v>
      </c>
      <c r="C820">
        <v>18</v>
      </c>
      <c r="D820" s="3"/>
      <c r="E820">
        <f>IF(C820="","",VLOOKUP(C820,PointsSystem!$A$2:$B$41,2,FALSE()))</f>
        <v>19</v>
      </c>
    </row>
    <row r="821" spans="1:5" x14ac:dyDescent="0.3">
      <c r="A821">
        <v>21</v>
      </c>
      <c r="B821" t="s">
        <v>90</v>
      </c>
      <c r="C821">
        <v>19</v>
      </c>
      <c r="D821" s="3"/>
      <c r="E821">
        <f>IF(C821="","",VLOOKUP(C821,PointsSystem!$A$2:$B$41,2,FALSE()))</f>
        <v>18</v>
      </c>
    </row>
    <row r="822" spans="1:5" x14ac:dyDescent="0.3">
      <c r="A822">
        <v>21</v>
      </c>
      <c r="B822" t="s">
        <v>90</v>
      </c>
      <c r="C822">
        <v>20</v>
      </c>
      <c r="D822" s="3"/>
      <c r="E822">
        <f>IF(C822="","",VLOOKUP(C822,PointsSystem!$A$2:$B$41,2,FALSE()))</f>
        <v>17</v>
      </c>
    </row>
    <row r="823" spans="1:5" x14ac:dyDescent="0.3">
      <c r="A823">
        <v>21</v>
      </c>
      <c r="B823" t="s">
        <v>90</v>
      </c>
      <c r="C823">
        <v>21</v>
      </c>
      <c r="D823" s="3"/>
      <c r="E823">
        <f>IF(C823="","",VLOOKUP(C823,PointsSystem!$A$2:$B$41,2,FALSE()))</f>
        <v>16</v>
      </c>
    </row>
    <row r="824" spans="1:5" x14ac:dyDescent="0.3">
      <c r="A824">
        <v>21</v>
      </c>
      <c r="B824" t="s">
        <v>90</v>
      </c>
      <c r="C824">
        <v>22</v>
      </c>
      <c r="D824" s="3"/>
      <c r="E824">
        <f>IF(C824="","",VLOOKUP(C824,PointsSystem!$A$2:$B$41,2,FALSE()))</f>
        <v>15</v>
      </c>
    </row>
    <row r="825" spans="1:5" x14ac:dyDescent="0.3">
      <c r="A825">
        <v>21</v>
      </c>
      <c r="B825" t="s">
        <v>90</v>
      </c>
      <c r="C825">
        <v>23</v>
      </c>
      <c r="D825" s="3"/>
      <c r="E825">
        <f>IF(C825="","",VLOOKUP(C825,PointsSystem!$A$2:$B$41,2,FALSE()))</f>
        <v>14</v>
      </c>
    </row>
    <row r="826" spans="1:5" x14ac:dyDescent="0.3">
      <c r="A826">
        <v>21</v>
      </c>
      <c r="B826" t="s">
        <v>90</v>
      </c>
      <c r="C826">
        <v>24</v>
      </c>
      <c r="D826" s="3"/>
      <c r="E826">
        <f>IF(C826="","",VLOOKUP(C826,PointsSystem!$A$2:$B$41,2,FALSE()))</f>
        <v>13</v>
      </c>
    </row>
    <row r="827" spans="1:5" x14ac:dyDescent="0.3">
      <c r="A827">
        <v>21</v>
      </c>
      <c r="B827" t="s">
        <v>90</v>
      </c>
      <c r="C827">
        <v>25</v>
      </c>
      <c r="D827" s="3"/>
      <c r="E827">
        <f>IF(C827="","",VLOOKUP(C827,PointsSystem!$A$2:$B$41,2,FALSE()))</f>
        <v>12</v>
      </c>
    </row>
    <row r="828" spans="1:5" x14ac:dyDescent="0.3">
      <c r="A828">
        <v>21</v>
      </c>
      <c r="B828" t="s">
        <v>90</v>
      </c>
      <c r="C828">
        <v>26</v>
      </c>
      <c r="D828" s="3"/>
      <c r="E828">
        <f>IF(C828="","",VLOOKUP(C828,PointsSystem!$A$2:$B$41,2,FALSE()))</f>
        <v>11</v>
      </c>
    </row>
    <row r="829" spans="1:5" x14ac:dyDescent="0.3">
      <c r="A829">
        <v>21</v>
      </c>
      <c r="B829" t="s">
        <v>90</v>
      </c>
      <c r="C829">
        <v>27</v>
      </c>
      <c r="D829" s="3"/>
      <c r="E829">
        <f>IF(C829="","",VLOOKUP(C829,PointsSystem!$A$2:$B$41,2,FALSE()))</f>
        <v>10</v>
      </c>
    </row>
    <row r="830" spans="1:5" x14ac:dyDescent="0.3">
      <c r="A830">
        <v>21</v>
      </c>
      <c r="B830" t="s">
        <v>90</v>
      </c>
      <c r="C830">
        <v>28</v>
      </c>
      <c r="D830" s="3"/>
      <c r="E830">
        <f>IF(C830="","",VLOOKUP(C830,PointsSystem!$A$2:$B$41,2,FALSE()))</f>
        <v>9</v>
      </c>
    </row>
    <row r="831" spans="1:5" x14ac:dyDescent="0.3">
      <c r="A831">
        <v>21</v>
      </c>
      <c r="B831" t="s">
        <v>90</v>
      </c>
      <c r="C831">
        <v>29</v>
      </c>
      <c r="D831" s="3"/>
      <c r="E831">
        <f>IF(C831="","",VLOOKUP(C831,PointsSystem!$A$2:$B$41,2,FALSE()))</f>
        <v>8</v>
      </c>
    </row>
    <row r="832" spans="1:5" x14ac:dyDescent="0.3">
      <c r="A832">
        <v>21</v>
      </c>
      <c r="B832" t="s">
        <v>90</v>
      </c>
      <c r="C832">
        <v>30</v>
      </c>
      <c r="D832" s="3"/>
      <c r="E832">
        <f>IF(C832="","",VLOOKUP(C832,PointsSystem!$A$2:$B$41,2,FALSE()))</f>
        <v>7</v>
      </c>
    </row>
    <row r="833" spans="1:5" x14ac:dyDescent="0.3">
      <c r="A833">
        <v>21</v>
      </c>
      <c r="B833" t="s">
        <v>90</v>
      </c>
      <c r="C833">
        <v>31</v>
      </c>
      <c r="D833" s="3"/>
      <c r="E833">
        <f>IF(C833="","",VLOOKUP(C833,PointsSystem!$A$2:$B$41,2,FALSE()))</f>
        <v>6</v>
      </c>
    </row>
    <row r="834" spans="1:5" x14ac:dyDescent="0.3">
      <c r="A834">
        <v>21</v>
      </c>
      <c r="B834" t="s">
        <v>90</v>
      </c>
      <c r="C834">
        <v>32</v>
      </c>
      <c r="D834" s="3"/>
      <c r="E834">
        <f>IF(C834="","",VLOOKUP(C834,PointsSystem!$A$2:$B$41,2,FALSE()))</f>
        <v>5</v>
      </c>
    </row>
    <row r="835" spans="1:5" x14ac:dyDescent="0.3">
      <c r="A835">
        <v>21</v>
      </c>
      <c r="B835" t="s">
        <v>90</v>
      </c>
      <c r="C835">
        <v>33</v>
      </c>
      <c r="D835" s="3"/>
      <c r="E835">
        <f>IF(C835="","",VLOOKUP(C835,PointsSystem!$A$2:$B$41,2,FALSE()))</f>
        <v>4</v>
      </c>
    </row>
    <row r="836" spans="1:5" x14ac:dyDescent="0.3">
      <c r="A836">
        <v>21</v>
      </c>
      <c r="B836" t="s">
        <v>90</v>
      </c>
      <c r="C836">
        <v>34</v>
      </c>
      <c r="D836" s="3"/>
      <c r="E836">
        <f>IF(C836="","",VLOOKUP(C836,PointsSystem!$A$2:$B$41,2,FALSE()))</f>
        <v>3</v>
      </c>
    </row>
    <row r="837" spans="1:5" x14ac:dyDescent="0.3">
      <c r="A837">
        <v>21</v>
      </c>
      <c r="B837" t="s">
        <v>90</v>
      </c>
      <c r="C837">
        <v>35</v>
      </c>
      <c r="D837" s="3"/>
      <c r="E837">
        <f>IF(C837="","",VLOOKUP(C837,PointsSystem!$A$2:$B$41,2,FALSE()))</f>
        <v>2</v>
      </c>
    </row>
    <row r="838" spans="1:5" x14ac:dyDescent="0.3">
      <c r="A838">
        <v>21</v>
      </c>
      <c r="B838" t="s">
        <v>90</v>
      </c>
      <c r="C838">
        <v>36</v>
      </c>
      <c r="D838" s="3"/>
      <c r="E838">
        <f>IF(C838="","",VLOOKUP(C838,PointsSystem!$A$2:$B$41,2,FALSE()))</f>
        <v>1</v>
      </c>
    </row>
    <row r="839" spans="1:5" x14ac:dyDescent="0.3">
      <c r="A839">
        <v>21</v>
      </c>
      <c r="B839" t="s">
        <v>90</v>
      </c>
      <c r="C839">
        <v>37</v>
      </c>
      <c r="D839" s="3"/>
      <c r="E839">
        <f>IF(C839="","",VLOOKUP(C839,PointsSystem!$A$2:$B$41,2,FALSE()))</f>
        <v>1</v>
      </c>
    </row>
    <row r="840" spans="1:5" x14ac:dyDescent="0.3">
      <c r="A840">
        <v>21</v>
      </c>
      <c r="B840" t="s">
        <v>90</v>
      </c>
      <c r="C840">
        <v>38</v>
      </c>
      <c r="D840" s="3"/>
      <c r="E840">
        <f>IF(C840="","",VLOOKUP(C840,PointsSystem!$A$2:$B$41,2,FALSE()))</f>
        <v>1</v>
      </c>
    </row>
    <row r="841" spans="1:5" x14ac:dyDescent="0.3">
      <c r="A841">
        <v>21</v>
      </c>
      <c r="B841" t="s">
        <v>90</v>
      </c>
      <c r="C841">
        <v>39</v>
      </c>
      <c r="D841" s="3"/>
      <c r="E841">
        <f>IF(C841="","",VLOOKUP(C841,PointsSystem!$A$2:$B$41,2,FALSE()))</f>
        <v>1</v>
      </c>
    </row>
    <row r="842" spans="1:5" x14ac:dyDescent="0.3">
      <c r="A842">
        <v>21</v>
      </c>
      <c r="B842" t="s">
        <v>90</v>
      </c>
      <c r="C842">
        <v>40</v>
      </c>
      <c r="D842" s="3"/>
      <c r="E842">
        <f>IF(C842="","",VLOOKUP(C842,PointsSystem!$A$2:$B$41,2,FALSE()))</f>
        <v>1</v>
      </c>
    </row>
    <row r="843" spans="1:5" x14ac:dyDescent="0.3">
      <c r="A843">
        <v>22</v>
      </c>
      <c r="B843" t="s">
        <v>92</v>
      </c>
      <c r="C843">
        <v>1</v>
      </c>
      <c r="D843" s="3"/>
      <c r="E843">
        <f>IF(C843="","",VLOOKUP(C843,PointsSystem!$A$2:$B$41,2,FALSE()))</f>
        <v>55</v>
      </c>
    </row>
    <row r="844" spans="1:5" x14ac:dyDescent="0.3">
      <c r="A844">
        <v>22</v>
      </c>
      <c r="B844" t="s">
        <v>92</v>
      </c>
      <c r="C844">
        <v>2</v>
      </c>
      <c r="D844" s="3"/>
      <c r="E844">
        <f>IF(C844="","",VLOOKUP(C844,PointsSystem!$A$2:$B$41,2,FALSE()))</f>
        <v>35</v>
      </c>
    </row>
    <row r="845" spans="1:5" x14ac:dyDescent="0.3">
      <c r="A845">
        <v>22</v>
      </c>
      <c r="B845" t="s">
        <v>92</v>
      </c>
      <c r="C845">
        <v>3</v>
      </c>
      <c r="D845" s="3"/>
      <c r="E845">
        <f>IF(C845="","",VLOOKUP(C845,PointsSystem!$A$2:$B$41,2,FALSE()))</f>
        <v>34</v>
      </c>
    </row>
    <row r="846" spans="1:5" x14ac:dyDescent="0.3">
      <c r="A846">
        <v>22</v>
      </c>
      <c r="B846" t="s">
        <v>92</v>
      </c>
      <c r="C846">
        <v>4</v>
      </c>
      <c r="D846" s="3"/>
      <c r="E846">
        <f>IF(C846="","",VLOOKUP(C846,PointsSystem!$A$2:$B$41,2,FALSE()))</f>
        <v>33</v>
      </c>
    </row>
    <row r="847" spans="1:5" x14ac:dyDescent="0.3">
      <c r="A847">
        <v>22</v>
      </c>
      <c r="B847" t="s">
        <v>92</v>
      </c>
      <c r="C847">
        <v>5</v>
      </c>
      <c r="D847" s="3"/>
      <c r="E847">
        <f>IF(C847="","",VLOOKUP(C847,PointsSystem!$A$2:$B$41,2,FALSE()))</f>
        <v>32</v>
      </c>
    </row>
    <row r="848" spans="1:5" x14ac:dyDescent="0.3">
      <c r="A848">
        <v>22</v>
      </c>
      <c r="B848" t="s">
        <v>92</v>
      </c>
      <c r="C848">
        <v>6</v>
      </c>
      <c r="D848" s="3"/>
      <c r="E848">
        <f>IF(C848="","",VLOOKUP(C848,PointsSystem!$A$2:$B$41,2,FALSE()))</f>
        <v>31</v>
      </c>
    </row>
    <row r="849" spans="1:5" x14ac:dyDescent="0.3">
      <c r="A849">
        <v>22</v>
      </c>
      <c r="B849" t="s">
        <v>92</v>
      </c>
      <c r="C849">
        <v>7</v>
      </c>
      <c r="D849" s="3"/>
      <c r="E849">
        <f>IF(C849="","",VLOOKUP(C849,PointsSystem!$A$2:$B$41,2,FALSE()))</f>
        <v>30</v>
      </c>
    </row>
    <row r="850" spans="1:5" x14ac:dyDescent="0.3">
      <c r="A850">
        <v>22</v>
      </c>
      <c r="B850" t="s">
        <v>92</v>
      </c>
      <c r="C850">
        <v>8</v>
      </c>
      <c r="D850" s="3"/>
      <c r="E850">
        <f>IF(C850="","",VLOOKUP(C850,PointsSystem!$A$2:$B$41,2,FALSE()))</f>
        <v>29</v>
      </c>
    </row>
    <row r="851" spans="1:5" x14ac:dyDescent="0.3">
      <c r="A851">
        <v>22</v>
      </c>
      <c r="B851" t="s">
        <v>92</v>
      </c>
      <c r="C851">
        <v>9</v>
      </c>
      <c r="D851" s="3"/>
      <c r="E851">
        <f>IF(C851="","",VLOOKUP(C851,PointsSystem!$A$2:$B$41,2,FALSE()))</f>
        <v>28</v>
      </c>
    </row>
    <row r="852" spans="1:5" x14ac:dyDescent="0.3">
      <c r="A852">
        <v>22</v>
      </c>
      <c r="B852" t="s">
        <v>92</v>
      </c>
      <c r="C852">
        <v>10</v>
      </c>
      <c r="D852" s="3"/>
      <c r="E852">
        <f>IF(C852="","",VLOOKUP(C852,PointsSystem!$A$2:$B$41,2,FALSE()))</f>
        <v>27</v>
      </c>
    </row>
    <row r="853" spans="1:5" x14ac:dyDescent="0.3">
      <c r="A853">
        <v>22</v>
      </c>
      <c r="B853" t="s">
        <v>92</v>
      </c>
      <c r="C853">
        <v>11</v>
      </c>
      <c r="D853" s="3"/>
      <c r="E853">
        <f>IF(C853="","",VLOOKUP(C853,PointsSystem!$A$2:$B$41,2,FALSE()))</f>
        <v>26</v>
      </c>
    </row>
    <row r="854" spans="1:5" x14ac:dyDescent="0.3">
      <c r="A854">
        <v>22</v>
      </c>
      <c r="B854" t="s">
        <v>92</v>
      </c>
      <c r="C854">
        <v>12</v>
      </c>
      <c r="D854" s="3"/>
      <c r="E854">
        <f>IF(C854="","",VLOOKUP(C854,PointsSystem!$A$2:$B$41,2,FALSE()))</f>
        <v>25</v>
      </c>
    </row>
    <row r="855" spans="1:5" x14ac:dyDescent="0.3">
      <c r="A855">
        <v>22</v>
      </c>
      <c r="B855" t="s">
        <v>92</v>
      </c>
      <c r="C855">
        <v>13</v>
      </c>
      <c r="D855" s="3"/>
      <c r="E855">
        <f>IF(C855="","",VLOOKUP(C855,PointsSystem!$A$2:$B$41,2,FALSE()))</f>
        <v>24</v>
      </c>
    </row>
    <row r="856" spans="1:5" x14ac:dyDescent="0.3">
      <c r="A856">
        <v>22</v>
      </c>
      <c r="B856" t="s">
        <v>92</v>
      </c>
      <c r="C856">
        <v>14</v>
      </c>
      <c r="D856" s="3"/>
      <c r="E856">
        <f>IF(C856="","",VLOOKUP(C856,PointsSystem!$A$2:$B$41,2,FALSE()))</f>
        <v>23</v>
      </c>
    </row>
    <row r="857" spans="1:5" x14ac:dyDescent="0.3">
      <c r="A857">
        <v>22</v>
      </c>
      <c r="B857" t="s">
        <v>92</v>
      </c>
      <c r="C857">
        <v>15</v>
      </c>
      <c r="D857" s="3"/>
      <c r="E857">
        <f>IF(C857="","",VLOOKUP(C857,PointsSystem!$A$2:$B$41,2,FALSE()))</f>
        <v>22</v>
      </c>
    </row>
    <row r="858" spans="1:5" x14ac:dyDescent="0.3">
      <c r="A858">
        <v>22</v>
      </c>
      <c r="B858" t="s">
        <v>92</v>
      </c>
      <c r="C858">
        <v>16</v>
      </c>
      <c r="D858" s="3"/>
      <c r="E858">
        <f>IF(C858="","",VLOOKUP(C858,PointsSystem!$A$2:$B$41,2,FALSE()))</f>
        <v>21</v>
      </c>
    </row>
    <row r="859" spans="1:5" x14ac:dyDescent="0.3">
      <c r="A859">
        <v>22</v>
      </c>
      <c r="B859" t="s">
        <v>92</v>
      </c>
      <c r="C859">
        <v>17</v>
      </c>
      <c r="D859" s="3"/>
      <c r="E859">
        <f>IF(C859="","",VLOOKUP(C859,PointsSystem!$A$2:$B$41,2,FALSE()))</f>
        <v>20</v>
      </c>
    </row>
    <row r="860" spans="1:5" x14ac:dyDescent="0.3">
      <c r="A860">
        <v>22</v>
      </c>
      <c r="B860" t="s">
        <v>92</v>
      </c>
      <c r="C860">
        <v>18</v>
      </c>
      <c r="D860" s="3"/>
      <c r="E860">
        <f>IF(C860="","",VLOOKUP(C860,PointsSystem!$A$2:$B$41,2,FALSE()))</f>
        <v>19</v>
      </c>
    </row>
    <row r="861" spans="1:5" x14ac:dyDescent="0.3">
      <c r="A861">
        <v>22</v>
      </c>
      <c r="B861" t="s">
        <v>92</v>
      </c>
      <c r="C861">
        <v>19</v>
      </c>
      <c r="D861" s="3"/>
      <c r="E861">
        <f>IF(C861="","",VLOOKUP(C861,PointsSystem!$A$2:$B$41,2,FALSE()))</f>
        <v>18</v>
      </c>
    </row>
    <row r="862" spans="1:5" x14ac:dyDescent="0.3">
      <c r="A862">
        <v>22</v>
      </c>
      <c r="B862" t="s">
        <v>92</v>
      </c>
      <c r="C862">
        <v>20</v>
      </c>
      <c r="D862" s="3"/>
      <c r="E862">
        <f>IF(C862="","",VLOOKUP(C862,PointsSystem!$A$2:$B$41,2,FALSE()))</f>
        <v>17</v>
      </c>
    </row>
    <row r="863" spans="1:5" x14ac:dyDescent="0.3">
      <c r="A863">
        <v>22</v>
      </c>
      <c r="B863" t="s">
        <v>92</v>
      </c>
      <c r="C863">
        <v>21</v>
      </c>
      <c r="D863" s="3"/>
      <c r="E863">
        <f>IF(C863="","",VLOOKUP(C863,PointsSystem!$A$2:$B$41,2,FALSE()))</f>
        <v>16</v>
      </c>
    </row>
    <row r="864" spans="1:5" x14ac:dyDescent="0.3">
      <c r="A864">
        <v>22</v>
      </c>
      <c r="B864" t="s">
        <v>92</v>
      </c>
      <c r="C864">
        <v>22</v>
      </c>
      <c r="D864" s="3"/>
      <c r="E864">
        <f>IF(C864="","",VLOOKUP(C864,PointsSystem!$A$2:$B$41,2,FALSE()))</f>
        <v>15</v>
      </c>
    </row>
    <row r="865" spans="1:5" x14ac:dyDescent="0.3">
      <c r="A865">
        <v>22</v>
      </c>
      <c r="B865" t="s">
        <v>92</v>
      </c>
      <c r="C865">
        <v>23</v>
      </c>
      <c r="D865" s="3"/>
      <c r="E865">
        <f>IF(C865="","",VLOOKUP(C865,PointsSystem!$A$2:$B$41,2,FALSE()))</f>
        <v>14</v>
      </c>
    </row>
    <row r="866" spans="1:5" x14ac:dyDescent="0.3">
      <c r="A866">
        <v>22</v>
      </c>
      <c r="B866" t="s">
        <v>92</v>
      </c>
      <c r="C866">
        <v>24</v>
      </c>
      <c r="D866" s="3"/>
      <c r="E866">
        <f>IF(C866="","",VLOOKUP(C866,PointsSystem!$A$2:$B$41,2,FALSE()))</f>
        <v>13</v>
      </c>
    </row>
    <row r="867" spans="1:5" x14ac:dyDescent="0.3">
      <c r="A867">
        <v>22</v>
      </c>
      <c r="B867" t="s">
        <v>92</v>
      </c>
      <c r="C867">
        <v>25</v>
      </c>
      <c r="D867" s="3"/>
      <c r="E867">
        <f>IF(C867="","",VLOOKUP(C867,PointsSystem!$A$2:$B$41,2,FALSE()))</f>
        <v>12</v>
      </c>
    </row>
    <row r="868" spans="1:5" x14ac:dyDescent="0.3">
      <c r="A868">
        <v>22</v>
      </c>
      <c r="B868" t="s">
        <v>92</v>
      </c>
      <c r="C868">
        <v>26</v>
      </c>
      <c r="D868" s="3"/>
      <c r="E868">
        <f>IF(C868="","",VLOOKUP(C868,PointsSystem!$A$2:$B$41,2,FALSE()))</f>
        <v>11</v>
      </c>
    </row>
    <row r="869" spans="1:5" x14ac:dyDescent="0.3">
      <c r="A869">
        <v>22</v>
      </c>
      <c r="B869" t="s">
        <v>92</v>
      </c>
      <c r="C869">
        <v>27</v>
      </c>
      <c r="D869" s="3"/>
      <c r="E869">
        <f>IF(C869="","",VLOOKUP(C869,PointsSystem!$A$2:$B$41,2,FALSE()))</f>
        <v>10</v>
      </c>
    </row>
    <row r="870" spans="1:5" x14ac:dyDescent="0.3">
      <c r="A870">
        <v>22</v>
      </c>
      <c r="B870" t="s">
        <v>92</v>
      </c>
      <c r="C870">
        <v>28</v>
      </c>
      <c r="D870" s="3"/>
      <c r="E870">
        <f>IF(C870="","",VLOOKUP(C870,PointsSystem!$A$2:$B$41,2,FALSE()))</f>
        <v>9</v>
      </c>
    </row>
    <row r="871" spans="1:5" x14ac:dyDescent="0.3">
      <c r="A871">
        <v>22</v>
      </c>
      <c r="B871" t="s">
        <v>92</v>
      </c>
      <c r="C871">
        <v>29</v>
      </c>
      <c r="D871" s="3"/>
      <c r="E871">
        <f>IF(C871="","",VLOOKUP(C871,PointsSystem!$A$2:$B$41,2,FALSE()))</f>
        <v>8</v>
      </c>
    </row>
    <row r="872" spans="1:5" x14ac:dyDescent="0.3">
      <c r="A872">
        <v>22</v>
      </c>
      <c r="B872" t="s">
        <v>92</v>
      </c>
      <c r="C872">
        <v>30</v>
      </c>
      <c r="D872" s="3"/>
      <c r="E872">
        <f>IF(C872="","",VLOOKUP(C872,PointsSystem!$A$2:$B$41,2,FALSE()))</f>
        <v>7</v>
      </c>
    </row>
    <row r="873" spans="1:5" x14ac:dyDescent="0.3">
      <c r="A873">
        <v>22</v>
      </c>
      <c r="B873" t="s">
        <v>92</v>
      </c>
      <c r="C873">
        <v>31</v>
      </c>
      <c r="D873" s="3"/>
      <c r="E873">
        <f>IF(C873="","",VLOOKUP(C873,PointsSystem!$A$2:$B$41,2,FALSE()))</f>
        <v>6</v>
      </c>
    </row>
    <row r="874" spans="1:5" x14ac:dyDescent="0.3">
      <c r="A874">
        <v>22</v>
      </c>
      <c r="B874" t="s">
        <v>92</v>
      </c>
      <c r="C874">
        <v>32</v>
      </c>
      <c r="D874" s="3"/>
      <c r="E874">
        <f>IF(C874="","",VLOOKUP(C874,PointsSystem!$A$2:$B$41,2,FALSE()))</f>
        <v>5</v>
      </c>
    </row>
    <row r="875" spans="1:5" x14ac:dyDescent="0.3">
      <c r="A875">
        <v>22</v>
      </c>
      <c r="B875" t="s">
        <v>92</v>
      </c>
      <c r="C875">
        <v>33</v>
      </c>
      <c r="D875" s="3"/>
      <c r="E875">
        <f>IF(C875="","",VLOOKUP(C875,PointsSystem!$A$2:$B$41,2,FALSE()))</f>
        <v>4</v>
      </c>
    </row>
    <row r="876" spans="1:5" x14ac:dyDescent="0.3">
      <c r="A876">
        <v>22</v>
      </c>
      <c r="B876" t="s">
        <v>92</v>
      </c>
      <c r="C876">
        <v>34</v>
      </c>
      <c r="D876" s="3"/>
      <c r="E876">
        <f>IF(C876="","",VLOOKUP(C876,PointsSystem!$A$2:$B$41,2,FALSE()))</f>
        <v>3</v>
      </c>
    </row>
    <row r="877" spans="1:5" x14ac:dyDescent="0.3">
      <c r="A877">
        <v>22</v>
      </c>
      <c r="B877" t="s">
        <v>92</v>
      </c>
      <c r="C877">
        <v>35</v>
      </c>
      <c r="D877" s="3"/>
      <c r="E877">
        <f>IF(C877="","",VLOOKUP(C877,PointsSystem!$A$2:$B$41,2,FALSE()))</f>
        <v>2</v>
      </c>
    </row>
    <row r="878" spans="1:5" x14ac:dyDescent="0.3">
      <c r="A878">
        <v>22</v>
      </c>
      <c r="B878" t="s">
        <v>92</v>
      </c>
      <c r="C878">
        <v>36</v>
      </c>
      <c r="D878" s="3"/>
      <c r="E878">
        <f>IF(C878="","",VLOOKUP(C878,PointsSystem!$A$2:$B$41,2,FALSE()))</f>
        <v>1</v>
      </c>
    </row>
    <row r="879" spans="1:5" x14ac:dyDescent="0.3">
      <c r="A879">
        <v>22</v>
      </c>
      <c r="B879" t="s">
        <v>92</v>
      </c>
      <c r="C879">
        <v>37</v>
      </c>
      <c r="D879" s="3"/>
      <c r="E879">
        <f>IF(C879="","",VLOOKUP(C879,PointsSystem!$A$2:$B$41,2,FALSE()))</f>
        <v>1</v>
      </c>
    </row>
    <row r="880" spans="1:5" x14ac:dyDescent="0.3">
      <c r="A880">
        <v>22</v>
      </c>
      <c r="B880" t="s">
        <v>92</v>
      </c>
      <c r="C880">
        <v>38</v>
      </c>
      <c r="D880" s="3"/>
      <c r="E880">
        <f>IF(C880="","",VLOOKUP(C880,PointsSystem!$A$2:$B$41,2,FALSE()))</f>
        <v>1</v>
      </c>
    </row>
    <row r="881" spans="1:5" x14ac:dyDescent="0.3">
      <c r="A881">
        <v>22</v>
      </c>
      <c r="B881" t="s">
        <v>92</v>
      </c>
      <c r="C881">
        <v>39</v>
      </c>
      <c r="D881" s="3"/>
      <c r="E881">
        <f>IF(C881="","",VLOOKUP(C881,PointsSystem!$A$2:$B$41,2,FALSE()))</f>
        <v>1</v>
      </c>
    </row>
    <row r="882" spans="1:5" x14ac:dyDescent="0.3">
      <c r="A882">
        <v>22</v>
      </c>
      <c r="B882" t="s">
        <v>92</v>
      </c>
      <c r="C882">
        <v>40</v>
      </c>
      <c r="D882" s="3"/>
      <c r="E882">
        <f>IF(C882="","",VLOOKUP(C882,PointsSystem!$A$2:$B$41,2,FALSE()))</f>
        <v>1</v>
      </c>
    </row>
    <row r="883" spans="1:5" x14ac:dyDescent="0.3">
      <c r="A883">
        <v>23</v>
      </c>
      <c r="B883" t="s">
        <v>94</v>
      </c>
      <c r="C883">
        <v>1</v>
      </c>
      <c r="D883" s="3"/>
      <c r="E883">
        <f>IF(C883="","",VLOOKUP(C883,PointsSystem!$A$2:$B$41,2,FALSE()))</f>
        <v>55</v>
      </c>
    </row>
    <row r="884" spans="1:5" x14ac:dyDescent="0.3">
      <c r="A884">
        <v>23</v>
      </c>
      <c r="B884" t="s">
        <v>94</v>
      </c>
      <c r="C884">
        <v>2</v>
      </c>
      <c r="D884" s="3"/>
      <c r="E884">
        <f>IF(C884="","",VLOOKUP(C884,PointsSystem!$A$2:$B$41,2,FALSE()))</f>
        <v>35</v>
      </c>
    </row>
    <row r="885" spans="1:5" x14ac:dyDescent="0.3">
      <c r="A885">
        <v>23</v>
      </c>
      <c r="B885" t="s">
        <v>94</v>
      </c>
      <c r="C885">
        <v>3</v>
      </c>
      <c r="D885" s="3"/>
      <c r="E885">
        <f>IF(C885="","",VLOOKUP(C885,PointsSystem!$A$2:$B$41,2,FALSE()))</f>
        <v>34</v>
      </c>
    </row>
    <row r="886" spans="1:5" x14ac:dyDescent="0.3">
      <c r="A886">
        <v>23</v>
      </c>
      <c r="B886" t="s">
        <v>94</v>
      </c>
      <c r="C886">
        <v>4</v>
      </c>
      <c r="D886" s="3"/>
      <c r="E886">
        <f>IF(C886="","",VLOOKUP(C886,PointsSystem!$A$2:$B$41,2,FALSE()))</f>
        <v>33</v>
      </c>
    </row>
    <row r="887" spans="1:5" x14ac:dyDescent="0.3">
      <c r="A887">
        <v>23</v>
      </c>
      <c r="B887" t="s">
        <v>94</v>
      </c>
      <c r="C887">
        <v>5</v>
      </c>
      <c r="D887" s="3"/>
      <c r="E887">
        <f>IF(C887="","",VLOOKUP(C887,PointsSystem!$A$2:$B$41,2,FALSE()))</f>
        <v>32</v>
      </c>
    </row>
    <row r="888" spans="1:5" x14ac:dyDescent="0.3">
      <c r="A888">
        <v>23</v>
      </c>
      <c r="B888" t="s">
        <v>94</v>
      </c>
      <c r="C888">
        <v>6</v>
      </c>
      <c r="D888" s="3"/>
      <c r="E888">
        <f>IF(C888="","",VLOOKUP(C888,PointsSystem!$A$2:$B$41,2,FALSE()))</f>
        <v>31</v>
      </c>
    </row>
    <row r="889" spans="1:5" x14ac:dyDescent="0.3">
      <c r="A889">
        <v>23</v>
      </c>
      <c r="B889" t="s">
        <v>94</v>
      </c>
      <c r="C889">
        <v>7</v>
      </c>
      <c r="D889" s="3"/>
      <c r="E889">
        <f>IF(C889="","",VLOOKUP(C889,PointsSystem!$A$2:$B$41,2,FALSE()))</f>
        <v>30</v>
      </c>
    </row>
    <row r="890" spans="1:5" x14ac:dyDescent="0.3">
      <c r="A890">
        <v>23</v>
      </c>
      <c r="B890" t="s">
        <v>94</v>
      </c>
      <c r="C890">
        <v>8</v>
      </c>
      <c r="D890" s="3"/>
      <c r="E890">
        <f>IF(C890="","",VLOOKUP(C890,PointsSystem!$A$2:$B$41,2,FALSE()))</f>
        <v>29</v>
      </c>
    </row>
    <row r="891" spans="1:5" x14ac:dyDescent="0.3">
      <c r="A891">
        <v>23</v>
      </c>
      <c r="B891" t="s">
        <v>94</v>
      </c>
      <c r="C891">
        <v>9</v>
      </c>
      <c r="D891" s="3"/>
      <c r="E891">
        <f>IF(C891="","",VLOOKUP(C891,PointsSystem!$A$2:$B$41,2,FALSE()))</f>
        <v>28</v>
      </c>
    </row>
    <row r="892" spans="1:5" x14ac:dyDescent="0.3">
      <c r="A892">
        <v>23</v>
      </c>
      <c r="B892" t="s">
        <v>94</v>
      </c>
      <c r="C892">
        <v>10</v>
      </c>
      <c r="D892" s="3"/>
      <c r="E892">
        <f>IF(C892="","",VLOOKUP(C892,PointsSystem!$A$2:$B$41,2,FALSE()))</f>
        <v>27</v>
      </c>
    </row>
    <row r="893" spans="1:5" x14ac:dyDescent="0.3">
      <c r="A893">
        <v>23</v>
      </c>
      <c r="B893" t="s">
        <v>94</v>
      </c>
      <c r="C893">
        <v>11</v>
      </c>
      <c r="D893" s="3"/>
      <c r="E893">
        <f>IF(C893="","",VLOOKUP(C893,PointsSystem!$A$2:$B$41,2,FALSE()))</f>
        <v>26</v>
      </c>
    </row>
    <row r="894" spans="1:5" x14ac:dyDescent="0.3">
      <c r="A894">
        <v>23</v>
      </c>
      <c r="B894" t="s">
        <v>94</v>
      </c>
      <c r="C894">
        <v>12</v>
      </c>
      <c r="D894" s="3"/>
      <c r="E894">
        <f>IF(C894="","",VLOOKUP(C894,PointsSystem!$A$2:$B$41,2,FALSE()))</f>
        <v>25</v>
      </c>
    </row>
    <row r="895" spans="1:5" x14ac:dyDescent="0.3">
      <c r="A895">
        <v>23</v>
      </c>
      <c r="B895" t="s">
        <v>94</v>
      </c>
      <c r="C895">
        <v>13</v>
      </c>
      <c r="D895" s="3"/>
      <c r="E895">
        <f>IF(C895="","",VLOOKUP(C895,PointsSystem!$A$2:$B$41,2,FALSE()))</f>
        <v>24</v>
      </c>
    </row>
    <row r="896" spans="1:5" x14ac:dyDescent="0.3">
      <c r="A896">
        <v>23</v>
      </c>
      <c r="B896" t="s">
        <v>94</v>
      </c>
      <c r="C896">
        <v>14</v>
      </c>
      <c r="D896" s="3"/>
      <c r="E896">
        <f>IF(C896="","",VLOOKUP(C896,PointsSystem!$A$2:$B$41,2,FALSE()))</f>
        <v>23</v>
      </c>
    </row>
    <row r="897" spans="1:5" x14ac:dyDescent="0.3">
      <c r="A897">
        <v>23</v>
      </c>
      <c r="B897" t="s">
        <v>94</v>
      </c>
      <c r="C897">
        <v>15</v>
      </c>
      <c r="D897" s="3"/>
      <c r="E897">
        <f>IF(C897="","",VLOOKUP(C897,PointsSystem!$A$2:$B$41,2,FALSE()))</f>
        <v>22</v>
      </c>
    </row>
    <row r="898" spans="1:5" x14ac:dyDescent="0.3">
      <c r="A898">
        <v>23</v>
      </c>
      <c r="B898" t="s">
        <v>94</v>
      </c>
      <c r="C898">
        <v>16</v>
      </c>
      <c r="D898" s="3"/>
      <c r="E898">
        <f>IF(C898="","",VLOOKUP(C898,PointsSystem!$A$2:$B$41,2,FALSE()))</f>
        <v>21</v>
      </c>
    </row>
    <row r="899" spans="1:5" x14ac:dyDescent="0.3">
      <c r="A899">
        <v>23</v>
      </c>
      <c r="B899" t="s">
        <v>94</v>
      </c>
      <c r="C899">
        <v>17</v>
      </c>
      <c r="D899" s="3"/>
      <c r="E899">
        <f>IF(C899="","",VLOOKUP(C899,PointsSystem!$A$2:$B$41,2,FALSE()))</f>
        <v>20</v>
      </c>
    </row>
    <row r="900" spans="1:5" x14ac:dyDescent="0.3">
      <c r="A900">
        <v>23</v>
      </c>
      <c r="B900" t="s">
        <v>94</v>
      </c>
      <c r="C900">
        <v>18</v>
      </c>
      <c r="D900" s="3"/>
      <c r="E900">
        <f>IF(C900="","",VLOOKUP(C900,PointsSystem!$A$2:$B$41,2,FALSE()))</f>
        <v>19</v>
      </c>
    </row>
    <row r="901" spans="1:5" x14ac:dyDescent="0.3">
      <c r="A901">
        <v>23</v>
      </c>
      <c r="B901" t="s">
        <v>94</v>
      </c>
      <c r="C901">
        <v>19</v>
      </c>
      <c r="D901" s="3"/>
      <c r="E901">
        <f>IF(C901="","",VLOOKUP(C901,PointsSystem!$A$2:$B$41,2,FALSE()))</f>
        <v>18</v>
      </c>
    </row>
    <row r="902" spans="1:5" x14ac:dyDescent="0.3">
      <c r="A902">
        <v>23</v>
      </c>
      <c r="B902" t="s">
        <v>94</v>
      </c>
      <c r="C902">
        <v>20</v>
      </c>
      <c r="D902" s="3"/>
      <c r="E902">
        <f>IF(C902="","",VLOOKUP(C902,PointsSystem!$A$2:$B$41,2,FALSE()))</f>
        <v>17</v>
      </c>
    </row>
    <row r="903" spans="1:5" x14ac:dyDescent="0.3">
      <c r="A903">
        <v>23</v>
      </c>
      <c r="B903" t="s">
        <v>94</v>
      </c>
      <c r="C903">
        <v>21</v>
      </c>
      <c r="D903" s="3"/>
      <c r="E903">
        <f>IF(C903="","",VLOOKUP(C903,PointsSystem!$A$2:$B$41,2,FALSE()))</f>
        <v>16</v>
      </c>
    </row>
    <row r="904" spans="1:5" x14ac:dyDescent="0.3">
      <c r="A904">
        <v>23</v>
      </c>
      <c r="B904" t="s">
        <v>94</v>
      </c>
      <c r="C904">
        <v>22</v>
      </c>
      <c r="D904" s="3"/>
      <c r="E904">
        <f>IF(C904="","",VLOOKUP(C904,PointsSystem!$A$2:$B$41,2,FALSE()))</f>
        <v>15</v>
      </c>
    </row>
    <row r="905" spans="1:5" x14ac:dyDescent="0.3">
      <c r="A905">
        <v>23</v>
      </c>
      <c r="B905" t="s">
        <v>94</v>
      </c>
      <c r="C905">
        <v>23</v>
      </c>
      <c r="D905" s="3"/>
      <c r="E905">
        <f>IF(C905="","",VLOOKUP(C905,PointsSystem!$A$2:$B$41,2,FALSE()))</f>
        <v>14</v>
      </c>
    </row>
    <row r="906" spans="1:5" x14ac:dyDescent="0.3">
      <c r="A906">
        <v>23</v>
      </c>
      <c r="B906" t="s">
        <v>94</v>
      </c>
      <c r="C906">
        <v>24</v>
      </c>
      <c r="D906" s="3"/>
      <c r="E906">
        <f>IF(C906="","",VLOOKUP(C906,PointsSystem!$A$2:$B$41,2,FALSE()))</f>
        <v>13</v>
      </c>
    </row>
    <row r="907" spans="1:5" x14ac:dyDescent="0.3">
      <c r="A907">
        <v>23</v>
      </c>
      <c r="B907" t="s">
        <v>94</v>
      </c>
      <c r="C907">
        <v>25</v>
      </c>
      <c r="D907" s="3"/>
      <c r="E907">
        <f>IF(C907="","",VLOOKUP(C907,PointsSystem!$A$2:$B$41,2,FALSE()))</f>
        <v>12</v>
      </c>
    </row>
    <row r="908" spans="1:5" x14ac:dyDescent="0.3">
      <c r="A908">
        <v>23</v>
      </c>
      <c r="B908" t="s">
        <v>94</v>
      </c>
      <c r="C908">
        <v>26</v>
      </c>
      <c r="D908" s="3"/>
      <c r="E908">
        <f>IF(C908="","",VLOOKUP(C908,PointsSystem!$A$2:$B$41,2,FALSE()))</f>
        <v>11</v>
      </c>
    </row>
    <row r="909" spans="1:5" x14ac:dyDescent="0.3">
      <c r="A909">
        <v>23</v>
      </c>
      <c r="B909" t="s">
        <v>94</v>
      </c>
      <c r="C909">
        <v>27</v>
      </c>
      <c r="D909" s="3"/>
      <c r="E909">
        <f>IF(C909="","",VLOOKUP(C909,PointsSystem!$A$2:$B$41,2,FALSE()))</f>
        <v>10</v>
      </c>
    </row>
    <row r="910" spans="1:5" x14ac:dyDescent="0.3">
      <c r="A910">
        <v>23</v>
      </c>
      <c r="B910" t="s">
        <v>94</v>
      </c>
      <c r="C910">
        <v>28</v>
      </c>
      <c r="D910" s="3"/>
      <c r="E910">
        <f>IF(C910="","",VLOOKUP(C910,PointsSystem!$A$2:$B$41,2,FALSE()))</f>
        <v>9</v>
      </c>
    </row>
    <row r="911" spans="1:5" x14ac:dyDescent="0.3">
      <c r="A911">
        <v>23</v>
      </c>
      <c r="B911" t="s">
        <v>94</v>
      </c>
      <c r="C911">
        <v>29</v>
      </c>
      <c r="D911" s="3"/>
      <c r="E911">
        <f>IF(C911="","",VLOOKUP(C911,PointsSystem!$A$2:$B$41,2,FALSE()))</f>
        <v>8</v>
      </c>
    </row>
    <row r="912" spans="1:5" x14ac:dyDescent="0.3">
      <c r="A912">
        <v>23</v>
      </c>
      <c r="B912" t="s">
        <v>94</v>
      </c>
      <c r="C912">
        <v>30</v>
      </c>
      <c r="D912" s="3"/>
      <c r="E912">
        <f>IF(C912="","",VLOOKUP(C912,PointsSystem!$A$2:$B$41,2,FALSE()))</f>
        <v>7</v>
      </c>
    </row>
    <row r="913" spans="1:5" x14ac:dyDescent="0.3">
      <c r="A913">
        <v>23</v>
      </c>
      <c r="B913" t="s">
        <v>94</v>
      </c>
      <c r="C913">
        <v>31</v>
      </c>
      <c r="D913" s="3"/>
      <c r="E913">
        <f>IF(C913="","",VLOOKUP(C913,PointsSystem!$A$2:$B$41,2,FALSE()))</f>
        <v>6</v>
      </c>
    </row>
    <row r="914" spans="1:5" x14ac:dyDescent="0.3">
      <c r="A914">
        <v>23</v>
      </c>
      <c r="B914" t="s">
        <v>94</v>
      </c>
      <c r="C914">
        <v>32</v>
      </c>
      <c r="D914" s="3"/>
      <c r="E914">
        <f>IF(C914="","",VLOOKUP(C914,PointsSystem!$A$2:$B$41,2,FALSE()))</f>
        <v>5</v>
      </c>
    </row>
    <row r="915" spans="1:5" x14ac:dyDescent="0.3">
      <c r="A915">
        <v>23</v>
      </c>
      <c r="B915" t="s">
        <v>94</v>
      </c>
      <c r="C915">
        <v>33</v>
      </c>
      <c r="D915" s="3"/>
      <c r="E915">
        <f>IF(C915="","",VLOOKUP(C915,PointsSystem!$A$2:$B$41,2,FALSE()))</f>
        <v>4</v>
      </c>
    </row>
    <row r="916" spans="1:5" x14ac:dyDescent="0.3">
      <c r="A916">
        <v>23</v>
      </c>
      <c r="B916" t="s">
        <v>94</v>
      </c>
      <c r="C916">
        <v>34</v>
      </c>
      <c r="D916" s="3"/>
      <c r="E916">
        <f>IF(C916="","",VLOOKUP(C916,PointsSystem!$A$2:$B$41,2,FALSE()))</f>
        <v>3</v>
      </c>
    </row>
    <row r="917" spans="1:5" x14ac:dyDescent="0.3">
      <c r="A917">
        <v>23</v>
      </c>
      <c r="B917" t="s">
        <v>94</v>
      </c>
      <c r="C917">
        <v>35</v>
      </c>
      <c r="D917" s="3"/>
      <c r="E917">
        <f>IF(C917="","",VLOOKUP(C917,PointsSystem!$A$2:$B$41,2,FALSE()))</f>
        <v>2</v>
      </c>
    </row>
    <row r="918" spans="1:5" x14ac:dyDescent="0.3">
      <c r="A918">
        <v>23</v>
      </c>
      <c r="B918" t="s">
        <v>94</v>
      </c>
      <c r="C918">
        <v>36</v>
      </c>
      <c r="D918" s="3"/>
      <c r="E918">
        <f>IF(C918="","",VLOOKUP(C918,PointsSystem!$A$2:$B$41,2,FALSE()))</f>
        <v>1</v>
      </c>
    </row>
    <row r="919" spans="1:5" x14ac:dyDescent="0.3">
      <c r="A919">
        <v>23</v>
      </c>
      <c r="B919" t="s">
        <v>94</v>
      </c>
      <c r="C919">
        <v>37</v>
      </c>
      <c r="D919" s="3"/>
      <c r="E919">
        <f>IF(C919="","",VLOOKUP(C919,PointsSystem!$A$2:$B$41,2,FALSE()))</f>
        <v>1</v>
      </c>
    </row>
    <row r="920" spans="1:5" x14ac:dyDescent="0.3">
      <c r="A920">
        <v>23</v>
      </c>
      <c r="B920" t="s">
        <v>94</v>
      </c>
      <c r="C920">
        <v>38</v>
      </c>
      <c r="D920" s="3"/>
      <c r="E920">
        <f>IF(C920="","",VLOOKUP(C920,PointsSystem!$A$2:$B$41,2,FALSE()))</f>
        <v>1</v>
      </c>
    </row>
    <row r="921" spans="1:5" x14ac:dyDescent="0.3">
      <c r="A921">
        <v>23</v>
      </c>
      <c r="B921" t="s">
        <v>94</v>
      </c>
      <c r="C921">
        <v>39</v>
      </c>
      <c r="D921" s="3"/>
      <c r="E921">
        <f>IF(C921="","",VLOOKUP(C921,PointsSystem!$A$2:$B$41,2,FALSE()))</f>
        <v>1</v>
      </c>
    </row>
    <row r="922" spans="1:5" x14ac:dyDescent="0.3">
      <c r="A922">
        <v>23</v>
      </c>
      <c r="B922" t="s">
        <v>94</v>
      </c>
      <c r="C922">
        <v>40</v>
      </c>
      <c r="D922" s="3"/>
      <c r="E922">
        <f>IF(C922="","",VLOOKUP(C922,PointsSystem!$A$2:$B$41,2,FALSE()))</f>
        <v>1</v>
      </c>
    </row>
    <row r="923" spans="1:5" x14ac:dyDescent="0.3">
      <c r="A923">
        <v>24</v>
      </c>
      <c r="B923" t="s">
        <v>97</v>
      </c>
      <c r="C923">
        <v>1</v>
      </c>
      <c r="D923" s="3"/>
      <c r="E923">
        <f>IF(C923="","",VLOOKUP(C923,PointsSystem!$A$2:$B$41,2,FALSE()))</f>
        <v>55</v>
      </c>
    </row>
    <row r="924" spans="1:5" x14ac:dyDescent="0.3">
      <c r="A924">
        <v>24</v>
      </c>
      <c r="B924" t="s">
        <v>97</v>
      </c>
      <c r="C924">
        <v>2</v>
      </c>
      <c r="D924" s="3"/>
      <c r="E924">
        <f>IF(C924="","",VLOOKUP(C924,PointsSystem!$A$2:$B$41,2,FALSE()))</f>
        <v>35</v>
      </c>
    </row>
    <row r="925" spans="1:5" x14ac:dyDescent="0.3">
      <c r="A925">
        <v>24</v>
      </c>
      <c r="B925" t="s">
        <v>97</v>
      </c>
      <c r="C925">
        <v>3</v>
      </c>
      <c r="D925" s="3"/>
      <c r="E925">
        <f>IF(C925="","",VLOOKUP(C925,PointsSystem!$A$2:$B$41,2,FALSE()))</f>
        <v>34</v>
      </c>
    </row>
    <row r="926" spans="1:5" x14ac:dyDescent="0.3">
      <c r="A926">
        <v>24</v>
      </c>
      <c r="B926" t="s">
        <v>97</v>
      </c>
      <c r="C926">
        <v>4</v>
      </c>
      <c r="D926" s="3"/>
      <c r="E926">
        <f>IF(C926="","",VLOOKUP(C926,PointsSystem!$A$2:$B$41,2,FALSE()))</f>
        <v>33</v>
      </c>
    </row>
    <row r="927" spans="1:5" x14ac:dyDescent="0.3">
      <c r="A927">
        <v>24</v>
      </c>
      <c r="B927" t="s">
        <v>97</v>
      </c>
      <c r="C927">
        <v>5</v>
      </c>
      <c r="D927" s="3"/>
      <c r="E927">
        <f>IF(C927="","",VLOOKUP(C927,PointsSystem!$A$2:$B$41,2,FALSE()))</f>
        <v>32</v>
      </c>
    </row>
    <row r="928" spans="1:5" x14ac:dyDescent="0.3">
      <c r="A928">
        <v>24</v>
      </c>
      <c r="B928" t="s">
        <v>97</v>
      </c>
      <c r="C928">
        <v>6</v>
      </c>
      <c r="D928" s="3"/>
      <c r="E928">
        <f>IF(C928="","",VLOOKUP(C928,PointsSystem!$A$2:$B$41,2,FALSE()))</f>
        <v>31</v>
      </c>
    </row>
    <row r="929" spans="1:5" x14ac:dyDescent="0.3">
      <c r="A929">
        <v>24</v>
      </c>
      <c r="B929" t="s">
        <v>97</v>
      </c>
      <c r="C929">
        <v>7</v>
      </c>
      <c r="D929" s="3"/>
      <c r="E929">
        <f>IF(C929="","",VLOOKUP(C929,PointsSystem!$A$2:$B$41,2,FALSE()))</f>
        <v>30</v>
      </c>
    </row>
    <row r="930" spans="1:5" x14ac:dyDescent="0.3">
      <c r="A930">
        <v>24</v>
      </c>
      <c r="B930" t="s">
        <v>97</v>
      </c>
      <c r="C930">
        <v>8</v>
      </c>
      <c r="D930" s="3"/>
      <c r="E930">
        <f>IF(C930="","",VLOOKUP(C930,PointsSystem!$A$2:$B$41,2,FALSE()))</f>
        <v>29</v>
      </c>
    </row>
    <row r="931" spans="1:5" x14ac:dyDescent="0.3">
      <c r="A931">
        <v>24</v>
      </c>
      <c r="B931" t="s">
        <v>97</v>
      </c>
      <c r="C931">
        <v>9</v>
      </c>
      <c r="D931" s="3"/>
      <c r="E931">
        <f>IF(C931="","",VLOOKUP(C931,PointsSystem!$A$2:$B$41,2,FALSE()))</f>
        <v>28</v>
      </c>
    </row>
    <row r="932" spans="1:5" x14ac:dyDescent="0.3">
      <c r="A932">
        <v>24</v>
      </c>
      <c r="B932" t="s">
        <v>97</v>
      </c>
      <c r="C932">
        <v>10</v>
      </c>
      <c r="D932" s="3"/>
      <c r="E932">
        <f>IF(C932="","",VLOOKUP(C932,PointsSystem!$A$2:$B$41,2,FALSE()))</f>
        <v>27</v>
      </c>
    </row>
    <row r="933" spans="1:5" x14ac:dyDescent="0.3">
      <c r="A933">
        <v>24</v>
      </c>
      <c r="B933" t="s">
        <v>97</v>
      </c>
      <c r="C933">
        <v>11</v>
      </c>
      <c r="D933" s="3"/>
      <c r="E933">
        <f>IF(C933="","",VLOOKUP(C933,PointsSystem!$A$2:$B$41,2,FALSE()))</f>
        <v>26</v>
      </c>
    </row>
    <row r="934" spans="1:5" x14ac:dyDescent="0.3">
      <c r="A934">
        <v>24</v>
      </c>
      <c r="B934" t="s">
        <v>97</v>
      </c>
      <c r="C934">
        <v>12</v>
      </c>
      <c r="D934" s="3"/>
      <c r="E934">
        <f>IF(C934="","",VLOOKUP(C934,PointsSystem!$A$2:$B$41,2,FALSE()))</f>
        <v>25</v>
      </c>
    </row>
    <row r="935" spans="1:5" x14ac:dyDescent="0.3">
      <c r="A935">
        <v>24</v>
      </c>
      <c r="B935" t="s">
        <v>97</v>
      </c>
      <c r="C935">
        <v>13</v>
      </c>
      <c r="D935" s="3"/>
      <c r="E935">
        <f>IF(C935="","",VLOOKUP(C935,PointsSystem!$A$2:$B$41,2,FALSE()))</f>
        <v>24</v>
      </c>
    </row>
    <row r="936" spans="1:5" x14ac:dyDescent="0.3">
      <c r="A936">
        <v>24</v>
      </c>
      <c r="B936" t="s">
        <v>97</v>
      </c>
      <c r="C936">
        <v>14</v>
      </c>
      <c r="D936" s="3"/>
      <c r="E936">
        <f>IF(C936="","",VLOOKUP(C936,PointsSystem!$A$2:$B$41,2,FALSE()))</f>
        <v>23</v>
      </c>
    </row>
    <row r="937" spans="1:5" x14ac:dyDescent="0.3">
      <c r="A937">
        <v>24</v>
      </c>
      <c r="B937" t="s">
        <v>97</v>
      </c>
      <c r="C937">
        <v>15</v>
      </c>
      <c r="D937" s="3"/>
      <c r="E937">
        <f>IF(C937="","",VLOOKUP(C937,PointsSystem!$A$2:$B$41,2,FALSE()))</f>
        <v>22</v>
      </c>
    </row>
    <row r="938" spans="1:5" x14ac:dyDescent="0.3">
      <c r="A938">
        <v>24</v>
      </c>
      <c r="B938" t="s">
        <v>97</v>
      </c>
      <c r="C938">
        <v>16</v>
      </c>
      <c r="D938" s="3"/>
      <c r="E938">
        <f>IF(C938="","",VLOOKUP(C938,PointsSystem!$A$2:$B$41,2,FALSE()))</f>
        <v>21</v>
      </c>
    </row>
    <row r="939" spans="1:5" x14ac:dyDescent="0.3">
      <c r="A939">
        <v>24</v>
      </c>
      <c r="B939" t="s">
        <v>97</v>
      </c>
      <c r="C939">
        <v>17</v>
      </c>
      <c r="D939" s="3"/>
      <c r="E939">
        <f>IF(C939="","",VLOOKUP(C939,PointsSystem!$A$2:$B$41,2,FALSE()))</f>
        <v>20</v>
      </c>
    </row>
    <row r="940" spans="1:5" x14ac:dyDescent="0.3">
      <c r="A940">
        <v>24</v>
      </c>
      <c r="B940" t="s">
        <v>97</v>
      </c>
      <c r="C940">
        <v>18</v>
      </c>
      <c r="D940" s="3"/>
      <c r="E940">
        <f>IF(C940="","",VLOOKUP(C940,PointsSystem!$A$2:$B$41,2,FALSE()))</f>
        <v>19</v>
      </c>
    </row>
    <row r="941" spans="1:5" x14ac:dyDescent="0.3">
      <c r="A941">
        <v>24</v>
      </c>
      <c r="B941" t="s">
        <v>97</v>
      </c>
      <c r="C941">
        <v>19</v>
      </c>
      <c r="D941" s="3"/>
      <c r="E941">
        <f>IF(C941="","",VLOOKUP(C941,PointsSystem!$A$2:$B$41,2,FALSE()))</f>
        <v>18</v>
      </c>
    </row>
    <row r="942" spans="1:5" x14ac:dyDescent="0.3">
      <c r="A942">
        <v>24</v>
      </c>
      <c r="B942" t="s">
        <v>97</v>
      </c>
      <c r="C942">
        <v>20</v>
      </c>
      <c r="D942" s="3"/>
      <c r="E942">
        <f>IF(C942="","",VLOOKUP(C942,PointsSystem!$A$2:$B$41,2,FALSE()))</f>
        <v>17</v>
      </c>
    </row>
    <row r="943" spans="1:5" x14ac:dyDescent="0.3">
      <c r="A943">
        <v>24</v>
      </c>
      <c r="B943" t="s">
        <v>97</v>
      </c>
      <c r="C943">
        <v>21</v>
      </c>
      <c r="D943" s="3"/>
      <c r="E943">
        <f>IF(C943="","",VLOOKUP(C943,PointsSystem!$A$2:$B$41,2,FALSE()))</f>
        <v>16</v>
      </c>
    </row>
    <row r="944" spans="1:5" x14ac:dyDescent="0.3">
      <c r="A944">
        <v>24</v>
      </c>
      <c r="B944" t="s">
        <v>97</v>
      </c>
      <c r="C944">
        <v>22</v>
      </c>
      <c r="D944" s="3"/>
      <c r="E944">
        <f>IF(C944="","",VLOOKUP(C944,PointsSystem!$A$2:$B$41,2,FALSE()))</f>
        <v>15</v>
      </c>
    </row>
    <row r="945" spans="1:5" x14ac:dyDescent="0.3">
      <c r="A945">
        <v>24</v>
      </c>
      <c r="B945" t="s">
        <v>97</v>
      </c>
      <c r="C945">
        <v>23</v>
      </c>
      <c r="D945" s="3"/>
      <c r="E945">
        <f>IF(C945="","",VLOOKUP(C945,PointsSystem!$A$2:$B$41,2,FALSE()))</f>
        <v>14</v>
      </c>
    </row>
    <row r="946" spans="1:5" x14ac:dyDescent="0.3">
      <c r="A946">
        <v>24</v>
      </c>
      <c r="B946" t="s">
        <v>97</v>
      </c>
      <c r="C946">
        <v>24</v>
      </c>
      <c r="D946" s="3"/>
      <c r="E946">
        <f>IF(C946="","",VLOOKUP(C946,PointsSystem!$A$2:$B$41,2,FALSE()))</f>
        <v>13</v>
      </c>
    </row>
    <row r="947" spans="1:5" x14ac:dyDescent="0.3">
      <c r="A947">
        <v>24</v>
      </c>
      <c r="B947" t="s">
        <v>97</v>
      </c>
      <c r="C947">
        <v>25</v>
      </c>
      <c r="D947" s="3"/>
      <c r="E947">
        <f>IF(C947="","",VLOOKUP(C947,PointsSystem!$A$2:$B$41,2,FALSE()))</f>
        <v>12</v>
      </c>
    </row>
    <row r="948" spans="1:5" x14ac:dyDescent="0.3">
      <c r="A948">
        <v>24</v>
      </c>
      <c r="B948" t="s">
        <v>97</v>
      </c>
      <c r="C948">
        <v>26</v>
      </c>
      <c r="D948" s="3"/>
      <c r="E948">
        <f>IF(C948="","",VLOOKUP(C948,PointsSystem!$A$2:$B$41,2,FALSE()))</f>
        <v>11</v>
      </c>
    </row>
    <row r="949" spans="1:5" x14ac:dyDescent="0.3">
      <c r="A949">
        <v>24</v>
      </c>
      <c r="B949" t="s">
        <v>97</v>
      </c>
      <c r="C949">
        <v>27</v>
      </c>
      <c r="D949" s="3"/>
      <c r="E949">
        <f>IF(C949="","",VLOOKUP(C949,PointsSystem!$A$2:$B$41,2,FALSE()))</f>
        <v>10</v>
      </c>
    </row>
    <row r="950" spans="1:5" x14ac:dyDescent="0.3">
      <c r="A950">
        <v>24</v>
      </c>
      <c r="B950" t="s">
        <v>97</v>
      </c>
      <c r="C950">
        <v>28</v>
      </c>
      <c r="D950" s="3"/>
      <c r="E950">
        <f>IF(C950="","",VLOOKUP(C950,PointsSystem!$A$2:$B$41,2,FALSE()))</f>
        <v>9</v>
      </c>
    </row>
    <row r="951" spans="1:5" x14ac:dyDescent="0.3">
      <c r="A951">
        <v>24</v>
      </c>
      <c r="B951" t="s">
        <v>97</v>
      </c>
      <c r="C951">
        <v>29</v>
      </c>
      <c r="D951" s="3"/>
      <c r="E951">
        <f>IF(C951="","",VLOOKUP(C951,PointsSystem!$A$2:$B$41,2,FALSE()))</f>
        <v>8</v>
      </c>
    </row>
    <row r="952" spans="1:5" x14ac:dyDescent="0.3">
      <c r="A952">
        <v>24</v>
      </c>
      <c r="B952" t="s">
        <v>97</v>
      </c>
      <c r="C952">
        <v>30</v>
      </c>
      <c r="D952" s="3"/>
      <c r="E952">
        <f>IF(C952="","",VLOOKUP(C952,PointsSystem!$A$2:$B$41,2,FALSE()))</f>
        <v>7</v>
      </c>
    </row>
    <row r="953" spans="1:5" x14ac:dyDescent="0.3">
      <c r="A953">
        <v>24</v>
      </c>
      <c r="B953" t="s">
        <v>97</v>
      </c>
      <c r="C953">
        <v>31</v>
      </c>
      <c r="D953" s="3"/>
      <c r="E953">
        <f>IF(C953="","",VLOOKUP(C953,PointsSystem!$A$2:$B$41,2,FALSE()))</f>
        <v>6</v>
      </c>
    </row>
    <row r="954" spans="1:5" x14ac:dyDescent="0.3">
      <c r="A954">
        <v>24</v>
      </c>
      <c r="B954" t="s">
        <v>97</v>
      </c>
      <c r="C954">
        <v>32</v>
      </c>
      <c r="D954" s="3"/>
      <c r="E954">
        <f>IF(C954="","",VLOOKUP(C954,PointsSystem!$A$2:$B$41,2,FALSE()))</f>
        <v>5</v>
      </c>
    </row>
    <row r="955" spans="1:5" x14ac:dyDescent="0.3">
      <c r="A955">
        <v>24</v>
      </c>
      <c r="B955" t="s">
        <v>97</v>
      </c>
      <c r="C955">
        <v>33</v>
      </c>
      <c r="D955" s="3"/>
      <c r="E955">
        <f>IF(C955="","",VLOOKUP(C955,PointsSystem!$A$2:$B$41,2,FALSE()))</f>
        <v>4</v>
      </c>
    </row>
    <row r="956" spans="1:5" x14ac:dyDescent="0.3">
      <c r="A956">
        <v>24</v>
      </c>
      <c r="B956" t="s">
        <v>97</v>
      </c>
      <c r="C956">
        <v>34</v>
      </c>
      <c r="D956" s="3"/>
      <c r="E956">
        <f>IF(C956="","",VLOOKUP(C956,PointsSystem!$A$2:$B$41,2,FALSE()))</f>
        <v>3</v>
      </c>
    </row>
    <row r="957" spans="1:5" x14ac:dyDescent="0.3">
      <c r="A957">
        <v>24</v>
      </c>
      <c r="B957" t="s">
        <v>97</v>
      </c>
      <c r="C957">
        <v>35</v>
      </c>
      <c r="D957" s="3"/>
      <c r="E957">
        <f>IF(C957="","",VLOOKUP(C957,PointsSystem!$A$2:$B$41,2,FALSE()))</f>
        <v>2</v>
      </c>
    </row>
    <row r="958" spans="1:5" x14ac:dyDescent="0.3">
      <c r="A958">
        <v>24</v>
      </c>
      <c r="B958" t="s">
        <v>97</v>
      </c>
      <c r="C958">
        <v>36</v>
      </c>
      <c r="D958" s="3"/>
      <c r="E958">
        <f>IF(C958="","",VLOOKUP(C958,PointsSystem!$A$2:$B$41,2,FALSE()))</f>
        <v>1</v>
      </c>
    </row>
    <row r="959" spans="1:5" x14ac:dyDescent="0.3">
      <c r="A959">
        <v>24</v>
      </c>
      <c r="B959" t="s">
        <v>97</v>
      </c>
      <c r="C959">
        <v>37</v>
      </c>
      <c r="D959" s="3"/>
      <c r="E959">
        <f>IF(C959="","",VLOOKUP(C959,PointsSystem!$A$2:$B$41,2,FALSE()))</f>
        <v>1</v>
      </c>
    </row>
    <row r="960" spans="1:5" x14ac:dyDescent="0.3">
      <c r="A960">
        <v>24</v>
      </c>
      <c r="B960" t="s">
        <v>97</v>
      </c>
      <c r="C960">
        <v>38</v>
      </c>
      <c r="D960" s="3"/>
      <c r="E960">
        <f>IF(C960="","",VLOOKUP(C960,PointsSystem!$A$2:$B$41,2,FALSE()))</f>
        <v>1</v>
      </c>
    </row>
    <row r="961" spans="1:5" x14ac:dyDescent="0.3">
      <c r="A961">
        <v>24</v>
      </c>
      <c r="B961" t="s">
        <v>97</v>
      </c>
      <c r="C961">
        <v>39</v>
      </c>
      <c r="D961" s="3"/>
      <c r="E961">
        <f>IF(C961="","",VLOOKUP(C961,PointsSystem!$A$2:$B$41,2,FALSE()))</f>
        <v>1</v>
      </c>
    </row>
    <row r="962" spans="1:5" x14ac:dyDescent="0.3">
      <c r="A962">
        <v>24</v>
      </c>
      <c r="B962" t="s">
        <v>97</v>
      </c>
      <c r="C962">
        <v>40</v>
      </c>
      <c r="D962" s="3"/>
      <c r="E962">
        <f>IF(C962="","",VLOOKUP(C962,PointsSystem!$A$2:$B$41,2,FALSE()))</f>
        <v>1</v>
      </c>
    </row>
    <row r="963" spans="1:5" x14ac:dyDescent="0.3">
      <c r="A963">
        <v>25</v>
      </c>
      <c r="B963" t="s">
        <v>99</v>
      </c>
      <c r="C963">
        <v>1</v>
      </c>
      <c r="D963" s="3"/>
      <c r="E963">
        <f>IF(C963="","",VLOOKUP(C963,PointsSystem!$A$2:$B$41,2,FALSE()))</f>
        <v>55</v>
      </c>
    </row>
    <row r="964" spans="1:5" x14ac:dyDescent="0.3">
      <c r="A964">
        <v>25</v>
      </c>
      <c r="B964" t="s">
        <v>99</v>
      </c>
      <c r="C964">
        <v>2</v>
      </c>
      <c r="D964" s="3"/>
      <c r="E964">
        <f>IF(C964="","",VLOOKUP(C964,PointsSystem!$A$2:$B$41,2,FALSE()))</f>
        <v>35</v>
      </c>
    </row>
    <row r="965" spans="1:5" x14ac:dyDescent="0.3">
      <c r="A965">
        <v>25</v>
      </c>
      <c r="B965" t="s">
        <v>99</v>
      </c>
      <c r="C965">
        <v>3</v>
      </c>
      <c r="D965" s="3"/>
      <c r="E965">
        <f>IF(C965="","",VLOOKUP(C965,PointsSystem!$A$2:$B$41,2,FALSE()))</f>
        <v>34</v>
      </c>
    </row>
    <row r="966" spans="1:5" x14ac:dyDescent="0.3">
      <c r="A966">
        <v>25</v>
      </c>
      <c r="B966" t="s">
        <v>99</v>
      </c>
      <c r="C966">
        <v>4</v>
      </c>
      <c r="D966" s="3"/>
      <c r="E966">
        <f>IF(C966="","",VLOOKUP(C966,PointsSystem!$A$2:$B$41,2,FALSE()))</f>
        <v>33</v>
      </c>
    </row>
    <row r="967" spans="1:5" x14ac:dyDescent="0.3">
      <c r="A967">
        <v>25</v>
      </c>
      <c r="B967" t="s">
        <v>99</v>
      </c>
      <c r="C967">
        <v>5</v>
      </c>
      <c r="D967" s="3"/>
      <c r="E967">
        <f>IF(C967="","",VLOOKUP(C967,PointsSystem!$A$2:$B$41,2,FALSE()))</f>
        <v>32</v>
      </c>
    </row>
    <row r="968" spans="1:5" x14ac:dyDescent="0.3">
      <c r="A968">
        <v>25</v>
      </c>
      <c r="B968" t="s">
        <v>99</v>
      </c>
      <c r="C968">
        <v>6</v>
      </c>
      <c r="D968" s="3"/>
      <c r="E968">
        <f>IF(C968="","",VLOOKUP(C968,PointsSystem!$A$2:$B$41,2,FALSE()))</f>
        <v>31</v>
      </c>
    </row>
    <row r="969" spans="1:5" x14ac:dyDescent="0.3">
      <c r="A969">
        <v>25</v>
      </c>
      <c r="B969" t="s">
        <v>99</v>
      </c>
      <c r="C969">
        <v>7</v>
      </c>
      <c r="D969" s="3"/>
      <c r="E969">
        <f>IF(C969="","",VLOOKUP(C969,PointsSystem!$A$2:$B$41,2,FALSE()))</f>
        <v>30</v>
      </c>
    </row>
    <row r="970" spans="1:5" x14ac:dyDescent="0.3">
      <c r="A970">
        <v>25</v>
      </c>
      <c r="B970" t="s">
        <v>99</v>
      </c>
      <c r="C970">
        <v>8</v>
      </c>
      <c r="D970" s="3"/>
      <c r="E970">
        <f>IF(C970="","",VLOOKUP(C970,PointsSystem!$A$2:$B$41,2,FALSE()))</f>
        <v>29</v>
      </c>
    </row>
    <row r="971" spans="1:5" x14ac:dyDescent="0.3">
      <c r="A971">
        <v>25</v>
      </c>
      <c r="B971" t="s">
        <v>99</v>
      </c>
      <c r="C971">
        <v>9</v>
      </c>
      <c r="D971" s="3"/>
      <c r="E971">
        <f>IF(C971="","",VLOOKUP(C971,PointsSystem!$A$2:$B$41,2,FALSE()))</f>
        <v>28</v>
      </c>
    </row>
    <row r="972" spans="1:5" x14ac:dyDescent="0.3">
      <c r="A972">
        <v>25</v>
      </c>
      <c r="B972" t="s">
        <v>99</v>
      </c>
      <c r="C972">
        <v>10</v>
      </c>
      <c r="D972" s="3"/>
      <c r="E972">
        <f>IF(C972="","",VLOOKUP(C972,PointsSystem!$A$2:$B$41,2,FALSE()))</f>
        <v>27</v>
      </c>
    </row>
    <row r="973" spans="1:5" x14ac:dyDescent="0.3">
      <c r="A973">
        <v>25</v>
      </c>
      <c r="B973" t="s">
        <v>99</v>
      </c>
      <c r="C973">
        <v>11</v>
      </c>
      <c r="D973" s="3"/>
      <c r="E973">
        <f>IF(C973="","",VLOOKUP(C973,PointsSystem!$A$2:$B$41,2,FALSE()))</f>
        <v>26</v>
      </c>
    </row>
    <row r="974" spans="1:5" x14ac:dyDescent="0.3">
      <c r="A974">
        <v>25</v>
      </c>
      <c r="B974" t="s">
        <v>99</v>
      </c>
      <c r="C974">
        <v>12</v>
      </c>
      <c r="D974" s="3"/>
      <c r="E974">
        <f>IF(C974="","",VLOOKUP(C974,PointsSystem!$A$2:$B$41,2,FALSE()))</f>
        <v>25</v>
      </c>
    </row>
    <row r="975" spans="1:5" x14ac:dyDescent="0.3">
      <c r="A975">
        <v>25</v>
      </c>
      <c r="B975" t="s">
        <v>99</v>
      </c>
      <c r="C975">
        <v>13</v>
      </c>
      <c r="D975" s="3"/>
      <c r="E975">
        <f>IF(C975="","",VLOOKUP(C975,PointsSystem!$A$2:$B$41,2,FALSE()))</f>
        <v>24</v>
      </c>
    </row>
    <row r="976" spans="1:5" x14ac:dyDescent="0.3">
      <c r="A976">
        <v>25</v>
      </c>
      <c r="B976" t="s">
        <v>99</v>
      </c>
      <c r="C976">
        <v>14</v>
      </c>
      <c r="D976" s="3"/>
      <c r="E976">
        <f>IF(C976="","",VLOOKUP(C976,PointsSystem!$A$2:$B$41,2,FALSE()))</f>
        <v>23</v>
      </c>
    </row>
    <row r="977" spans="1:5" x14ac:dyDescent="0.3">
      <c r="A977">
        <v>25</v>
      </c>
      <c r="B977" t="s">
        <v>99</v>
      </c>
      <c r="C977">
        <v>15</v>
      </c>
      <c r="D977" s="3"/>
      <c r="E977">
        <f>IF(C977="","",VLOOKUP(C977,PointsSystem!$A$2:$B$41,2,FALSE()))</f>
        <v>22</v>
      </c>
    </row>
    <row r="978" spans="1:5" x14ac:dyDescent="0.3">
      <c r="A978">
        <v>25</v>
      </c>
      <c r="B978" t="s">
        <v>99</v>
      </c>
      <c r="C978">
        <v>16</v>
      </c>
      <c r="D978" s="3"/>
      <c r="E978">
        <f>IF(C978="","",VLOOKUP(C978,PointsSystem!$A$2:$B$41,2,FALSE()))</f>
        <v>21</v>
      </c>
    </row>
    <row r="979" spans="1:5" x14ac:dyDescent="0.3">
      <c r="A979">
        <v>25</v>
      </c>
      <c r="B979" t="s">
        <v>99</v>
      </c>
      <c r="C979">
        <v>17</v>
      </c>
      <c r="D979" s="3"/>
      <c r="E979">
        <f>IF(C979="","",VLOOKUP(C979,PointsSystem!$A$2:$B$41,2,FALSE()))</f>
        <v>20</v>
      </c>
    </row>
    <row r="980" spans="1:5" x14ac:dyDescent="0.3">
      <c r="A980">
        <v>25</v>
      </c>
      <c r="B980" t="s">
        <v>99</v>
      </c>
      <c r="C980">
        <v>18</v>
      </c>
      <c r="D980" s="3"/>
      <c r="E980">
        <f>IF(C980="","",VLOOKUP(C980,PointsSystem!$A$2:$B$41,2,FALSE()))</f>
        <v>19</v>
      </c>
    </row>
    <row r="981" spans="1:5" x14ac:dyDescent="0.3">
      <c r="A981">
        <v>25</v>
      </c>
      <c r="B981" t="s">
        <v>99</v>
      </c>
      <c r="C981">
        <v>19</v>
      </c>
      <c r="D981" s="3"/>
      <c r="E981">
        <f>IF(C981="","",VLOOKUP(C981,PointsSystem!$A$2:$B$41,2,FALSE()))</f>
        <v>18</v>
      </c>
    </row>
    <row r="982" spans="1:5" x14ac:dyDescent="0.3">
      <c r="A982">
        <v>25</v>
      </c>
      <c r="B982" t="s">
        <v>99</v>
      </c>
      <c r="C982">
        <v>20</v>
      </c>
      <c r="D982" s="3"/>
      <c r="E982">
        <f>IF(C982="","",VLOOKUP(C982,PointsSystem!$A$2:$B$41,2,FALSE()))</f>
        <v>17</v>
      </c>
    </row>
    <row r="983" spans="1:5" x14ac:dyDescent="0.3">
      <c r="A983">
        <v>25</v>
      </c>
      <c r="B983" t="s">
        <v>99</v>
      </c>
      <c r="C983">
        <v>21</v>
      </c>
      <c r="D983" s="3"/>
      <c r="E983">
        <f>IF(C983="","",VLOOKUP(C983,PointsSystem!$A$2:$B$41,2,FALSE()))</f>
        <v>16</v>
      </c>
    </row>
    <row r="984" spans="1:5" x14ac:dyDescent="0.3">
      <c r="A984">
        <v>25</v>
      </c>
      <c r="B984" t="s">
        <v>99</v>
      </c>
      <c r="C984">
        <v>22</v>
      </c>
      <c r="D984" s="3"/>
      <c r="E984">
        <f>IF(C984="","",VLOOKUP(C984,PointsSystem!$A$2:$B$41,2,FALSE()))</f>
        <v>15</v>
      </c>
    </row>
    <row r="985" spans="1:5" x14ac:dyDescent="0.3">
      <c r="A985">
        <v>25</v>
      </c>
      <c r="B985" t="s">
        <v>99</v>
      </c>
      <c r="C985">
        <v>23</v>
      </c>
      <c r="D985" s="3"/>
      <c r="E985">
        <f>IF(C985="","",VLOOKUP(C985,PointsSystem!$A$2:$B$41,2,FALSE()))</f>
        <v>14</v>
      </c>
    </row>
    <row r="986" spans="1:5" x14ac:dyDescent="0.3">
      <c r="A986">
        <v>25</v>
      </c>
      <c r="B986" t="s">
        <v>99</v>
      </c>
      <c r="C986">
        <v>24</v>
      </c>
      <c r="D986" s="3"/>
      <c r="E986">
        <f>IF(C986="","",VLOOKUP(C986,PointsSystem!$A$2:$B$41,2,FALSE()))</f>
        <v>13</v>
      </c>
    </row>
    <row r="987" spans="1:5" x14ac:dyDescent="0.3">
      <c r="A987">
        <v>25</v>
      </c>
      <c r="B987" t="s">
        <v>99</v>
      </c>
      <c r="C987">
        <v>25</v>
      </c>
      <c r="D987" s="3"/>
      <c r="E987">
        <f>IF(C987="","",VLOOKUP(C987,PointsSystem!$A$2:$B$41,2,FALSE()))</f>
        <v>12</v>
      </c>
    </row>
    <row r="988" spans="1:5" x14ac:dyDescent="0.3">
      <c r="A988">
        <v>25</v>
      </c>
      <c r="B988" t="s">
        <v>99</v>
      </c>
      <c r="C988">
        <v>26</v>
      </c>
      <c r="D988" s="3"/>
      <c r="E988">
        <f>IF(C988="","",VLOOKUP(C988,PointsSystem!$A$2:$B$41,2,FALSE()))</f>
        <v>11</v>
      </c>
    </row>
    <row r="989" spans="1:5" x14ac:dyDescent="0.3">
      <c r="A989">
        <v>25</v>
      </c>
      <c r="B989" t="s">
        <v>99</v>
      </c>
      <c r="C989">
        <v>27</v>
      </c>
      <c r="D989" s="3"/>
      <c r="E989">
        <f>IF(C989="","",VLOOKUP(C989,PointsSystem!$A$2:$B$41,2,FALSE()))</f>
        <v>10</v>
      </c>
    </row>
    <row r="990" spans="1:5" x14ac:dyDescent="0.3">
      <c r="A990">
        <v>25</v>
      </c>
      <c r="B990" t="s">
        <v>99</v>
      </c>
      <c r="C990">
        <v>28</v>
      </c>
      <c r="D990" s="3"/>
      <c r="E990">
        <f>IF(C990="","",VLOOKUP(C990,PointsSystem!$A$2:$B$41,2,FALSE()))</f>
        <v>9</v>
      </c>
    </row>
    <row r="991" spans="1:5" x14ac:dyDescent="0.3">
      <c r="A991">
        <v>25</v>
      </c>
      <c r="B991" t="s">
        <v>99</v>
      </c>
      <c r="C991">
        <v>29</v>
      </c>
      <c r="D991" s="3"/>
      <c r="E991">
        <f>IF(C991="","",VLOOKUP(C991,PointsSystem!$A$2:$B$41,2,FALSE()))</f>
        <v>8</v>
      </c>
    </row>
    <row r="992" spans="1:5" x14ac:dyDescent="0.3">
      <c r="A992">
        <v>25</v>
      </c>
      <c r="B992" t="s">
        <v>99</v>
      </c>
      <c r="C992">
        <v>30</v>
      </c>
      <c r="D992" s="3"/>
      <c r="E992">
        <f>IF(C992="","",VLOOKUP(C992,PointsSystem!$A$2:$B$41,2,FALSE()))</f>
        <v>7</v>
      </c>
    </row>
    <row r="993" spans="1:5" x14ac:dyDescent="0.3">
      <c r="A993">
        <v>25</v>
      </c>
      <c r="B993" t="s">
        <v>99</v>
      </c>
      <c r="C993">
        <v>31</v>
      </c>
      <c r="D993" s="3"/>
      <c r="E993">
        <f>IF(C993="","",VLOOKUP(C993,PointsSystem!$A$2:$B$41,2,FALSE()))</f>
        <v>6</v>
      </c>
    </row>
    <row r="994" spans="1:5" x14ac:dyDescent="0.3">
      <c r="A994">
        <v>25</v>
      </c>
      <c r="B994" t="s">
        <v>99</v>
      </c>
      <c r="C994">
        <v>32</v>
      </c>
      <c r="D994" s="3"/>
      <c r="E994">
        <f>IF(C994="","",VLOOKUP(C994,PointsSystem!$A$2:$B$41,2,FALSE()))</f>
        <v>5</v>
      </c>
    </row>
    <row r="995" spans="1:5" x14ac:dyDescent="0.3">
      <c r="A995">
        <v>25</v>
      </c>
      <c r="B995" t="s">
        <v>99</v>
      </c>
      <c r="C995">
        <v>33</v>
      </c>
      <c r="D995" s="3"/>
      <c r="E995">
        <f>IF(C995="","",VLOOKUP(C995,PointsSystem!$A$2:$B$41,2,FALSE()))</f>
        <v>4</v>
      </c>
    </row>
    <row r="996" spans="1:5" x14ac:dyDescent="0.3">
      <c r="A996">
        <v>25</v>
      </c>
      <c r="B996" t="s">
        <v>99</v>
      </c>
      <c r="C996">
        <v>34</v>
      </c>
      <c r="D996" s="3"/>
      <c r="E996">
        <f>IF(C996="","",VLOOKUP(C996,PointsSystem!$A$2:$B$41,2,FALSE()))</f>
        <v>3</v>
      </c>
    </row>
    <row r="997" spans="1:5" x14ac:dyDescent="0.3">
      <c r="A997">
        <v>25</v>
      </c>
      <c r="B997" t="s">
        <v>99</v>
      </c>
      <c r="C997">
        <v>35</v>
      </c>
      <c r="D997" s="3"/>
      <c r="E997">
        <f>IF(C997="","",VLOOKUP(C997,PointsSystem!$A$2:$B$41,2,FALSE()))</f>
        <v>2</v>
      </c>
    </row>
    <row r="998" spans="1:5" x14ac:dyDescent="0.3">
      <c r="A998">
        <v>25</v>
      </c>
      <c r="B998" t="s">
        <v>99</v>
      </c>
      <c r="C998">
        <v>36</v>
      </c>
      <c r="D998" s="3"/>
      <c r="E998">
        <f>IF(C998="","",VLOOKUP(C998,PointsSystem!$A$2:$B$41,2,FALSE()))</f>
        <v>1</v>
      </c>
    </row>
    <row r="999" spans="1:5" x14ac:dyDescent="0.3">
      <c r="A999">
        <v>25</v>
      </c>
      <c r="B999" t="s">
        <v>99</v>
      </c>
      <c r="C999">
        <v>37</v>
      </c>
      <c r="D999" s="3"/>
      <c r="E999">
        <f>IF(C999="","",VLOOKUP(C999,PointsSystem!$A$2:$B$41,2,FALSE()))</f>
        <v>1</v>
      </c>
    </row>
    <row r="1000" spans="1:5" x14ac:dyDescent="0.3">
      <c r="A1000">
        <v>25</v>
      </c>
      <c r="B1000" t="s">
        <v>99</v>
      </c>
      <c r="C1000">
        <v>38</v>
      </c>
      <c r="D1000" s="3"/>
      <c r="E1000">
        <f>IF(C1000="","",VLOOKUP(C1000,PointsSystem!$A$2:$B$41,2,FALSE()))</f>
        <v>1</v>
      </c>
    </row>
    <row r="1001" spans="1:5" x14ac:dyDescent="0.3">
      <c r="A1001">
        <v>25</v>
      </c>
      <c r="B1001" t="s">
        <v>99</v>
      </c>
      <c r="C1001">
        <v>39</v>
      </c>
      <c r="D1001" s="3"/>
      <c r="E1001">
        <f>IF(C1001="","",VLOOKUP(C1001,PointsSystem!$A$2:$B$41,2,FALSE()))</f>
        <v>1</v>
      </c>
    </row>
    <row r="1002" spans="1:5" x14ac:dyDescent="0.3">
      <c r="A1002">
        <v>25</v>
      </c>
      <c r="B1002" t="s">
        <v>99</v>
      </c>
      <c r="C1002">
        <v>40</v>
      </c>
      <c r="D1002" s="3"/>
      <c r="E1002">
        <f>IF(C1002="","",VLOOKUP(C1002,PointsSystem!$A$2:$B$41,2,FALSE()))</f>
        <v>1</v>
      </c>
    </row>
    <row r="1003" spans="1:5" x14ac:dyDescent="0.3">
      <c r="A1003">
        <v>26</v>
      </c>
      <c r="B1003" t="s">
        <v>101</v>
      </c>
      <c r="C1003">
        <v>1</v>
      </c>
      <c r="D1003" s="3"/>
      <c r="E1003">
        <f>IF(C1003="","",VLOOKUP(C1003,PointsSystem!$A$2:$B$41,2,FALSE()))</f>
        <v>55</v>
      </c>
    </row>
    <row r="1004" spans="1:5" x14ac:dyDescent="0.3">
      <c r="A1004">
        <v>26</v>
      </c>
      <c r="B1004" t="s">
        <v>101</v>
      </c>
      <c r="C1004">
        <v>2</v>
      </c>
      <c r="D1004" s="3"/>
      <c r="E1004">
        <f>IF(C1004="","",VLOOKUP(C1004,PointsSystem!$A$2:$B$41,2,FALSE()))</f>
        <v>35</v>
      </c>
    </row>
    <row r="1005" spans="1:5" x14ac:dyDescent="0.3">
      <c r="A1005">
        <v>26</v>
      </c>
      <c r="B1005" t="s">
        <v>101</v>
      </c>
      <c r="C1005">
        <v>3</v>
      </c>
      <c r="D1005" s="3"/>
      <c r="E1005">
        <f>IF(C1005="","",VLOOKUP(C1005,PointsSystem!$A$2:$B$41,2,FALSE()))</f>
        <v>34</v>
      </c>
    </row>
    <row r="1006" spans="1:5" x14ac:dyDescent="0.3">
      <c r="A1006">
        <v>26</v>
      </c>
      <c r="B1006" t="s">
        <v>101</v>
      </c>
      <c r="C1006">
        <v>4</v>
      </c>
      <c r="D1006" s="3"/>
      <c r="E1006">
        <f>IF(C1006="","",VLOOKUP(C1006,PointsSystem!$A$2:$B$41,2,FALSE()))</f>
        <v>33</v>
      </c>
    </row>
    <row r="1007" spans="1:5" x14ac:dyDescent="0.3">
      <c r="A1007">
        <v>26</v>
      </c>
      <c r="B1007" t="s">
        <v>101</v>
      </c>
      <c r="C1007">
        <v>5</v>
      </c>
      <c r="D1007" s="3"/>
      <c r="E1007">
        <f>IF(C1007="","",VLOOKUP(C1007,PointsSystem!$A$2:$B$41,2,FALSE()))</f>
        <v>32</v>
      </c>
    </row>
    <row r="1008" spans="1:5" x14ac:dyDescent="0.3">
      <c r="A1008">
        <v>26</v>
      </c>
      <c r="B1008" t="s">
        <v>101</v>
      </c>
      <c r="C1008">
        <v>6</v>
      </c>
      <c r="D1008" s="3"/>
      <c r="E1008">
        <f>IF(C1008="","",VLOOKUP(C1008,PointsSystem!$A$2:$B$41,2,FALSE()))</f>
        <v>31</v>
      </c>
    </row>
    <row r="1009" spans="1:5" x14ac:dyDescent="0.3">
      <c r="A1009">
        <v>26</v>
      </c>
      <c r="B1009" t="s">
        <v>101</v>
      </c>
      <c r="C1009">
        <v>7</v>
      </c>
      <c r="D1009" s="3"/>
      <c r="E1009">
        <f>IF(C1009="","",VLOOKUP(C1009,PointsSystem!$A$2:$B$41,2,FALSE()))</f>
        <v>30</v>
      </c>
    </row>
    <row r="1010" spans="1:5" x14ac:dyDescent="0.3">
      <c r="A1010">
        <v>26</v>
      </c>
      <c r="B1010" t="s">
        <v>101</v>
      </c>
      <c r="C1010">
        <v>8</v>
      </c>
      <c r="D1010" s="3"/>
      <c r="E1010">
        <f>IF(C1010="","",VLOOKUP(C1010,PointsSystem!$A$2:$B$41,2,FALSE()))</f>
        <v>29</v>
      </c>
    </row>
    <row r="1011" spans="1:5" x14ac:dyDescent="0.3">
      <c r="A1011">
        <v>26</v>
      </c>
      <c r="B1011" t="s">
        <v>101</v>
      </c>
      <c r="C1011">
        <v>9</v>
      </c>
      <c r="D1011" s="3"/>
      <c r="E1011">
        <f>IF(C1011="","",VLOOKUP(C1011,PointsSystem!$A$2:$B$41,2,FALSE()))</f>
        <v>28</v>
      </c>
    </row>
    <row r="1012" spans="1:5" x14ac:dyDescent="0.3">
      <c r="A1012">
        <v>26</v>
      </c>
      <c r="B1012" t="s">
        <v>101</v>
      </c>
      <c r="C1012">
        <v>10</v>
      </c>
      <c r="D1012" s="3"/>
      <c r="E1012">
        <f>IF(C1012="","",VLOOKUP(C1012,PointsSystem!$A$2:$B$41,2,FALSE()))</f>
        <v>27</v>
      </c>
    </row>
    <row r="1013" spans="1:5" x14ac:dyDescent="0.3">
      <c r="A1013">
        <v>26</v>
      </c>
      <c r="B1013" t="s">
        <v>101</v>
      </c>
      <c r="C1013">
        <v>11</v>
      </c>
      <c r="D1013" s="3"/>
      <c r="E1013">
        <f>IF(C1013="","",VLOOKUP(C1013,PointsSystem!$A$2:$B$41,2,FALSE()))</f>
        <v>26</v>
      </c>
    </row>
    <row r="1014" spans="1:5" x14ac:dyDescent="0.3">
      <c r="A1014">
        <v>26</v>
      </c>
      <c r="B1014" t="s">
        <v>101</v>
      </c>
      <c r="C1014">
        <v>12</v>
      </c>
      <c r="D1014" s="3"/>
      <c r="E1014">
        <f>IF(C1014="","",VLOOKUP(C1014,PointsSystem!$A$2:$B$41,2,FALSE()))</f>
        <v>25</v>
      </c>
    </row>
    <row r="1015" spans="1:5" x14ac:dyDescent="0.3">
      <c r="A1015">
        <v>26</v>
      </c>
      <c r="B1015" t="s">
        <v>101</v>
      </c>
      <c r="C1015">
        <v>13</v>
      </c>
      <c r="D1015" s="3"/>
      <c r="E1015">
        <f>IF(C1015="","",VLOOKUP(C1015,PointsSystem!$A$2:$B$41,2,FALSE()))</f>
        <v>24</v>
      </c>
    </row>
    <row r="1016" spans="1:5" x14ac:dyDescent="0.3">
      <c r="A1016">
        <v>26</v>
      </c>
      <c r="B1016" t="s">
        <v>101</v>
      </c>
      <c r="C1016">
        <v>14</v>
      </c>
      <c r="D1016" s="3"/>
      <c r="E1016">
        <f>IF(C1016="","",VLOOKUP(C1016,PointsSystem!$A$2:$B$41,2,FALSE()))</f>
        <v>23</v>
      </c>
    </row>
    <row r="1017" spans="1:5" x14ac:dyDescent="0.3">
      <c r="A1017">
        <v>26</v>
      </c>
      <c r="B1017" t="s">
        <v>101</v>
      </c>
      <c r="C1017">
        <v>15</v>
      </c>
      <c r="D1017" s="3"/>
      <c r="E1017">
        <f>IF(C1017="","",VLOOKUP(C1017,PointsSystem!$A$2:$B$41,2,FALSE()))</f>
        <v>22</v>
      </c>
    </row>
    <row r="1018" spans="1:5" x14ac:dyDescent="0.3">
      <c r="A1018">
        <v>26</v>
      </c>
      <c r="B1018" t="s">
        <v>101</v>
      </c>
      <c r="C1018">
        <v>16</v>
      </c>
      <c r="D1018" s="3"/>
      <c r="E1018">
        <f>IF(C1018="","",VLOOKUP(C1018,PointsSystem!$A$2:$B$41,2,FALSE()))</f>
        <v>21</v>
      </c>
    </row>
    <row r="1019" spans="1:5" x14ac:dyDescent="0.3">
      <c r="A1019">
        <v>26</v>
      </c>
      <c r="B1019" t="s">
        <v>101</v>
      </c>
      <c r="C1019">
        <v>17</v>
      </c>
      <c r="D1019" s="3"/>
      <c r="E1019">
        <f>IF(C1019="","",VLOOKUP(C1019,PointsSystem!$A$2:$B$41,2,FALSE()))</f>
        <v>20</v>
      </c>
    </row>
    <row r="1020" spans="1:5" x14ac:dyDescent="0.3">
      <c r="A1020">
        <v>26</v>
      </c>
      <c r="B1020" t="s">
        <v>101</v>
      </c>
      <c r="C1020">
        <v>18</v>
      </c>
      <c r="D1020" s="3"/>
      <c r="E1020">
        <f>IF(C1020="","",VLOOKUP(C1020,PointsSystem!$A$2:$B$41,2,FALSE()))</f>
        <v>19</v>
      </c>
    </row>
    <row r="1021" spans="1:5" x14ac:dyDescent="0.3">
      <c r="A1021">
        <v>26</v>
      </c>
      <c r="B1021" t="s">
        <v>101</v>
      </c>
      <c r="C1021">
        <v>19</v>
      </c>
      <c r="D1021" s="3"/>
      <c r="E1021">
        <f>IF(C1021="","",VLOOKUP(C1021,PointsSystem!$A$2:$B$41,2,FALSE()))</f>
        <v>18</v>
      </c>
    </row>
    <row r="1022" spans="1:5" x14ac:dyDescent="0.3">
      <c r="A1022">
        <v>26</v>
      </c>
      <c r="B1022" t="s">
        <v>101</v>
      </c>
      <c r="C1022">
        <v>20</v>
      </c>
      <c r="D1022" s="3"/>
      <c r="E1022">
        <f>IF(C1022="","",VLOOKUP(C1022,PointsSystem!$A$2:$B$41,2,FALSE()))</f>
        <v>17</v>
      </c>
    </row>
    <row r="1023" spans="1:5" x14ac:dyDescent="0.3">
      <c r="A1023">
        <v>26</v>
      </c>
      <c r="B1023" t="s">
        <v>101</v>
      </c>
      <c r="C1023">
        <v>21</v>
      </c>
      <c r="D1023" s="3"/>
      <c r="E1023">
        <f>IF(C1023="","",VLOOKUP(C1023,PointsSystem!$A$2:$B$41,2,FALSE()))</f>
        <v>16</v>
      </c>
    </row>
    <row r="1024" spans="1:5" x14ac:dyDescent="0.3">
      <c r="A1024">
        <v>26</v>
      </c>
      <c r="B1024" t="s">
        <v>101</v>
      </c>
      <c r="C1024">
        <v>22</v>
      </c>
      <c r="D1024" s="3"/>
      <c r="E1024">
        <f>IF(C1024="","",VLOOKUP(C1024,PointsSystem!$A$2:$B$41,2,FALSE()))</f>
        <v>15</v>
      </c>
    </row>
    <row r="1025" spans="1:5" x14ac:dyDescent="0.3">
      <c r="A1025">
        <v>26</v>
      </c>
      <c r="B1025" t="s">
        <v>101</v>
      </c>
      <c r="C1025">
        <v>23</v>
      </c>
      <c r="D1025" s="3"/>
      <c r="E1025">
        <f>IF(C1025="","",VLOOKUP(C1025,PointsSystem!$A$2:$B$41,2,FALSE()))</f>
        <v>14</v>
      </c>
    </row>
    <row r="1026" spans="1:5" x14ac:dyDescent="0.3">
      <c r="A1026">
        <v>26</v>
      </c>
      <c r="B1026" t="s">
        <v>101</v>
      </c>
      <c r="C1026">
        <v>24</v>
      </c>
      <c r="D1026" s="3"/>
      <c r="E1026">
        <f>IF(C1026="","",VLOOKUP(C1026,PointsSystem!$A$2:$B$41,2,FALSE()))</f>
        <v>13</v>
      </c>
    </row>
    <row r="1027" spans="1:5" x14ac:dyDescent="0.3">
      <c r="A1027">
        <v>26</v>
      </c>
      <c r="B1027" t="s">
        <v>101</v>
      </c>
      <c r="C1027">
        <v>25</v>
      </c>
      <c r="D1027" s="3"/>
      <c r="E1027">
        <f>IF(C1027="","",VLOOKUP(C1027,PointsSystem!$A$2:$B$41,2,FALSE()))</f>
        <v>12</v>
      </c>
    </row>
    <row r="1028" spans="1:5" x14ac:dyDescent="0.3">
      <c r="A1028">
        <v>26</v>
      </c>
      <c r="B1028" t="s">
        <v>101</v>
      </c>
      <c r="C1028">
        <v>26</v>
      </c>
      <c r="D1028" s="3"/>
      <c r="E1028">
        <f>IF(C1028="","",VLOOKUP(C1028,PointsSystem!$A$2:$B$41,2,FALSE()))</f>
        <v>11</v>
      </c>
    </row>
    <row r="1029" spans="1:5" x14ac:dyDescent="0.3">
      <c r="A1029">
        <v>26</v>
      </c>
      <c r="B1029" t="s">
        <v>101</v>
      </c>
      <c r="C1029">
        <v>27</v>
      </c>
      <c r="D1029" s="3"/>
      <c r="E1029">
        <f>IF(C1029="","",VLOOKUP(C1029,PointsSystem!$A$2:$B$41,2,FALSE()))</f>
        <v>10</v>
      </c>
    </row>
    <row r="1030" spans="1:5" x14ac:dyDescent="0.3">
      <c r="A1030">
        <v>26</v>
      </c>
      <c r="B1030" t="s">
        <v>101</v>
      </c>
      <c r="C1030">
        <v>28</v>
      </c>
      <c r="D1030" s="3"/>
      <c r="E1030">
        <f>IF(C1030="","",VLOOKUP(C1030,PointsSystem!$A$2:$B$41,2,FALSE()))</f>
        <v>9</v>
      </c>
    </row>
    <row r="1031" spans="1:5" x14ac:dyDescent="0.3">
      <c r="A1031">
        <v>26</v>
      </c>
      <c r="B1031" t="s">
        <v>101</v>
      </c>
      <c r="C1031">
        <v>29</v>
      </c>
      <c r="D1031" s="3"/>
      <c r="E1031">
        <f>IF(C1031="","",VLOOKUP(C1031,PointsSystem!$A$2:$B$41,2,FALSE()))</f>
        <v>8</v>
      </c>
    </row>
    <row r="1032" spans="1:5" x14ac:dyDescent="0.3">
      <c r="A1032">
        <v>26</v>
      </c>
      <c r="B1032" t="s">
        <v>101</v>
      </c>
      <c r="C1032">
        <v>30</v>
      </c>
      <c r="D1032" s="3"/>
      <c r="E1032">
        <f>IF(C1032="","",VLOOKUP(C1032,PointsSystem!$A$2:$B$41,2,FALSE()))</f>
        <v>7</v>
      </c>
    </row>
    <row r="1033" spans="1:5" x14ac:dyDescent="0.3">
      <c r="A1033">
        <v>26</v>
      </c>
      <c r="B1033" t="s">
        <v>101</v>
      </c>
      <c r="C1033">
        <v>31</v>
      </c>
      <c r="D1033" s="3"/>
      <c r="E1033">
        <f>IF(C1033="","",VLOOKUP(C1033,PointsSystem!$A$2:$B$41,2,FALSE()))</f>
        <v>6</v>
      </c>
    </row>
    <row r="1034" spans="1:5" x14ac:dyDescent="0.3">
      <c r="A1034">
        <v>26</v>
      </c>
      <c r="B1034" t="s">
        <v>101</v>
      </c>
      <c r="C1034">
        <v>32</v>
      </c>
      <c r="D1034" s="3"/>
      <c r="E1034">
        <f>IF(C1034="","",VLOOKUP(C1034,PointsSystem!$A$2:$B$41,2,FALSE()))</f>
        <v>5</v>
      </c>
    </row>
    <row r="1035" spans="1:5" x14ac:dyDescent="0.3">
      <c r="A1035">
        <v>26</v>
      </c>
      <c r="B1035" t="s">
        <v>101</v>
      </c>
      <c r="C1035">
        <v>33</v>
      </c>
      <c r="D1035" s="3"/>
      <c r="E1035">
        <f>IF(C1035="","",VLOOKUP(C1035,PointsSystem!$A$2:$B$41,2,FALSE()))</f>
        <v>4</v>
      </c>
    </row>
    <row r="1036" spans="1:5" x14ac:dyDescent="0.3">
      <c r="A1036">
        <v>26</v>
      </c>
      <c r="B1036" t="s">
        <v>101</v>
      </c>
      <c r="C1036">
        <v>34</v>
      </c>
      <c r="D1036" s="3"/>
      <c r="E1036">
        <f>IF(C1036="","",VLOOKUP(C1036,PointsSystem!$A$2:$B$41,2,FALSE()))</f>
        <v>3</v>
      </c>
    </row>
    <row r="1037" spans="1:5" x14ac:dyDescent="0.3">
      <c r="A1037">
        <v>26</v>
      </c>
      <c r="B1037" t="s">
        <v>101</v>
      </c>
      <c r="C1037">
        <v>35</v>
      </c>
      <c r="D1037" s="3"/>
      <c r="E1037">
        <f>IF(C1037="","",VLOOKUP(C1037,PointsSystem!$A$2:$B$41,2,FALSE()))</f>
        <v>2</v>
      </c>
    </row>
    <row r="1038" spans="1:5" x14ac:dyDescent="0.3">
      <c r="A1038">
        <v>26</v>
      </c>
      <c r="B1038" t="s">
        <v>101</v>
      </c>
      <c r="C1038">
        <v>36</v>
      </c>
      <c r="D1038" s="3"/>
      <c r="E1038">
        <f>IF(C1038="","",VLOOKUP(C1038,PointsSystem!$A$2:$B$41,2,FALSE()))</f>
        <v>1</v>
      </c>
    </row>
    <row r="1039" spans="1:5" x14ac:dyDescent="0.3">
      <c r="A1039">
        <v>26</v>
      </c>
      <c r="B1039" t="s">
        <v>101</v>
      </c>
      <c r="C1039">
        <v>37</v>
      </c>
      <c r="D1039" s="3"/>
      <c r="E1039">
        <f>IF(C1039="","",VLOOKUP(C1039,PointsSystem!$A$2:$B$41,2,FALSE()))</f>
        <v>1</v>
      </c>
    </row>
    <row r="1040" spans="1:5" x14ac:dyDescent="0.3">
      <c r="A1040">
        <v>26</v>
      </c>
      <c r="B1040" t="s">
        <v>101</v>
      </c>
      <c r="C1040">
        <v>38</v>
      </c>
      <c r="D1040" s="3"/>
      <c r="E1040">
        <f>IF(C1040="","",VLOOKUP(C1040,PointsSystem!$A$2:$B$41,2,FALSE()))</f>
        <v>1</v>
      </c>
    </row>
    <row r="1041" spans="1:5" x14ac:dyDescent="0.3">
      <c r="A1041">
        <v>26</v>
      </c>
      <c r="B1041" t="s">
        <v>101</v>
      </c>
      <c r="C1041">
        <v>39</v>
      </c>
      <c r="D1041" s="3"/>
      <c r="E1041">
        <f>IF(C1041="","",VLOOKUP(C1041,PointsSystem!$A$2:$B$41,2,FALSE()))</f>
        <v>1</v>
      </c>
    </row>
    <row r="1042" spans="1:5" x14ac:dyDescent="0.3">
      <c r="A1042">
        <v>26</v>
      </c>
      <c r="B1042" t="s">
        <v>101</v>
      </c>
      <c r="C1042">
        <v>40</v>
      </c>
      <c r="D1042" s="3"/>
      <c r="E1042">
        <f>IF(C1042="","",VLOOKUP(C1042,PointsSystem!$A$2:$B$41,2,FALSE()))</f>
        <v>1</v>
      </c>
    </row>
    <row r="1043" spans="1:5" x14ac:dyDescent="0.3">
      <c r="A1043">
        <v>27</v>
      </c>
      <c r="B1043" t="s">
        <v>59</v>
      </c>
      <c r="C1043">
        <v>1</v>
      </c>
      <c r="D1043" s="3"/>
      <c r="E1043">
        <f>IF(C1043="","",VLOOKUP(C1043,PointsSystem!$A$2:$B$41,2,FALSE()))</f>
        <v>55</v>
      </c>
    </row>
    <row r="1044" spans="1:5" x14ac:dyDescent="0.3">
      <c r="A1044">
        <v>27</v>
      </c>
      <c r="B1044" t="s">
        <v>59</v>
      </c>
      <c r="C1044">
        <v>2</v>
      </c>
      <c r="D1044" s="3"/>
      <c r="E1044">
        <f>IF(C1044="","",VLOOKUP(C1044,PointsSystem!$A$2:$B$41,2,FALSE()))</f>
        <v>35</v>
      </c>
    </row>
    <row r="1045" spans="1:5" x14ac:dyDescent="0.3">
      <c r="A1045">
        <v>27</v>
      </c>
      <c r="B1045" t="s">
        <v>59</v>
      </c>
      <c r="C1045">
        <v>3</v>
      </c>
      <c r="D1045" s="3"/>
      <c r="E1045">
        <f>IF(C1045="","",VLOOKUP(C1045,PointsSystem!$A$2:$B$41,2,FALSE()))</f>
        <v>34</v>
      </c>
    </row>
    <row r="1046" spans="1:5" x14ac:dyDescent="0.3">
      <c r="A1046">
        <v>27</v>
      </c>
      <c r="B1046" t="s">
        <v>59</v>
      </c>
      <c r="C1046">
        <v>4</v>
      </c>
      <c r="D1046" s="3"/>
      <c r="E1046">
        <f>IF(C1046="","",VLOOKUP(C1046,PointsSystem!$A$2:$B$41,2,FALSE()))</f>
        <v>33</v>
      </c>
    </row>
    <row r="1047" spans="1:5" x14ac:dyDescent="0.3">
      <c r="A1047">
        <v>27</v>
      </c>
      <c r="B1047" t="s">
        <v>59</v>
      </c>
      <c r="C1047">
        <v>5</v>
      </c>
      <c r="D1047" s="3"/>
      <c r="E1047">
        <f>IF(C1047="","",VLOOKUP(C1047,PointsSystem!$A$2:$B$41,2,FALSE()))</f>
        <v>32</v>
      </c>
    </row>
    <row r="1048" spans="1:5" x14ac:dyDescent="0.3">
      <c r="A1048">
        <v>27</v>
      </c>
      <c r="B1048" t="s">
        <v>59</v>
      </c>
      <c r="C1048">
        <v>6</v>
      </c>
      <c r="D1048" s="3"/>
      <c r="E1048">
        <f>IF(C1048="","",VLOOKUP(C1048,PointsSystem!$A$2:$B$41,2,FALSE()))</f>
        <v>31</v>
      </c>
    </row>
    <row r="1049" spans="1:5" x14ac:dyDescent="0.3">
      <c r="A1049">
        <v>27</v>
      </c>
      <c r="B1049" t="s">
        <v>59</v>
      </c>
      <c r="C1049">
        <v>7</v>
      </c>
      <c r="D1049" s="3"/>
      <c r="E1049">
        <f>IF(C1049="","",VLOOKUP(C1049,PointsSystem!$A$2:$B$41,2,FALSE()))</f>
        <v>30</v>
      </c>
    </row>
    <row r="1050" spans="1:5" x14ac:dyDescent="0.3">
      <c r="A1050">
        <v>27</v>
      </c>
      <c r="B1050" t="s">
        <v>59</v>
      </c>
      <c r="C1050">
        <v>8</v>
      </c>
      <c r="D1050" s="3"/>
      <c r="E1050">
        <f>IF(C1050="","",VLOOKUP(C1050,PointsSystem!$A$2:$B$41,2,FALSE()))</f>
        <v>29</v>
      </c>
    </row>
    <row r="1051" spans="1:5" x14ac:dyDescent="0.3">
      <c r="A1051">
        <v>27</v>
      </c>
      <c r="B1051" t="s">
        <v>59</v>
      </c>
      <c r="C1051">
        <v>9</v>
      </c>
      <c r="D1051" s="3"/>
      <c r="E1051">
        <f>IF(C1051="","",VLOOKUP(C1051,PointsSystem!$A$2:$B$41,2,FALSE()))</f>
        <v>28</v>
      </c>
    </row>
    <row r="1052" spans="1:5" x14ac:dyDescent="0.3">
      <c r="A1052">
        <v>27</v>
      </c>
      <c r="B1052" t="s">
        <v>59</v>
      </c>
      <c r="C1052">
        <v>10</v>
      </c>
      <c r="D1052" s="3"/>
      <c r="E1052">
        <f>IF(C1052="","",VLOOKUP(C1052,PointsSystem!$A$2:$B$41,2,FALSE()))</f>
        <v>27</v>
      </c>
    </row>
    <row r="1053" spans="1:5" x14ac:dyDescent="0.3">
      <c r="A1053">
        <v>27</v>
      </c>
      <c r="B1053" t="s">
        <v>59</v>
      </c>
      <c r="C1053">
        <v>11</v>
      </c>
      <c r="D1053" s="3"/>
      <c r="E1053">
        <f>IF(C1053="","",VLOOKUP(C1053,PointsSystem!$A$2:$B$41,2,FALSE()))</f>
        <v>26</v>
      </c>
    </row>
    <row r="1054" spans="1:5" x14ac:dyDescent="0.3">
      <c r="A1054">
        <v>27</v>
      </c>
      <c r="B1054" t="s">
        <v>59</v>
      </c>
      <c r="C1054">
        <v>12</v>
      </c>
      <c r="D1054" s="3"/>
      <c r="E1054">
        <f>IF(C1054="","",VLOOKUP(C1054,PointsSystem!$A$2:$B$41,2,FALSE()))</f>
        <v>25</v>
      </c>
    </row>
    <row r="1055" spans="1:5" x14ac:dyDescent="0.3">
      <c r="A1055">
        <v>27</v>
      </c>
      <c r="B1055" t="s">
        <v>59</v>
      </c>
      <c r="C1055">
        <v>13</v>
      </c>
      <c r="D1055" s="3"/>
      <c r="E1055">
        <f>IF(C1055="","",VLOOKUP(C1055,PointsSystem!$A$2:$B$41,2,FALSE()))</f>
        <v>24</v>
      </c>
    </row>
    <row r="1056" spans="1:5" x14ac:dyDescent="0.3">
      <c r="A1056">
        <v>27</v>
      </c>
      <c r="B1056" t="s">
        <v>59</v>
      </c>
      <c r="C1056">
        <v>14</v>
      </c>
      <c r="D1056" s="3"/>
      <c r="E1056">
        <f>IF(C1056="","",VLOOKUP(C1056,PointsSystem!$A$2:$B$41,2,FALSE()))</f>
        <v>23</v>
      </c>
    </row>
    <row r="1057" spans="1:5" x14ac:dyDescent="0.3">
      <c r="A1057">
        <v>27</v>
      </c>
      <c r="B1057" t="s">
        <v>59</v>
      </c>
      <c r="C1057">
        <v>15</v>
      </c>
      <c r="D1057" s="3"/>
      <c r="E1057">
        <f>IF(C1057="","",VLOOKUP(C1057,PointsSystem!$A$2:$B$41,2,FALSE()))</f>
        <v>22</v>
      </c>
    </row>
    <row r="1058" spans="1:5" x14ac:dyDescent="0.3">
      <c r="A1058">
        <v>27</v>
      </c>
      <c r="B1058" t="s">
        <v>59</v>
      </c>
      <c r="C1058">
        <v>16</v>
      </c>
      <c r="D1058" s="3"/>
      <c r="E1058">
        <f>IF(C1058="","",VLOOKUP(C1058,PointsSystem!$A$2:$B$41,2,FALSE()))</f>
        <v>21</v>
      </c>
    </row>
    <row r="1059" spans="1:5" x14ac:dyDescent="0.3">
      <c r="A1059">
        <v>27</v>
      </c>
      <c r="B1059" t="s">
        <v>59</v>
      </c>
      <c r="C1059">
        <v>17</v>
      </c>
      <c r="D1059" s="3"/>
      <c r="E1059">
        <f>IF(C1059="","",VLOOKUP(C1059,PointsSystem!$A$2:$B$41,2,FALSE()))</f>
        <v>20</v>
      </c>
    </row>
    <row r="1060" spans="1:5" x14ac:dyDescent="0.3">
      <c r="A1060">
        <v>27</v>
      </c>
      <c r="B1060" t="s">
        <v>59</v>
      </c>
      <c r="C1060">
        <v>18</v>
      </c>
      <c r="D1060" s="3"/>
      <c r="E1060">
        <f>IF(C1060="","",VLOOKUP(C1060,PointsSystem!$A$2:$B$41,2,FALSE()))</f>
        <v>19</v>
      </c>
    </row>
    <row r="1061" spans="1:5" x14ac:dyDescent="0.3">
      <c r="A1061">
        <v>27</v>
      </c>
      <c r="B1061" t="s">
        <v>59</v>
      </c>
      <c r="C1061">
        <v>19</v>
      </c>
      <c r="D1061" s="3"/>
      <c r="E1061">
        <f>IF(C1061="","",VLOOKUP(C1061,PointsSystem!$A$2:$B$41,2,FALSE()))</f>
        <v>18</v>
      </c>
    </row>
    <row r="1062" spans="1:5" x14ac:dyDescent="0.3">
      <c r="A1062">
        <v>27</v>
      </c>
      <c r="B1062" t="s">
        <v>59</v>
      </c>
      <c r="C1062">
        <v>20</v>
      </c>
      <c r="D1062" s="3"/>
      <c r="E1062">
        <f>IF(C1062="","",VLOOKUP(C1062,PointsSystem!$A$2:$B$41,2,FALSE()))</f>
        <v>17</v>
      </c>
    </row>
    <row r="1063" spans="1:5" x14ac:dyDescent="0.3">
      <c r="A1063">
        <v>27</v>
      </c>
      <c r="B1063" t="s">
        <v>59</v>
      </c>
      <c r="C1063">
        <v>21</v>
      </c>
      <c r="D1063" s="3"/>
      <c r="E1063">
        <f>IF(C1063="","",VLOOKUP(C1063,PointsSystem!$A$2:$B$41,2,FALSE()))</f>
        <v>16</v>
      </c>
    </row>
    <row r="1064" spans="1:5" x14ac:dyDescent="0.3">
      <c r="A1064">
        <v>27</v>
      </c>
      <c r="B1064" t="s">
        <v>59</v>
      </c>
      <c r="C1064">
        <v>22</v>
      </c>
      <c r="D1064" s="3"/>
      <c r="E1064">
        <f>IF(C1064="","",VLOOKUP(C1064,PointsSystem!$A$2:$B$41,2,FALSE()))</f>
        <v>15</v>
      </c>
    </row>
    <row r="1065" spans="1:5" x14ac:dyDescent="0.3">
      <c r="A1065">
        <v>27</v>
      </c>
      <c r="B1065" t="s">
        <v>59</v>
      </c>
      <c r="C1065">
        <v>23</v>
      </c>
      <c r="D1065" s="3"/>
      <c r="E1065">
        <f>IF(C1065="","",VLOOKUP(C1065,PointsSystem!$A$2:$B$41,2,FALSE()))</f>
        <v>14</v>
      </c>
    </row>
    <row r="1066" spans="1:5" x14ac:dyDescent="0.3">
      <c r="A1066">
        <v>27</v>
      </c>
      <c r="B1066" t="s">
        <v>59</v>
      </c>
      <c r="C1066">
        <v>24</v>
      </c>
      <c r="D1066" s="3"/>
      <c r="E1066">
        <f>IF(C1066="","",VLOOKUP(C1066,PointsSystem!$A$2:$B$41,2,FALSE()))</f>
        <v>13</v>
      </c>
    </row>
    <row r="1067" spans="1:5" x14ac:dyDescent="0.3">
      <c r="A1067">
        <v>27</v>
      </c>
      <c r="B1067" t="s">
        <v>59</v>
      </c>
      <c r="C1067">
        <v>25</v>
      </c>
      <c r="D1067" s="3"/>
      <c r="E1067">
        <f>IF(C1067="","",VLOOKUP(C1067,PointsSystem!$A$2:$B$41,2,FALSE()))</f>
        <v>12</v>
      </c>
    </row>
    <row r="1068" spans="1:5" x14ac:dyDescent="0.3">
      <c r="A1068">
        <v>27</v>
      </c>
      <c r="B1068" t="s">
        <v>59</v>
      </c>
      <c r="C1068">
        <v>26</v>
      </c>
      <c r="D1068" s="3"/>
      <c r="E1068">
        <f>IF(C1068="","",VLOOKUP(C1068,PointsSystem!$A$2:$B$41,2,FALSE()))</f>
        <v>11</v>
      </c>
    </row>
    <row r="1069" spans="1:5" x14ac:dyDescent="0.3">
      <c r="A1069">
        <v>27</v>
      </c>
      <c r="B1069" t="s">
        <v>59</v>
      </c>
      <c r="C1069">
        <v>27</v>
      </c>
      <c r="D1069" s="3"/>
      <c r="E1069">
        <f>IF(C1069="","",VLOOKUP(C1069,PointsSystem!$A$2:$B$41,2,FALSE()))</f>
        <v>10</v>
      </c>
    </row>
    <row r="1070" spans="1:5" x14ac:dyDescent="0.3">
      <c r="A1070">
        <v>27</v>
      </c>
      <c r="B1070" t="s">
        <v>59</v>
      </c>
      <c r="C1070">
        <v>28</v>
      </c>
      <c r="D1070" s="3"/>
      <c r="E1070">
        <f>IF(C1070="","",VLOOKUP(C1070,PointsSystem!$A$2:$B$41,2,FALSE()))</f>
        <v>9</v>
      </c>
    </row>
    <row r="1071" spans="1:5" x14ac:dyDescent="0.3">
      <c r="A1071">
        <v>27</v>
      </c>
      <c r="B1071" t="s">
        <v>59</v>
      </c>
      <c r="C1071">
        <v>29</v>
      </c>
      <c r="D1071" s="3"/>
      <c r="E1071">
        <f>IF(C1071="","",VLOOKUP(C1071,PointsSystem!$A$2:$B$41,2,FALSE()))</f>
        <v>8</v>
      </c>
    </row>
    <row r="1072" spans="1:5" x14ac:dyDescent="0.3">
      <c r="A1072">
        <v>27</v>
      </c>
      <c r="B1072" t="s">
        <v>59</v>
      </c>
      <c r="C1072">
        <v>30</v>
      </c>
      <c r="D1072" s="3"/>
      <c r="E1072">
        <f>IF(C1072="","",VLOOKUP(C1072,PointsSystem!$A$2:$B$41,2,FALSE()))</f>
        <v>7</v>
      </c>
    </row>
    <row r="1073" spans="1:5" x14ac:dyDescent="0.3">
      <c r="A1073">
        <v>27</v>
      </c>
      <c r="B1073" t="s">
        <v>59</v>
      </c>
      <c r="C1073">
        <v>31</v>
      </c>
      <c r="D1073" s="3"/>
      <c r="E1073">
        <f>IF(C1073="","",VLOOKUP(C1073,PointsSystem!$A$2:$B$41,2,FALSE()))</f>
        <v>6</v>
      </c>
    </row>
    <row r="1074" spans="1:5" x14ac:dyDescent="0.3">
      <c r="A1074">
        <v>27</v>
      </c>
      <c r="B1074" t="s">
        <v>59</v>
      </c>
      <c r="C1074">
        <v>32</v>
      </c>
      <c r="D1074" s="3"/>
      <c r="E1074">
        <f>IF(C1074="","",VLOOKUP(C1074,PointsSystem!$A$2:$B$41,2,FALSE()))</f>
        <v>5</v>
      </c>
    </row>
    <row r="1075" spans="1:5" x14ac:dyDescent="0.3">
      <c r="A1075">
        <v>27</v>
      </c>
      <c r="B1075" t="s">
        <v>59</v>
      </c>
      <c r="C1075">
        <v>33</v>
      </c>
      <c r="D1075" s="3"/>
      <c r="E1075">
        <f>IF(C1075="","",VLOOKUP(C1075,PointsSystem!$A$2:$B$41,2,FALSE()))</f>
        <v>4</v>
      </c>
    </row>
    <row r="1076" spans="1:5" x14ac:dyDescent="0.3">
      <c r="A1076">
        <v>27</v>
      </c>
      <c r="B1076" t="s">
        <v>59</v>
      </c>
      <c r="C1076">
        <v>34</v>
      </c>
      <c r="D1076" s="3"/>
      <c r="E1076">
        <f>IF(C1076="","",VLOOKUP(C1076,PointsSystem!$A$2:$B$41,2,FALSE()))</f>
        <v>3</v>
      </c>
    </row>
    <row r="1077" spans="1:5" x14ac:dyDescent="0.3">
      <c r="A1077">
        <v>27</v>
      </c>
      <c r="B1077" t="s">
        <v>59</v>
      </c>
      <c r="C1077">
        <v>35</v>
      </c>
      <c r="D1077" s="3"/>
      <c r="E1077">
        <f>IF(C1077="","",VLOOKUP(C1077,PointsSystem!$A$2:$B$41,2,FALSE()))</f>
        <v>2</v>
      </c>
    </row>
    <row r="1078" spans="1:5" x14ac:dyDescent="0.3">
      <c r="A1078">
        <v>27</v>
      </c>
      <c r="B1078" t="s">
        <v>59</v>
      </c>
      <c r="C1078">
        <v>36</v>
      </c>
      <c r="D1078" s="3"/>
      <c r="E1078">
        <f>IF(C1078="","",VLOOKUP(C1078,PointsSystem!$A$2:$B$41,2,FALSE()))</f>
        <v>1</v>
      </c>
    </row>
    <row r="1079" spans="1:5" x14ac:dyDescent="0.3">
      <c r="A1079">
        <v>27</v>
      </c>
      <c r="B1079" t="s">
        <v>59</v>
      </c>
      <c r="C1079">
        <v>37</v>
      </c>
      <c r="D1079" s="3"/>
      <c r="E1079">
        <f>IF(C1079="","",VLOOKUP(C1079,PointsSystem!$A$2:$B$41,2,FALSE()))</f>
        <v>1</v>
      </c>
    </row>
    <row r="1080" spans="1:5" x14ac:dyDescent="0.3">
      <c r="A1080">
        <v>27</v>
      </c>
      <c r="B1080" t="s">
        <v>59</v>
      </c>
      <c r="C1080">
        <v>38</v>
      </c>
      <c r="D1080" s="3"/>
      <c r="E1080">
        <f>IF(C1080="","",VLOOKUP(C1080,PointsSystem!$A$2:$B$41,2,FALSE()))</f>
        <v>1</v>
      </c>
    </row>
    <row r="1081" spans="1:5" x14ac:dyDescent="0.3">
      <c r="A1081">
        <v>27</v>
      </c>
      <c r="B1081" t="s">
        <v>59</v>
      </c>
      <c r="C1081">
        <v>39</v>
      </c>
      <c r="D1081" s="3"/>
      <c r="E1081">
        <f>IF(C1081="","",VLOOKUP(C1081,PointsSystem!$A$2:$B$41,2,FALSE()))</f>
        <v>1</v>
      </c>
    </row>
    <row r="1082" spans="1:5" x14ac:dyDescent="0.3">
      <c r="A1082">
        <v>27</v>
      </c>
      <c r="B1082" t="s">
        <v>59</v>
      </c>
      <c r="C1082">
        <v>40</v>
      </c>
      <c r="D1082" s="3"/>
      <c r="E1082">
        <f>IF(C1082="","",VLOOKUP(C1082,PointsSystem!$A$2:$B$41,2,FALSE()))</f>
        <v>1</v>
      </c>
    </row>
    <row r="1083" spans="1:5" x14ac:dyDescent="0.3">
      <c r="A1083">
        <v>28</v>
      </c>
      <c r="B1083" t="s">
        <v>106</v>
      </c>
      <c r="C1083">
        <v>1</v>
      </c>
      <c r="D1083" s="3"/>
      <c r="E1083">
        <f>IF(C1083="","",VLOOKUP(C1083,PointsSystem!$A$2:$B$41,2,FALSE()))</f>
        <v>55</v>
      </c>
    </row>
    <row r="1084" spans="1:5" x14ac:dyDescent="0.3">
      <c r="A1084">
        <v>28</v>
      </c>
      <c r="B1084" t="s">
        <v>106</v>
      </c>
      <c r="C1084">
        <v>2</v>
      </c>
      <c r="D1084" s="3"/>
      <c r="E1084">
        <f>IF(C1084="","",VLOOKUP(C1084,PointsSystem!$A$2:$B$41,2,FALSE()))</f>
        <v>35</v>
      </c>
    </row>
    <row r="1085" spans="1:5" x14ac:dyDescent="0.3">
      <c r="A1085">
        <v>28</v>
      </c>
      <c r="B1085" t="s">
        <v>106</v>
      </c>
      <c r="C1085">
        <v>3</v>
      </c>
      <c r="D1085" s="3"/>
      <c r="E1085">
        <f>IF(C1085="","",VLOOKUP(C1085,PointsSystem!$A$2:$B$41,2,FALSE()))</f>
        <v>34</v>
      </c>
    </row>
    <row r="1086" spans="1:5" x14ac:dyDescent="0.3">
      <c r="A1086">
        <v>28</v>
      </c>
      <c r="B1086" t="s">
        <v>106</v>
      </c>
      <c r="C1086">
        <v>4</v>
      </c>
      <c r="D1086" s="3"/>
      <c r="E1086">
        <f>IF(C1086="","",VLOOKUP(C1086,PointsSystem!$A$2:$B$41,2,FALSE()))</f>
        <v>33</v>
      </c>
    </row>
    <row r="1087" spans="1:5" x14ac:dyDescent="0.3">
      <c r="A1087">
        <v>28</v>
      </c>
      <c r="B1087" t="s">
        <v>106</v>
      </c>
      <c r="C1087">
        <v>5</v>
      </c>
      <c r="D1087" s="3"/>
      <c r="E1087">
        <f>IF(C1087="","",VLOOKUP(C1087,PointsSystem!$A$2:$B$41,2,FALSE()))</f>
        <v>32</v>
      </c>
    </row>
    <row r="1088" spans="1:5" x14ac:dyDescent="0.3">
      <c r="A1088">
        <v>28</v>
      </c>
      <c r="B1088" t="s">
        <v>106</v>
      </c>
      <c r="C1088">
        <v>6</v>
      </c>
      <c r="D1088" s="3"/>
      <c r="E1088">
        <f>IF(C1088="","",VLOOKUP(C1088,PointsSystem!$A$2:$B$41,2,FALSE()))</f>
        <v>31</v>
      </c>
    </row>
    <row r="1089" spans="1:5" x14ac:dyDescent="0.3">
      <c r="A1089">
        <v>28</v>
      </c>
      <c r="B1089" t="s">
        <v>106</v>
      </c>
      <c r="C1089">
        <v>7</v>
      </c>
      <c r="D1089" s="3"/>
      <c r="E1089">
        <f>IF(C1089="","",VLOOKUP(C1089,PointsSystem!$A$2:$B$41,2,FALSE()))</f>
        <v>30</v>
      </c>
    </row>
    <row r="1090" spans="1:5" x14ac:dyDescent="0.3">
      <c r="A1090">
        <v>28</v>
      </c>
      <c r="B1090" t="s">
        <v>106</v>
      </c>
      <c r="C1090">
        <v>8</v>
      </c>
      <c r="D1090" s="3"/>
      <c r="E1090">
        <f>IF(C1090="","",VLOOKUP(C1090,PointsSystem!$A$2:$B$41,2,FALSE()))</f>
        <v>29</v>
      </c>
    </row>
    <row r="1091" spans="1:5" x14ac:dyDescent="0.3">
      <c r="A1091">
        <v>28</v>
      </c>
      <c r="B1091" t="s">
        <v>106</v>
      </c>
      <c r="C1091">
        <v>9</v>
      </c>
      <c r="D1091" s="3"/>
      <c r="E1091">
        <f>IF(C1091="","",VLOOKUP(C1091,PointsSystem!$A$2:$B$41,2,FALSE()))</f>
        <v>28</v>
      </c>
    </row>
    <row r="1092" spans="1:5" x14ac:dyDescent="0.3">
      <c r="A1092">
        <v>28</v>
      </c>
      <c r="B1092" t="s">
        <v>106</v>
      </c>
      <c r="C1092">
        <v>10</v>
      </c>
      <c r="D1092" s="3"/>
      <c r="E1092">
        <f>IF(C1092="","",VLOOKUP(C1092,PointsSystem!$A$2:$B$41,2,FALSE()))</f>
        <v>27</v>
      </c>
    </row>
    <row r="1093" spans="1:5" x14ac:dyDescent="0.3">
      <c r="A1093">
        <v>28</v>
      </c>
      <c r="B1093" t="s">
        <v>106</v>
      </c>
      <c r="C1093">
        <v>11</v>
      </c>
      <c r="D1093" s="3"/>
      <c r="E1093">
        <f>IF(C1093="","",VLOOKUP(C1093,PointsSystem!$A$2:$B$41,2,FALSE()))</f>
        <v>26</v>
      </c>
    </row>
    <row r="1094" spans="1:5" x14ac:dyDescent="0.3">
      <c r="A1094">
        <v>28</v>
      </c>
      <c r="B1094" t="s">
        <v>106</v>
      </c>
      <c r="C1094">
        <v>12</v>
      </c>
      <c r="D1094" s="3"/>
      <c r="E1094">
        <f>IF(C1094="","",VLOOKUP(C1094,PointsSystem!$A$2:$B$41,2,FALSE()))</f>
        <v>25</v>
      </c>
    </row>
    <row r="1095" spans="1:5" x14ac:dyDescent="0.3">
      <c r="A1095">
        <v>28</v>
      </c>
      <c r="B1095" t="s">
        <v>106</v>
      </c>
      <c r="C1095">
        <v>13</v>
      </c>
      <c r="D1095" s="3"/>
      <c r="E1095">
        <f>IF(C1095="","",VLOOKUP(C1095,PointsSystem!$A$2:$B$41,2,FALSE()))</f>
        <v>24</v>
      </c>
    </row>
    <row r="1096" spans="1:5" x14ac:dyDescent="0.3">
      <c r="A1096">
        <v>28</v>
      </c>
      <c r="B1096" t="s">
        <v>106</v>
      </c>
      <c r="C1096">
        <v>14</v>
      </c>
      <c r="D1096" s="3"/>
      <c r="E1096">
        <f>IF(C1096="","",VLOOKUP(C1096,PointsSystem!$A$2:$B$41,2,FALSE()))</f>
        <v>23</v>
      </c>
    </row>
    <row r="1097" spans="1:5" x14ac:dyDescent="0.3">
      <c r="A1097">
        <v>28</v>
      </c>
      <c r="B1097" t="s">
        <v>106</v>
      </c>
      <c r="C1097">
        <v>15</v>
      </c>
      <c r="D1097" s="3"/>
      <c r="E1097">
        <f>IF(C1097="","",VLOOKUP(C1097,PointsSystem!$A$2:$B$41,2,FALSE()))</f>
        <v>22</v>
      </c>
    </row>
    <row r="1098" spans="1:5" x14ac:dyDescent="0.3">
      <c r="A1098">
        <v>28</v>
      </c>
      <c r="B1098" t="s">
        <v>106</v>
      </c>
      <c r="C1098">
        <v>16</v>
      </c>
      <c r="D1098" s="3"/>
      <c r="E1098">
        <f>IF(C1098="","",VLOOKUP(C1098,PointsSystem!$A$2:$B$41,2,FALSE()))</f>
        <v>21</v>
      </c>
    </row>
    <row r="1099" spans="1:5" x14ac:dyDescent="0.3">
      <c r="A1099">
        <v>28</v>
      </c>
      <c r="B1099" t="s">
        <v>106</v>
      </c>
      <c r="C1099">
        <v>17</v>
      </c>
      <c r="D1099" s="3"/>
      <c r="E1099">
        <f>IF(C1099="","",VLOOKUP(C1099,PointsSystem!$A$2:$B$41,2,FALSE()))</f>
        <v>20</v>
      </c>
    </row>
    <row r="1100" spans="1:5" x14ac:dyDescent="0.3">
      <c r="A1100">
        <v>28</v>
      </c>
      <c r="B1100" t="s">
        <v>106</v>
      </c>
      <c r="C1100">
        <v>18</v>
      </c>
      <c r="D1100" s="3"/>
      <c r="E1100">
        <f>IF(C1100="","",VLOOKUP(C1100,PointsSystem!$A$2:$B$41,2,FALSE()))</f>
        <v>19</v>
      </c>
    </row>
    <row r="1101" spans="1:5" x14ac:dyDescent="0.3">
      <c r="A1101">
        <v>28</v>
      </c>
      <c r="B1101" t="s">
        <v>106</v>
      </c>
      <c r="C1101">
        <v>19</v>
      </c>
      <c r="D1101" s="3"/>
      <c r="E1101">
        <f>IF(C1101="","",VLOOKUP(C1101,PointsSystem!$A$2:$B$41,2,FALSE()))</f>
        <v>18</v>
      </c>
    </row>
    <row r="1102" spans="1:5" x14ac:dyDescent="0.3">
      <c r="A1102">
        <v>28</v>
      </c>
      <c r="B1102" t="s">
        <v>106</v>
      </c>
      <c r="C1102">
        <v>20</v>
      </c>
      <c r="D1102" s="3"/>
      <c r="E1102">
        <f>IF(C1102="","",VLOOKUP(C1102,PointsSystem!$A$2:$B$41,2,FALSE()))</f>
        <v>17</v>
      </c>
    </row>
    <row r="1103" spans="1:5" x14ac:dyDescent="0.3">
      <c r="A1103">
        <v>28</v>
      </c>
      <c r="B1103" t="s">
        <v>106</v>
      </c>
      <c r="C1103">
        <v>21</v>
      </c>
      <c r="D1103" s="3"/>
      <c r="E1103">
        <f>IF(C1103="","",VLOOKUP(C1103,PointsSystem!$A$2:$B$41,2,FALSE()))</f>
        <v>16</v>
      </c>
    </row>
    <row r="1104" spans="1:5" x14ac:dyDescent="0.3">
      <c r="A1104">
        <v>28</v>
      </c>
      <c r="B1104" t="s">
        <v>106</v>
      </c>
      <c r="C1104">
        <v>22</v>
      </c>
      <c r="D1104" s="3"/>
      <c r="E1104">
        <f>IF(C1104="","",VLOOKUP(C1104,PointsSystem!$A$2:$B$41,2,FALSE()))</f>
        <v>15</v>
      </c>
    </row>
    <row r="1105" spans="1:5" x14ac:dyDescent="0.3">
      <c r="A1105">
        <v>28</v>
      </c>
      <c r="B1105" t="s">
        <v>106</v>
      </c>
      <c r="C1105">
        <v>23</v>
      </c>
      <c r="D1105" s="3"/>
      <c r="E1105">
        <f>IF(C1105="","",VLOOKUP(C1105,PointsSystem!$A$2:$B$41,2,FALSE()))</f>
        <v>14</v>
      </c>
    </row>
    <row r="1106" spans="1:5" x14ac:dyDescent="0.3">
      <c r="A1106">
        <v>28</v>
      </c>
      <c r="B1106" t="s">
        <v>106</v>
      </c>
      <c r="C1106">
        <v>24</v>
      </c>
      <c r="D1106" s="3"/>
      <c r="E1106">
        <f>IF(C1106="","",VLOOKUP(C1106,PointsSystem!$A$2:$B$41,2,FALSE()))</f>
        <v>13</v>
      </c>
    </row>
    <row r="1107" spans="1:5" x14ac:dyDescent="0.3">
      <c r="A1107">
        <v>28</v>
      </c>
      <c r="B1107" t="s">
        <v>106</v>
      </c>
      <c r="C1107">
        <v>25</v>
      </c>
      <c r="D1107" s="3"/>
      <c r="E1107">
        <f>IF(C1107="","",VLOOKUP(C1107,PointsSystem!$A$2:$B$41,2,FALSE()))</f>
        <v>12</v>
      </c>
    </row>
    <row r="1108" spans="1:5" x14ac:dyDescent="0.3">
      <c r="A1108">
        <v>28</v>
      </c>
      <c r="B1108" t="s">
        <v>106</v>
      </c>
      <c r="C1108">
        <v>26</v>
      </c>
      <c r="D1108" s="3"/>
      <c r="E1108">
        <f>IF(C1108="","",VLOOKUP(C1108,PointsSystem!$A$2:$B$41,2,FALSE()))</f>
        <v>11</v>
      </c>
    </row>
    <row r="1109" spans="1:5" x14ac:dyDescent="0.3">
      <c r="A1109">
        <v>28</v>
      </c>
      <c r="B1109" t="s">
        <v>106</v>
      </c>
      <c r="C1109">
        <v>27</v>
      </c>
      <c r="D1109" s="3"/>
      <c r="E1109">
        <f>IF(C1109="","",VLOOKUP(C1109,PointsSystem!$A$2:$B$41,2,FALSE()))</f>
        <v>10</v>
      </c>
    </row>
    <row r="1110" spans="1:5" x14ac:dyDescent="0.3">
      <c r="A1110">
        <v>28</v>
      </c>
      <c r="B1110" t="s">
        <v>106</v>
      </c>
      <c r="C1110">
        <v>28</v>
      </c>
      <c r="D1110" s="3"/>
      <c r="E1110">
        <f>IF(C1110="","",VLOOKUP(C1110,PointsSystem!$A$2:$B$41,2,FALSE()))</f>
        <v>9</v>
      </c>
    </row>
    <row r="1111" spans="1:5" x14ac:dyDescent="0.3">
      <c r="A1111">
        <v>28</v>
      </c>
      <c r="B1111" t="s">
        <v>106</v>
      </c>
      <c r="C1111">
        <v>29</v>
      </c>
      <c r="D1111" s="3"/>
      <c r="E1111">
        <f>IF(C1111="","",VLOOKUP(C1111,PointsSystem!$A$2:$B$41,2,FALSE()))</f>
        <v>8</v>
      </c>
    </row>
    <row r="1112" spans="1:5" x14ac:dyDescent="0.3">
      <c r="A1112">
        <v>28</v>
      </c>
      <c r="B1112" t="s">
        <v>106</v>
      </c>
      <c r="C1112">
        <v>30</v>
      </c>
      <c r="D1112" s="3"/>
      <c r="E1112">
        <f>IF(C1112="","",VLOOKUP(C1112,PointsSystem!$A$2:$B$41,2,FALSE()))</f>
        <v>7</v>
      </c>
    </row>
    <row r="1113" spans="1:5" x14ac:dyDescent="0.3">
      <c r="A1113">
        <v>28</v>
      </c>
      <c r="B1113" t="s">
        <v>106</v>
      </c>
      <c r="C1113">
        <v>31</v>
      </c>
      <c r="D1113" s="3"/>
      <c r="E1113">
        <f>IF(C1113="","",VLOOKUP(C1113,PointsSystem!$A$2:$B$41,2,FALSE()))</f>
        <v>6</v>
      </c>
    </row>
    <row r="1114" spans="1:5" x14ac:dyDescent="0.3">
      <c r="A1114">
        <v>28</v>
      </c>
      <c r="B1114" t="s">
        <v>106</v>
      </c>
      <c r="C1114">
        <v>32</v>
      </c>
      <c r="D1114" s="3"/>
      <c r="E1114">
        <f>IF(C1114="","",VLOOKUP(C1114,PointsSystem!$A$2:$B$41,2,FALSE()))</f>
        <v>5</v>
      </c>
    </row>
    <row r="1115" spans="1:5" x14ac:dyDescent="0.3">
      <c r="A1115">
        <v>28</v>
      </c>
      <c r="B1115" t="s">
        <v>106</v>
      </c>
      <c r="C1115">
        <v>33</v>
      </c>
      <c r="D1115" s="3"/>
      <c r="E1115">
        <f>IF(C1115="","",VLOOKUP(C1115,PointsSystem!$A$2:$B$41,2,FALSE()))</f>
        <v>4</v>
      </c>
    </row>
    <row r="1116" spans="1:5" x14ac:dyDescent="0.3">
      <c r="A1116">
        <v>28</v>
      </c>
      <c r="B1116" t="s">
        <v>106</v>
      </c>
      <c r="C1116">
        <v>34</v>
      </c>
      <c r="D1116" s="3"/>
      <c r="E1116">
        <f>IF(C1116="","",VLOOKUP(C1116,PointsSystem!$A$2:$B$41,2,FALSE()))</f>
        <v>3</v>
      </c>
    </row>
    <row r="1117" spans="1:5" x14ac:dyDescent="0.3">
      <c r="A1117">
        <v>28</v>
      </c>
      <c r="B1117" t="s">
        <v>106</v>
      </c>
      <c r="C1117">
        <v>35</v>
      </c>
      <c r="D1117" s="3"/>
      <c r="E1117">
        <f>IF(C1117="","",VLOOKUP(C1117,PointsSystem!$A$2:$B$41,2,FALSE()))</f>
        <v>2</v>
      </c>
    </row>
    <row r="1118" spans="1:5" x14ac:dyDescent="0.3">
      <c r="A1118">
        <v>28</v>
      </c>
      <c r="B1118" t="s">
        <v>106</v>
      </c>
      <c r="C1118">
        <v>36</v>
      </c>
      <c r="D1118" s="3"/>
      <c r="E1118">
        <f>IF(C1118="","",VLOOKUP(C1118,PointsSystem!$A$2:$B$41,2,FALSE()))</f>
        <v>1</v>
      </c>
    </row>
    <row r="1119" spans="1:5" x14ac:dyDescent="0.3">
      <c r="A1119">
        <v>28</v>
      </c>
      <c r="B1119" t="s">
        <v>106</v>
      </c>
      <c r="C1119">
        <v>37</v>
      </c>
      <c r="D1119" s="3"/>
      <c r="E1119">
        <f>IF(C1119="","",VLOOKUP(C1119,PointsSystem!$A$2:$B$41,2,FALSE()))</f>
        <v>1</v>
      </c>
    </row>
    <row r="1120" spans="1:5" x14ac:dyDescent="0.3">
      <c r="A1120">
        <v>28</v>
      </c>
      <c r="B1120" t="s">
        <v>106</v>
      </c>
      <c r="C1120">
        <v>38</v>
      </c>
      <c r="D1120" s="3"/>
      <c r="E1120">
        <f>IF(C1120="","",VLOOKUP(C1120,PointsSystem!$A$2:$B$41,2,FALSE()))</f>
        <v>1</v>
      </c>
    </row>
    <row r="1121" spans="1:5" x14ac:dyDescent="0.3">
      <c r="A1121">
        <v>28</v>
      </c>
      <c r="B1121" t="s">
        <v>106</v>
      </c>
      <c r="C1121">
        <v>39</v>
      </c>
      <c r="D1121" s="3"/>
      <c r="E1121">
        <f>IF(C1121="","",VLOOKUP(C1121,PointsSystem!$A$2:$B$41,2,FALSE()))</f>
        <v>1</v>
      </c>
    </row>
    <row r="1122" spans="1:5" x14ac:dyDescent="0.3">
      <c r="A1122">
        <v>28</v>
      </c>
      <c r="B1122" t="s">
        <v>106</v>
      </c>
      <c r="C1122">
        <v>40</v>
      </c>
      <c r="D1122" s="3"/>
      <c r="E1122">
        <f>IF(C1122="","",VLOOKUP(C1122,PointsSystem!$A$2:$B$41,2,FALSE()))</f>
        <v>1</v>
      </c>
    </row>
    <row r="1123" spans="1:5" x14ac:dyDescent="0.3">
      <c r="A1123">
        <v>29</v>
      </c>
      <c r="B1123" t="s">
        <v>63</v>
      </c>
      <c r="C1123">
        <v>1</v>
      </c>
      <c r="D1123" s="3"/>
      <c r="E1123">
        <f>IF(C1123="","",VLOOKUP(C1123,PointsSystem!$A$2:$B$41,2,FALSE()))</f>
        <v>55</v>
      </c>
    </row>
    <row r="1124" spans="1:5" x14ac:dyDescent="0.3">
      <c r="A1124">
        <v>29</v>
      </c>
      <c r="B1124" t="s">
        <v>63</v>
      </c>
      <c r="C1124">
        <v>2</v>
      </c>
      <c r="D1124" s="3"/>
      <c r="E1124">
        <f>IF(C1124="","",VLOOKUP(C1124,PointsSystem!$A$2:$B$41,2,FALSE()))</f>
        <v>35</v>
      </c>
    </row>
    <row r="1125" spans="1:5" x14ac:dyDescent="0.3">
      <c r="A1125">
        <v>29</v>
      </c>
      <c r="B1125" t="s">
        <v>63</v>
      </c>
      <c r="C1125">
        <v>3</v>
      </c>
      <c r="D1125" s="3"/>
      <c r="E1125">
        <f>IF(C1125="","",VLOOKUP(C1125,PointsSystem!$A$2:$B$41,2,FALSE()))</f>
        <v>34</v>
      </c>
    </row>
    <row r="1126" spans="1:5" x14ac:dyDescent="0.3">
      <c r="A1126">
        <v>29</v>
      </c>
      <c r="B1126" t="s">
        <v>63</v>
      </c>
      <c r="C1126">
        <v>4</v>
      </c>
      <c r="D1126" s="3"/>
      <c r="E1126">
        <f>IF(C1126="","",VLOOKUP(C1126,PointsSystem!$A$2:$B$41,2,FALSE()))</f>
        <v>33</v>
      </c>
    </row>
    <row r="1127" spans="1:5" x14ac:dyDescent="0.3">
      <c r="A1127">
        <v>29</v>
      </c>
      <c r="B1127" t="s">
        <v>63</v>
      </c>
      <c r="C1127">
        <v>5</v>
      </c>
      <c r="D1127" s="3"/>
      <c r="E1127">
        <f>IF(C1127="","",VLOOKUP(C1127,PointsSystem!$A$2:$B$41,2,FALSE()))</f>
        <v>32</v>
      </c>
    </row>
    <row r="1128" spans="1:5" x14ac:dyDescent="0.3">
      <c r="A1128">
        <v>29</v>
      </c>
      <c r="B1128" t="s">
        <v>63</v>
      </c>
      <c r="C1128">
        <v>6</v>
      </c>
      <c r="D1128" s="3"/>
      <c r="E1128">
        <f>IF(C1128="","",VLOOKUP(C1128,PointsSystem!$A$2:$B$41,2,FALSE()))</f>
        <v>31</v>
      </c>
    </row>
    <row r="1129" spans="1:5" x14ac:dyDescent="0.3">
      <c r="A1129">
        <v>29</v>
      </c>
      <c r="B1129" t="s">
        <v>63</v>
      </c>
      <c r="C1129">
        <v>7</v>
      </c>
      <c r="D1129" s="3"/>
      <c r="E1129">
        <f>IF(C1129="","",VLOOKUP(C1129,PointsSystem!$A$2:$B$41,2,FALSE()))</f>
        <v>30</v>
      </c>
    </row>
    <row r="1130" spans="1:5" x14ac:dyDescent="0.3">
      <c r="A1130">
        <v>29</v>
      </c>
      <c r="B1130" t="s">
        <v>63</v>
      </c>
      <c r="C1130">
        <v>8</v>
      </c>
      <c r="D1130" s="3"/>
      <c r="E1130">
        <f>IF(C1130="","",VLOOKUP(C1130,PointsSystem!$A$2:$B$41,2,FALSE()))</f>
        <v>29</v>
      </c>
    </row>
    <row r="1131" spans="1:5" x14ac:dyDescent="0.3">
      <c r="A1131">
        <v>29</v>
      </c>
      <c r="B1131" t="s">
        <v>63</v>
      </c>
      <c r="C1131">
        <v>9</v>
      </c>
      <c r="D1131" s="3"/>
      <c r="E1131">
        <f>IF(C1131="","",VLOOKUP(C1131,PointsSystem!$A$2:$B$41,2,FALSE()))</f>
        <v>28</v>
      </c>
    </row>
    <row r="1132" spans="1:5" x14ac:dyDescent="0.3">
      <c r="A1132">
        <v>29</v>
      </c>
      <c r="B1132" t="s">
        <v>63</v>
      </c>
      <c r="C1132">
        <v>10</v>
      </c>
      <c r="D1132" s="3"/>
      <c r="E1132">
        <f>IF(C1132="","",VLOOKUP(C1132,PointsSystem!$A$2:$B$41,2,FALSE()))</f>
        <v>27</v>
      </c>
    </row>
    <row r="1133" spans="1:5" x14ac:dyDescent="0.3">
      <c r="A1133">
        <v>29</v>
      </c>
      <c r="B1133" t="s">
        <v>63</v>
      </c>
      <c r="C1133">
        <v>11</v>
      </c>
      <c r="D1133" s="3"/>
      <c r="E1133">
        <f>IF(C1133="","",VLOOKUP(C1133,PointsSystem!$A$2:$B$41,2,FALSE()))</f>
        <v>26</v>
      </c>
    </row>
    <row r="1134" spans="1:5" x14ac:dyDescent="0.3">
      <c r="A1134">
        <v>29</v>
      </c>
      <c r="B1134" t="s">
        <v>63</v>
      </c>
      <c r="C1134">
        <v>12</v>
      </c>
      <c r="D1134" s="3"/>
      <c r="E1134">
        <f>IF(C1134="","",VLOOKUP(C1134,PointsSystem!$A$2:$B$41,2,FALSE()))</f>
        <v>25</v>
      </c>
    </row>
    <row r="1135" spans="1:5" x14ac:dyDescent="0.3">
      <c r="A1135">
        <v>29</v>
      </c>
      <c r="B1135" t="s">
        <v>63</v>
      </c>
      <c r="C1135">
        <v>13</v>
      </c>
      <c r="D1135" s="3"/>
      <c r="E1135">
        <f>IF(C1135="","",VLOOKUP(C1135,PointsSystem!$A$2:$B$41,2,FALSE()))</f>
        <v>24</v>
      </c>
    </row>
    <row r="1136" spans="1:5" x14ac:dyDescent="0.3">
      <c r="A1136">
        <v>29</v>
      </c>
      <c r="B1136" t="s">
        <v>63</v>
      </c>
      <c r="C1136">
        <v>14</v>
      </c>
      <c r="D1136" s="3"/>
      <c r="E1136">
        <f>IF(C1136="","",VLOOKUP(C1136,PointsSystem!$A$2:$B$41,2,FALSE()))</f>
        <v>23</v>
      </c>
    </row>
    <row r="1137" spans="1:5" x14ac:dyDescent="0.3">
      <c r="A1137">
        <v>29</v>
      </c>
      <c r="B1137" t="s">
        <v>63</v>
      </c>
      <c r="C1137">
        <v>15</v>
      </c>
      <c r="D1137" s="3"/>
      <c r="E1137">
        <f>IF(C1137="","",VLOOKUP(C1137,PointsSystem!$A$2:$B$41,2,FALSE()))</f>
        <v>22</v>
      </c>
    </row>
    <row r="1138" spans="1:5" x14ac:dyDescent="0.3">
      <c r="A1138">
        <v>29</v>
      </c>
      <c r="B1138" t="s">
        <v>63</v>
      </c>
      <c r="C1138">
        <v>16</v>
      </c>
      <c r="D1138" s="3"/>
      <c r="E1138">
        <f>IF(C1138="","",VLOOKUP(C1138,PointsSystem!$A$2:$B$41,2,FALSE()))</f>
        <v>21</v>
      </c>
    </row>
    <row r="1139" spans="1:5" x14ac:dyDescent="0.3">
      <c r="A1139">
        <v>29</v>
      </c>
      <c r="B1139" t="s">
        <v>63</v>
      </c>
      <c r="C1139">
        <v>17</v>
      </c>
      <c r="D1139" s="3"/>
      <c r="E1139">
        <f>IF(C1139="","",VLOOKUP(C1139,PointsSystem!$A$2:$B$41,2,FALSE()))</f>
        <v>20</v>
      </c>
    </row>
    <row r="1140" spans="1:5" x14ac:dyDescent="0.3">
      <c r="A1140">
        <v>29</v>
      </c>
      <c r="B1140" t="s">
        <v>63</v>
      </c>
      <c r="C1140">
        <v>18</v>
      </c>
      <c r="D1140" s="3"/>
      <c r="E1140">
        <f>IF(C1140="","",VLOOKUP(C1140,PointsSystem!$A$2:$B$41,2,FALSE()))</f>
        <v>19</v>
      </c>
    </row>
    <row r="1141" spans="1:5" x14ac:dyDescent="0.3">
      <c r="A1141">
        <v>29</v>
      </c>
      <c r="B1141" t="s">
        <v>63</v>
      </c>
      <c r="C1141">
        <v>19</v>
      </c>
      <c r="D1141" s="3"/>
      <c r="E1141">
        <f>IF(C1141="","",VLOOKUP(C1141,PointsSystem!$A$2:$B$41,2,FALSE()))</f>
        <v>18</v>
      </c>
    </row>
    <row r="1142" spans="1:5" x14ac:dyDescent="0.3">
      <c r="A1142">
        <v>29</v>
      </c>
      <c r="B1142" t="s">
        <v>63</v>
      </c>
      <c r="C1142">
        <v>20</v>
      </c>
      <c r="D1142" s="3"/>
      <c r="E1142">
        <f>IF(C1142="","",VLOOKUP(C1142,PointsSystem!$A$2:$B$41,2,FALSE()))</f>
        <v>17</v>
      </c>
    </row>
    <row r="1143" spans="1:5" x14ac:dyDescent="0.3">
      <c r="A1143">
        <v>29</v>
      </c>
      <c r="B1143" t="s">
        <v>63</v>
      </c>
      <c r="C1143">
        <v>21</v>
      </c>
      <c r="D1143" s="3"/>
      <c r="E1143">
        <f>IF(C1143="","",VLOOKUP(C1143,PointsSystem!$A$2:$B$41,2,FALSE()))</f>
        <v>16</v>
      </c>
    </row>
    <row r="1144" spans="1:5" x14ac:dyDescent="0.3">
      <c r="A1144">
        <v>29</v>
      </c>
      <c r="B1144" t="s">
        <v>63</v>
      </c>
      <c r="C1144">
        <v>22</v>
      </c>
      <c r="D1144" s="3"/>
      <c r="E1144">
        <f>IF(C1144="","",VLOOKUP(C1144,PointsSystem!$A$2:$B$41,2,FALSE()))</f>
        <v>15</v>
      </c>
    </row>
    <row r="1145" spans="1:5" x14ac:dyDescent="0.3">
      <c r="A1145">
        <v>29</v>
      </c>
      <c r="B1145" t="s">
        <v>63</v>
      </c>
      <c r="C1145">
        <v>23</v>
      </c>
      <c r="D1145" s="3"/>
      <c r="E1145">
        <f>IF(C1145="","",VLOOKUP(C1145,PointsSystem!$A$2:$B$41,2,FALSE()))</f>
        <v>14</v>
      </c>
    </row>
    <row r="1146" spans="1:5" x14ac:dyDescent="0.3">
      <c r="A1146">
        <v>29</v>
      </c>
      <c r="B1146" t="s">
        <v>63</v>
      </c>
      <c r="C1146">
        <v>24</v>
      </c>
      <c r="D1146" s="3"/>
      <c r="E1146">
        <f>IF(C1146="","",VLOOKUP(C1146,PointsSystem!$A$2:$B$41,2,FALSE()))</f>
        <v>13</v>
      </c>
    </row>
    <row r="1147" spans="1:5" x14ac:dyDescent="0.3">
      <c r="A1147">
        <v>29</v>
      </c>
      <c r="B1147" t="s">
        <v>63</v>
      </c>
      <c r="C1147">
        <v>25</v>
      </c>
      <c r="D1147" s="3"/>
      <c r="E1147">
        <f>IF(C1147="","",VLOOKUP(C1147,PointsSystem!$A$2:$B$41,2,FALSE()))</f>
        <v>12</v>
      </c>
    </row>
    <row r="1148" spans="1:5" x14ac:dyDescent="0.3">
      <c r="A1148">
        <v>29</v>
      </c>
      <c r="B1148" t="s">
        <v>63</v>
      </c>
      <c r="C1148">
        <v>26</v>
      </c>
      <c r="D1148" s="3"/>
      <c r="E1148">
        <f>IF(C1148="","",VLOOKUP(C1148,PointsSystem!$A$2:$B$41,2,FALSE()))</f>
        <v>11</v>
      </c>
    </row>
    <row r="1149" spans="1:5" x14ac:dyDescent="0.3">
      <c r="A1149">
        <v>29</v>
      </c>
      <c r="B1149" t="s">
        <v>63</v>
      </c>
      <c r="C1149">
        <v>27</v>
      </c>
      <c r="D1149" s="3"/>
      <c r="E1149">
        <f>IF(C1149="","",VLOOKUP(C1149,PointsSystem!$A$2:$B$41,2,FALSE()))</f>
        <v>10</v>
      </c>
    </row>
    <row r="1150" spans="1:5" x14ac:dyDescent="0.3">
      <c r="A1150">
        <v>29</v>
      </c>
      <c r="B1150" t="s">
        <v>63</v>
      </c>
      <c r="C1150">
        <v>28</v>
      </c>
      <c r="D1150" s="3"/>
      <c r="E1150">
        <f>IF(C1150="","",VLOOKUP(C1150,PointsSystem!$A$2:$B$41,2,FALSE()))</f>
        <v>9</v>
      </c>
    </row>
    <row r="1151" spans="1:5" x14ac:dyDescent="0.3">
      <c r="A1151">
        <v>29</v>
      </c>
      <c r="B1151" t="s">
        <v>63</v>
      </c>
      <c r="C1151">
        <v>29</v>
      </c>
      <c r="D1151" s="3"/>
      <c r="E1151">
        <f>IF(C1151="","",VLOOKUP(C1151,PointsSystem!$A$2:$B$41,2,FALSE()))</f>
        <v>8</v>
      </c>
    </row>
    <row r="1152" spans="1:5" x14ac:dyDescent="0.3">
      <c r="A1152">
        <v>29</v>
      </c>
      <c r="B1152" t="s">
        <v>63</v>
      </c>
      <c r="C1152">
        <v>30</v>
      </c>
      <c r="D1152" s="3"/>
      <c r="E1152">
        <f>IF(C1152="","",VLOOKUP(C1152,PointsSystem!$A$2:$B$41,2,FALSE()))</f>
        <v>7</v>
      </c>
    </row>
    <row r="1153" spans="1:5" x14ac:dyDescent="0.3">
      <c r="A1153">
        <v>29</v>
      </c>
      <c r="B1153" t="s">
        <v>63</v>
      </c>
      <c r="C1153">
        <v>31</v>
      </c>
      <c r="D1153" s="3"/>
      <c r="E1153">
        <f>IF(C1153="","",VLOOKUP(C1153,PointsSystem!$A$2:$B$41,2,FALSE()))</f>
        <v>6</v>
      </c>
    </row>
    <row r="1154" spans="1:5" x14ac:dyDescent="0.3">
      <c r="A1154">
        <v>29</v>
      </c>
      <c r="B1154" t="s">
        <v>63</v>
      </c>
      <c r="C1154">
        <v>32</v>
      </c>
      <c r="D1154" s="3"/>
      <c r="E1154">
        <f>IF(C1154="","",VLOOKUP(C1154,PointsSystem!$A$2:$B$41,2,FALSE()))</f>
        <v>5</v>
      </c>
    </row>
    <row r="1155" spans="1:5" x14ac:dyDescent="0.3">
      <c r="A1155">
        <v>29</v>
      </c>
      <c r="B1155" t="s">
        <v>63</v>
      </c>
      <c r="C1155">
        <v>33</v>
      </c>
      <c r="D1155" s="3"/>
      <c r="E1155">
        <f>IF(C1155="","",VLOOKUP(C1155,PointsSystem!$A$2:$B$41,2,FALSE()))</f>
        <v>4</v>
      </c>
    </row>
    <row r="1156" spans="1:5" x14ac:dyDescent="0.3">
      <c r="A1156">
        <v>29</v>
      </c>
      <c r="B1156" t="s">
        <v>63</v>
      </c>
      <c r="C1156">
        <v>34</v>
      </c>
      <c r="D1156" s="3"/>
      <c r="E1156">
        <f>IF(C1156="","",VLOOKUP(C1156,PointsSystem!$A$2:$B$41,2,FALSE()))</f>
        <v>3</v>
      </c>
    </row>
    <row r="1157" spans="1:5" x14ac:dyDescent="0.3">
      <c r="A1157">
        <v>29</v>
      </c>
      <c r="B1157" t="s">
        <v>63</v>
      </c>
      <c r="C1157">
        <v>35</v>
      </c>
      <c r="D1157" s="3"/>
      <c r="E1157">
        <f>IF(C1157="","",VLOOKUP(C1157,PointsSystem!$A$2:$B$41,2,FALSE()))</f>
        <v>2</v>
      </c>
    </row>
    <row r="1158" spans="1:5" x14ac:dyDescent="0.3">
      <c r="A1158">
        <v>29</v>
      </c>
      <c r="B1158" t="s">
        <v>63</v>
      </c>
      <c r="C1158">
        <v>36</v>
      </c>
      <c r="D1158" s="3"/>
      <c r="E1158">
        <f>IF(C1158="","",VLOOKUP(C1158,PointsSystem!$A$2:$B$41,2,FALSE()))</f>
        <v>1</v>
      </c>
    </row>
    <row r="1159" spans="1:5" x14ac:dyDescent="0.3">
      <c r="A1159">
        <v>29</v>
      </c>
      <c r="B1159" t="s">
        <v>63</v>
      </c>
      <c r="C1159">
        <v>37</v>
      </c>
      <c r="D1159" s="3"/>
      <c r="E1159">
        <f>IF(C1159="","",VLOOKUP(C1159,PointsSystem!$A$2:$B$41,2,FALSE()))</f>
        <v>1</v>
      </c>
    </row>
    <row r="1160" spans="1:5" x14ac:dyDescent="0.3">
      <c r="A1160">
        <v>29</v>
      </c>
      <c r="B1160" t="s">
        <v>63</v>
      </c>
      <c r="C1160">
        <v>38</v>
      </c>
      <c r="D1160" s="3"/>
      <c r="E1160">
        <f>IF(C1160="","",VLOOKUP(C1160,PointsSystem!$A$2:$B$41,2,FALSE()))</f>
        <v>1</v>
      </c>
    </row>
    <row r="1161" spans="1:5" x14ac:dyDescent="0.3">
      <c r="A1161">
        <v>29</v>
      </c>
      <c r="B1161" t="s">
        <v>63</v>
      </c>
      <c r="C1161">
        <v>39</v>
      </c>
      <c r="D1161" s="3"/>
      <c r="E1161">
        <f>IF(C1161="","",VLOOKUP(C1161,PointsSystem!$A$2:$B$41,2,FALSE()))</f>
        <v>1</v>
      </c>
    </row>
    <row r="1162" spans="1:5" x14ac:dyDescent="0.3">
      <c r="A1162">
        <v>29</v>
      </c>
      <c r="B1162" t="s">
        <v>63</v>
      </c>
      <c r="C1162">
        <v>40</v>
      </c>
      <c r="D1162" s="3"/>
      <c r="E1162">
        <f>IF(C1162="","",VLOOKUP(C1162,PointsSystem!$A$2:$B$41,2,FALSE()))</f>
        <v>1</v>
      </c>
    </row>
    <row r="1163" spans="1:5" x14ac:dyDescent="0.3">
      <c r="A1163">
        <v>30</v>
      </c>
      <c r="B1163" t="s">
        <v>65</v>
      </c>
      <c r="C1163">
        <v>1</v>
      </c>
      <c r="D1163" s="3"/>
      <c r="E1163">
        <f>IF(C1163="","",VLOOKUP(C1163,PointsSystem!$A$2:$B$41,2,FALSE()))</f>
        <v>55</v>
      </c>
    </row>
    <row r="1164" spans="1:5" x14ac:dyDescent="0.3">
      <c r="A1164">
        <v>30</v>
      </c>
      <c r="B1164" t="s">
        <v>65</v>
      </c>
      <c r="C1164">
        <v>2</v>
      </c>
      <c r="D1164" s="3"/>
      <c r="E1164">
        <f>IF(C1164="","",VLOOKUP(C1164,PointsSystem!$A$2:$B$41,2,FALSE()))</f>
        <v>35</v>
      </c>
    </row>
    <row r="1165" spans="1:5" x14ac:dyDescent="0.3">
      <c r="A1165">
        <v>30</v>
      </c>
      <c r="B1165" t="s">
        <v>65</v>
      </c>
      <c r="C1165">
        <v>3</v>
      </c>
      <c r="D1165" s="3"/>
      <c r="E1165">
        <f>IF(C1165="","",VLOOKUP(C1165,PointsSystem!$A$2:$B$41,2,FALSE()))</f>
        <v>34</v>
      </c>
    </row>
    <row r="1166" spans="1:5" x14ac:dyDescent="0.3">
      <c r="A1166">
        <v>30</v>
      </c>
      <c r="B1166" t="s">
        <v>65</v>
      </c>
      <c r="C1166">
        <v>4</v>
      </c>
      <c r="D1166" s="3"/>
      <c r="E1166">
        <f>IF(C1166="","",VLOOKUP(C1166,PointsSystem!$A$2:$B$41,2,FALSE()))</f>
        <v>33</v>
      </c>
    </row>
    <row r="1167" spans="1:5" x14ac:dyDescent="0.3">
      <c r="A1167">
        <v>30</v>
      </c>
      <c r="B1167" t="s">
        <v>65</v>
      </c>
      <c r="C1167">
        <v>5</v>
      </c>
      <c r="D1167" s="3"/>
      <c r="E1167">
        <f>IF(C1167="","",VLOOKUP(C1167,PointsSystem!$A$2:$B$41,2,FALSE()))</f>
        <v>32</v>
      </c>
    </row>
    <row r="1168" spans="1:5" x14ac:dyDescent="0.3">
      <c r="A1168">
        <v>30</v>
      </c>
      <c r="B1168" t="s">
        <v>65</v>
      </c>
      <c r="C1168">
        <v>6</v>
      </c>
      <c r="D1168" s="3"/>
      <c r="E1168">
        <f>IF(C1168="","",VLOOKUP(C1168,PointsSystem!$A$2:$B$41,2,FALSE()))</f>
        <v>31</v>
      </c>
    </row>
    <row r="1169" spans="1:5" x14ac:dyDescent="0.3">
      <c r="A1169">
        <v>30</v>
      </c>
      <c r="B1169" t="s">
        <v>65</v>
      </c>
      <c r="C1169">
        <v>7</v>
      </c>
      <c r="D1169" s="3"/>
      <c r="E1169">
        <f>IF(C1169="","",VLOOKUP(C1169,PointsSystem!$A$2:$B$41,2,FALSE()))</f>
        <v>30</v>
      </c>
    </row>
    <row r="1170" spans="1:5" x14ac:dyDescent="0.3">
      <c r="A1170">
        <v>30</v>
      </c>
      <c r="B1170" t="s">
        <v>65</v>
      </c>
      <c r="C1170">
        <v>8</v>
      </c>
      <c r="D1170" s="3"/>
      <c r="E1170">
        <f>IF(C1170="","",VLOOKUP(C1170,PointsSystem!$A$2:$B$41,2,FALSE()))</f>
        <v>29</v>
      </c>
    </row>
    <row r="1171" spans="1:5" x14ac:dyDescent="0.3">
      <c r="A1171">
        <v>30</v>
      </c>
      <c r="B1171" t="s">
        <v>65</v>
      </c>
      <c r="C1171">
        <v>9</v>
      </c>
      <c r="D1171" s="3"/>
      <c r="E1171">
        <f>IF(C1171="","",VLOOKUP(C1171,PointsSystem!$A$2:$B$41,2,FALSE()))</f>
        <v>28</v>
      </c>
    </row>
    <row r="1172" spans="1:5" x14ac:dyDescent="0.3">
      <c r="A1172">
        <v>30</v>
      </c>
      <c r="B1172" t="s">
        <v>65</v>
      </c>
      <c r="C1172">
        <v>10</v>
      </c>
      <c r="D1172" s="3"/>
      <c r="E1172">
        <f>IF(C1172="","",VLOOKUP(C1172,PointsSystem!$A$2:$B$41,2,FALSE()))</f>
        <v>27</v>
      </c>
    </row>
    <row r="1173" spans="1:5" x14ac:dyDescent="0.3">
      <c r="A1173">
        <v>30</v>
      </c>
      <c r="B1173" t="s">
        <v>65</v>
      </c>
      <c r="C1173">
        <v>11</v>
      </c>
      <c r="D1173" s="3"/>
      <c r="E1173">
        <f>IF(C1173="","",VLOOKUP(C1173,PointsSystem!$A$2:$B$41,2,FALSE()))</f>
        <v>26</v>
      </c>
    </row>
    <row r="1174" spans="1:5" x14ac:dyDescent="0.3">
      <c r="A1174">
        <v>30</v>
      </c>
      <c r="B1174" t="s">
        <v>65</v>
      </c>
      <c r="C1174">
        <v>12</v>
      </c>
      <c r="D1174" s="3"/>
      <c r="E1174">
        <f>IF(C1174="","",VLOOKUP(C1174,PointsSystem!$A$2:$B$41,2,FALSE()))</f>
        <v>25</v>
      </c>
    </row>
    <row r="1175" spans="1:5" x14ac:dyDescent="0.3">
      <c r="A1175">
        <v>30</v>
      </c>
      <c r="B1175" t="s">
        <v>65</v>
      </c>
      <c r="C1175">
        <v>13</v>
      </c>
      <c r="D1175" s="3"/>
      <c r="E1175">
        <f>IF(C1175="","",VLOOKUP(C1175,PointsSystem!$A$2:$B$41,2,FALSE()))</f>
        <v>24</v>
      </c>
    </row>
    <row r="1176" spans="1:5" x14ac:dyDescent="0.3">
      <c r="A1176">
        <v>30</v>
      </c>
      <c r="B1176" t="s">
        <v>65</v>
      </c>
      <c r="C1176">
        <v>14</v>
      </c>
      <c r="D1176" s="3"/>
      <c r="E1176">
        <f>IF(C1176="","",VLOOKUP(C1176,PointsSystem!$A$2:$B$41,2,FALSE()))</f>
        <v>23</v>
      </c>
    </row>
    <row r="1177" spans="1:5" x14ac:dyDescent="0.3">
      <c r="A1177">
        <v>30</v>
      </c>
      <c r="B1177" t="s">
        <v>65</v>
      </c>
      <c r="C1177">
        <v>15</v>
      </c>
      <c r="D1177" s="3"/>
      <c r="E1177">
        <f>IF(C1177="","",VLOOKUP(C1177,PointsSystem!$A$2:$B$41,2,FALSE()))</f>
        <v>22</v>
      </c>
    </row>
    <row r="1178" spans="1:5" x14ac:dyDescent="0.3">
      <c r="A1178">
        <v>30</v>
      </c>
      <c r="B1178" t="s">
        <v>65</v>
      </c>
      <c r="C1178">
        <v>16</v>
      </c>
      <c r="D1178" s="3"/>
      <c r="E1178">
        <f>IF(C1178="","",VLOOKUP(C1178,PointsSystem!$A$2:$B$41,2,FALSE()))</f>
        <v>21</v>
      </c>
    </row>
    <row r="1179" spans="1:5" x14ac:dyDescent="0.3">
      <c r="A1179">
        <v>30</v>
      </c>
      <c r="B1179" t="s">
        <v>65</v>
      </c>
      <c r="C1179">
        <v>17</v>
      </c>
      <c r="D1179" s="3"/>
      <c r="E1179">
        <f>IF(C1179="","",VLOOKUP(C1179,PointsSystem!$A$2:$B$41,2,FALSE()))</f>
        <v>20</v>
      </c>
    </row>
    <row r="1180" spans="1:5" x14ac:dyDescent="0.3">
      <c r="A1180">
        <v>30</v>
      </c>
      <c r="B1180" t="s">
        <v>65</v>
      </c>
      <c r="C1180">
        <v>18</v>
      </c>
      <c r="D1180" s="3"/>
      <c r="E1180">
        <f>IF(C1180="","",VLOOKUP(C1180,PointsSystem!$A$2:$B$41,2,FALSE()))</f>
        <v>19</v>
      </c>
    </row>
    <row r="1181" spans="1:5" x14ac:dyDescent="0.3">
      <c r="A1181">
        <v>30</v>
      </c>
      <c r="B1181" t="s">
        <v>65</v>
      </c>
      <c r="C1181">
        <v>19</v>
      </c>
      <c r="D1181" s="3"/>
      <c r="E1181">
        <f>IF(C1181="","",VLOOKUP(C1181,PointsSystem!$A$2:$B$41,2,FALSE()))</f>
        <v>18</v>
      </c>
    </row>
    <row r="1182" spans="1:5" x14ac:dyDescent="0.3">
      <c r="A1182">
        <v>30</v>
      </c>
      <c r="B1182" t="s">
        <v>65</v>
      </c>
      <c r="C1182">
        <v>20</v>
      </c>
      <c r="D1182" s="3"/>
      <c r="E1182">
        <f>IF(C1182="","",VLOOKUP(C1182,PointsSystem!$A$2:$B$41,2,FALSE()))</f>
        <v>17</v>
      </c>
    </row>
    <row r="1183" spans="1:5" x14ac:dyDescent="0.3">
      <c r="A1183">
        <v>30</v>
      </c>
      <c r="B1183" t="s">
        <v>65</v>
      </c>
      <c r="C1183">
        <v>21</v>
      </c>
      <c r="D1183" s="3"/>
      <c r="E1183">
        <f>IF(C1183="","",VLOOKUP(C1183,PointsSystem!$A$2:$B$41,2,FALSE()))</f>
        <v>16</v>
      </c>
    </row>
    <row r="1184" spans="1:5" x14ac:dyDescent="0.3">
      <c r="A1184">
        <v>30</v>
      </c>
      <c r="B1184" t="s">
        <v>65</v>
      </c>
      <c r="C1184">
        <v>22</v>
      </c>
      <c r="D1184" s="3"/>
      <c r="E1184">
        <f>IF(C1184="","",VLOOKUP(C1184,PointsSystem!$A$2:$B$41,2,FALSE()))</f>
        <v>15</v>
      </c>
    </row>
    <row r="1185" spans="1:5" x14ac:dyDescent="0.3">
      <c r="A1185">
        <v>30</v>
      </c>
      <c r="B1185" t="s">
        <v>65</v>
      </c>
      <c r="C1185">
        <v>23</v>
      </c>
      <c r="D1185" s="3"/>
      <c r="E1185">
        <f>IF(C1185="","",VLOOKUP(C1185,PointsSystem!$A$2:$B$41,2,FALSE()))</f>
        <v>14</v>
      </c>
    </row>
    <row r="1186" spans="1:5" x14ac:dyDescent="0.3">
      <c r="A1186">
        <v>30</v>
      </c>
      <c r="B1186" t="s">
        <v>65</v>
      </c>
      <c r="C1186">
        <v>24</v>
      </c>
      <c r="D1186" s="3"/>
      <c r="E1186">
        <f>IF(C1186="","",VLOOKUP(C1186,PointsSystem!$A$2:$B$41,2,FALSE()))</f>
        <v>13</v>
      </c>
    </row>
    <row r="1187" spans="1:5" x14ac:dyDescent="0.3">
      <c r="A1187">
        <v>30</v>
      </c>
      <c r="B1187" t="s">
        <v>65</v>
      </c>
      <c r="C1187">
        <v>25</v>
      </c>
      <c r="D1187" s="3"/>
      <c r="E1187">
        <f>IF(C1187="","",VLOOKUP(C1187,PointsSystem!$A$2:$B$41,2,FALSE()))</f>
        <v>12</v>
      </c>
    </row>
    <row r="1188" spans="1:5" x14ac:dyDescent="0.3">
      <c r="A1188">
        <v>30</v>
      </c>
      <c r="B1188" t="s">
        <v>65</v>
      </c>
      <c r="C1188">
        <v>26</v>
      </c>
      <c r="D1188" s="3"/>
      <c r="E1188">
        <f>IF(C1188="","",VLOOKUP(C1188,PointsSystem!$A$2:$B$41,2,FALSE()))</f>
        <v>11</v>
      </c>
    </row>
    <row r="1189" spans="1:5" x14ac:dyDescent="0.3">
      <c r="A1189">
        <v>30</v>
      </c>
      <c r="B1189" t="s">
        <v>65</v>
      </c>
      <c r="C1189">
        <v>27</v>
      </c>
      <c r="D1189" s="3"/>
      <c r="E1189">
        <f>IF(C1189="","",VLOOKUP(C1189,PointsSystem!$A$2:$B$41,2,FALSE()))</f>
        <v>10</v>
      </c>
    </row>
    <row r="1190" spans="1:5" x14ac:dyDescent="0.3">
      <c r="A1190">
        <v>30</v>
      </c>
      <c r="B1190" t="s">
        <v>65</v>
      </c>
      <c r="C1190">
        <v>28</v>
      </c>
      <c r="D1190" s="3"/>
      <c r="E1190">
        <f>IF(C1190="","",VLOOKUP(C1190,PointsSystem!$A$2:$B$41,2,FALSE()))</f>
        <v>9</v>
      </c>
    </row>
    <row r="1191" spans="1:5" x14ac:dyDescent="0.3">
      <c r="A1191">
        <v>30</v>
      </c>
      <c r="B1191" t="s">
        <v>65</v>
      </c>
      <c r="C1191">
        <v>29</v>
      </c>
      <c r="D1191" s="3"/>
      <c r="E1191">
        <f>IF(C1191="","",VLOOKUP(C1191,PointsSystem!$A$2:$B$41,2,FALSE()))</f>
        <v>8</v>
      </c>
    </row>
    <row r="1192" spans="1:5" x14ac:dyDescent="0.3">
      <c r="A1192">
        <v>30</v>
      </c>
      <c r="B1192" t="s">
        <v>65</v>
      </c>
      <c r="C1192">
        <v>30</v>
      </c>
      <c r="D1192" s="3"/>
      <c r="E1192">
        <f>IF(C1192="","",VLOOKUP(C1192,PointsSystem!$A$2:$B$41,2,FALSE()))</f>
        <v>7</v>
      </c>
    </row>
    <row r="1193" spans="1:5" x14ac:dyDescent="0.3">
      <c r="A1193">
        <v>30</v>
      </c>
      <c r="B1193" t="s">
        <v>65</v>
      </c>
      <c r="C1193">
        <v>31</v>
      </c>
      <c r="D1193" s="3"/>
      <c r="E1193">
        <f>IF(C1193="","",VLOOKUP(C1193,PointsSystem!$A$2:$B$41,2,FALSE()))</f>
        <v>6</v>
      </c>
    </row>
    <row r="1194" spans="1:5" x14ac:dyDescent="0.3">
      <c r="A1194">
        <v>30</v>
      </c>
      <c r="B1194" t="s">
        <v>65</v>
      </c>
      <c r="C1194">
        <v>32</v>
      </c>
      <c r="D1194" s="3"/>
      <c r="E1194">
        <f>IF(C1194="","",VLOOKUP(C1194,PointsSystem!$A$2:$B$41,2,FALSE()))</f>
        <v>5</v>
      </c>
    </row>
    <row r="1195" spans="1:5" x14ac:dyDescent="0.3">
      <c r="A1195">
        <v>30</v>
      </c>
      <c r="B1195" t="s">
        <v>65</v>
      </c>
      <c r="C1195">
        <v>33</v>
      </c>
      <c r="D1195" s="3"/>
      <c r="E1195">
        <f>IF(C1195="","",VLOOKUP(C1195,PointsSystem!$A$2:$B$41,2,FALSE()))</f>
        <v>4</v>
      </c>
    </row>
    <row r="1196" spans="1:5" x14ac:dyDescent="0.3">
      <c r="A1196">
        <v>30</v>
      </c>
      <c r="B1196" t="s">
        <v>65</v>
      </c>
      <c r="C1196">
        <v>34</v>
      </c>
      <c r="D1196" s="3"/>
      <c r="E1196">
        <f>IF(C1196="","",VLOOKUP(C1196,PointsSystem!$A$2:$B$41,2,FALSE()))</f>
        <v>3</v>
      </c>
    </row>
    <row r="1197" spans="1:5" x14ac:dyDescent="0.3">
      <c r="A1197">
        <v>30</v>
      </c>
      <c r="B1197" t="s">
        <v>65</v>
      </c>
      <c r="C1197">
        <v>35</v>
      </c>
      <c r="D1197" s="3"/>
      <c r="E1197">
        <f>IF(C1197="","",VLOOKUP(C1197,PointsSystem!$A$2:$B$41,2,FALSE()))</f>
        <v>2</v>
      </c>
    </row>
    <row r="1198" spans="1:5" x14ac:dyDescent="0.3">
      <c r="A1198">
        <v>30</v>
      </c>
      <c r="B1198" t="s">
        <v>65</v>
      </c>
      <c r="C1198">
        <v>36</v>
      </c>
      <c r="D1198" s="3"/>
      <c r="E1198">
        <f>IF(C1198="","",VLOOKUP(C1198,PointsSystem!$A$2:$B$41,2,FALSE()))</f>
        <v>1</v>
      </c>
    </row>
    <row r="1199" spans="1:5" x14ac:dyDescent="0.3">
      <c r="A1199">
        <v>30</v>
      </c>
      <c r="B1199" t="s">
        <v>65</v>
      </c>
      <c r="C1199">
        <v>37</v>
      </c>
      <c r="D1199" s="3"/>
      <c r="E1199">
        <f>IF(C1199="","",VLOOKUP(C1199,PointsSystem!$A$2:$B$41,2,FALSE()))</f>
        <v>1</v>
      </c>
    </row>
    <row r="1200" spans="1:5" x14ac:dyDescent="0.3">
      <c r="A1200">
        <v>30</v>
      </c>
      <c r="B1200" t="s">
        <v>65</v>
      </c>
      <c r="C1200">
        <v>38</v>
      </c>
      <c r="D1200" s="3"/>
      <c r="E1200">
        <f>IF(C1200="","",VLOOKUP(C1200,PointsSystem!$A$2:$B$41,2,FALSE()))</f>
        <v>1</v>
      </c>
    </row>
    <row r="1201" spans="1:5" x14ac:dyDescent="0.3">
      <c r="A1201">
        <v>30</v>
      </c>
      <c r="B1201" t="s">
        <v>65</v>
      </c>
      <c r="C1201">
        <v>39</v>
      </c>
      <c r="D1201" s="3"/>
      <c r="E1201">
        <f>IF(C1201="","",VLOOKUP(C1201,PointsSystem!$A$2:$B$41,2,FALSE()))</f>
        <v>1</v>
      </c>
    </row>
    <row r="1202" spans="1:5" x14ac:dyDescent="0.3">
      <c r="A1202">
        <v>30</v>
      </c>
      <c r="B1202" t="s">
        <v>65</v>
      </c>
      <c r="C1202">
        <v>40</v>
      </c>
      <c r="D1202" s="3"/>
      <c r="E1202">
        <f>IF(C1202="","",VLOOKUP(C1202,PointsSystem!$A$2:$B$41,2,FALSE()))</f>
        <v>1</v>
      </c>
    </row>
    <row r="1203" spans="1:5" x14ac:dyDescent="0.3">
      <c r="A1203">
        <v>31</v>
      </c>
      <c r="B1203" t="s">
        <v>57</v>
      </c>
      <c r="C1203">
        <v>1</v>
      </c>
      <c r="D1203" s="3"/>
      <c r="E1203">
        <f>IF(C1203="","",VLOOKUP(C1203,PointsSystem!$A$2:$B$41,2,FALSE()))</f>
        <v>55</v>
      </c>
    </row>
    <row r="1204" spans="1:5" x14ac:dyDescent="0.3">
      <c r="A1204">
        <v>31</v>
      </c>
      <c r="B1204" t="s">
        <v>57</v>
      </c>
      <c r="C1204">
        <v>2</v>
      </c>
      <c r="D1204" s="3"/>
      <c r="E1204">
        <f>IF(C1204="","",VLOOKUP(C1204,PointsSystem!$A$2:$B$41,2,FALSE()))</f>
        <v>35</v>
      </c>
    </row>
    <row r="1205" spans="1:5" x14ac:dyDescent="0.3">
      <c r="A1205">
        <v>31</v>
      </c>
      <c r="B1205" t="s">
        <v>57</v>
      </c>
      <c r="C1205">
        <v>3</v>
      </c>
      <c r="D1205" s="3"/>
      <c r="E1205">
        <f>IF(C1205="","",VLOOKUP(C1205,PointsSystem!$A$2:$B$41,2,FALSE()))</f>
        <v>34</v>
      </c>
    </row>
    <row r="1206" spans="1:5" x14ac:dyDescent="0.3">
      <c r="A1206">
        <v>31</v>
      </c>
      <c r="B1206" t="s">
        <v>57</v>
      </c>
      <c r="C1206">
        <v>4</v>
      </c>
      <c r="D1206" s="3"/>
      <c r="E1206">
        <f>IF(C1206="","",VLOOKUP(C1206,PointsSystem!$A$2:$B$41,2,FALSE()))</f>
        <v>33</v>
      </c>
    </row>
    <row r="1207" spans="1:5" x14ac:dyDescent="0.3">
      <c r="A1207">
        <v>31</v>
      </c>
      <c r="B1207" t="s">
        <v>57</v>
      </c>
      <c r="C1207">
        <v>5</v>
      </c>
      <c r="D1207" s="3"/>
      <c r="E1207">
        <f>IF(C1207="","",VLOOKUP(C1207,PointsSystem!$A$2:$B$41,2,FALSE()))</f>
        <v>32</v>
      </c>
    </row>
    <row r="1208" spans="1:5" x14ac:dyDescent="0.3">
      <c r="A1208">
        <v>31</v>
      </c>
      <c r="B1208" t="s">
        <v>57</v>
      </c>
      <c r="C1208">
        <v>6</v>
      </c>
      <c r="D1208" s="3"/>
      <c r="E1208">
        <f>IF(C1208="","",VLOOKUP(C1208,PointsSystem!$A$2:$B$41,2,FALSE()))</f>
        <v>31</v>
      </c>
    </row>
    <row r="1209" spans="1:5" x14ac:dyDescent="0.3">
      <c r="A1209">
        <v>31</v>
      </c>
      <c r="B1209" t="s">
        <v>57</v>
      </c>
      <c r="C1209">
        <v>7</v>
      </c>
      <c r="D1209" s="3"/>
      <c r="E1209">
        <f>IF(C1209="","",VLOOKUP(C1209,PointsSystem!$A$2:$B$41,2,FALSE()))</f>
        <v>30</v>
      </c>
    </row>
    <row r="1210" spans="1:5" x14ac:dyDescent="0.3">
      <c r="A1210">
        <v>31</v>
      </c>
      <c r="B1210" t="s">
        <v>57</v>
      </c>
      <c r="C1210">
        <v>8</v>
      </c>
      <c r="D1210" s="3"/>
      <c r="E1210">
        <f>IF(C1210="","",VLOOKUP(C1210,PointsSystem!$A$2:$B$41,2,FALSE()))</f>
        <v>29</v>
      </c>
    </row>
    <row r="1211" spans="1:5" x14ac:dyDescent="0.3">
      <c r="A1211">
        <v>31</v>
      </c>
      <c r="B1211" t="s">
        <v>57</v>
      </c>
      <c r="C1211">
        <v>9</v>
      </c>
      <c r="D1211" s="3"/>
      <c r="E1211">
        <f>IF(C1211="","",VLOOKUP(C1211,PointsSystem!$A$2:$B$41,2,FALSE()))</f>
        <v>28</v>
      </c>
    </row>
    <row r="1212" spans="1:5" x14ac:dyDescent="0.3">
      <c r="A1212">
        <v>31</v>
      </c>
      <c r="B1212" t="s">
        <v>57</v>
      </c>
      <c r="C1212">
        <v>10</v>
      </c>
      <c r="D1212" s="3"/>
      <c r="E1212">
        <f>IF(C1212="","",VLOOKUP(C1212,PointsSystem!$A$2:$B$41,2,FALSE()))</f>
        <v>27</v>
      </c>
    </row>
    <row r="1213" spans="1:5" x14ac:dyDescent="0.3">
      <c r="A1213">
        <v>31</v>
      </c>
      <c r="B1213" t="s">
        <v>57</v>
      </c>
      <c r="C1213">
        <v>11</v>
      </c>
      <c r="D1213" s="3"/>
      <c r="E1213">
        <f>IF(C1213="","",VLOOKUP(C1213,PointsSystem!$A$2:$B$41,2,FALSE()))</f>
        <v>26</v>
      </c>
    </row>
    <row r="1214" spans="1:5" x14ac:dyDescent="0.3">
      <c r="A1214">
        <v>31</v>
      </c>
      <c r="B1214" t="s">
        <v>57</v>
      </c>
      <c r="C1214">
        <v>12</v>
      </c>
      <c r="D1214" s="3"/>
      <c r="E1214">
        <f>IF(C1214="","",VLOOKUP(C1214,PointsSystem!$A$2:$B$41,2,FALSE()))</f>
        <v>25</v>
      </c>
    </row>
    <row r="1215" spans="1:5" x14ac:dyDescent="0.3">
      <c r="A1215">
        <v>31</v>
      </c>
      <c r="B1215" t="s">
        <v>57</v>
      </c>
      <c r="C1215">
        <v>13</v>
      </c>
      <c r="D1215" s="3"/>
      <c r="E1215">
        <f>IF(C1215="","",VLOOKUP(C1215,PointsSystem!$A$2:$B$41,2,FALSE()))</f>
        <v>24</v>
      </c>
    </row>
    <row r="1216" spans="1:5" x14ac:dyDescent="0.3">
      <c r="A1216">
        <v>31</v>
      </c>
      <c r="B1216" t="s">
        <v>57</v>
      </c>
      <c r="C1216">
        <v>14</v>
      </c>
      <c r="D1216" s="3"/>
      <c r="E1216">
        <f>IF(C1216="","",VLOOKUP(C1216,PointsSystem!$A$2:$B$41,2,FALSE()))</f>
        <v>23</v>
      </c>
    </row>
    <row r="1217" spans="1:5" x14ac:dyDescent="0.3">
      <c r="A1217">
        <v>31</v>
      </c>
      <c r="B1217" t="s">
        <v>57</v>
      </c>
      <c r="C1217">
        <v>15</v>
      </c>
      <c r="D1217" s="3"/>
      <c r="E1217">
        <f>IF(C1217="","",VLOOKUP(C1217,PointsSystem!$A$2:$B$41,2,FALSE()))</f>
        <v>22</v>
      </c>
    </row>
    <row r="1218" spans="1:5" x14ac:dyDescent="0.3">
      <c r="A1218">
        <v>31</v>
      </c>
      <c r="B1218" t="s">
        <v>57</v>
      </c>
      <c r="C1218">
        <v>16</v>
      </c>
      <c r="D1218" s="3"/>
      <c r="E1218">
        <f>IF(C1218="","",VLOOKUP(C1218,PointsSystem!$A$2:$B$41,2,FALSE()))</f>
        <v>21</v>
      </c>
    </row>
    <row r="1219" spans="1:5" x14ac:dyDescent="0.3">
      <c r="A1219">
        <v>31</v>
      </c>
      <c r="B1219" t="s">
        <v>57</v>
      </c>
      <c r="C1219">
        <v>17</v>
      </c>
      <c r="D1219" s="3"/>
      <c r="E1219">
        <f>IF(C1219="","",VLOOKUP(C1219,PointsSystem!$A$2:$B$41,2,FALSE()))</f>
        <v>20</v>
      </c>
    </row>
    <row r="1220" spans="1:5" x14ac:dyDescent="0.3">
      <c r="A1220">
        <v>31</v>
      </c>
      <c r="B1220" t="s">
        <v>57</v>
      </c>
      <c r="C1220">
        <v>18</v>
      </c>
      <c r="D1220" s="3"/>
      <c r="E1220">
        <f>IF(C1220="","",VLOOKUP(C1220,PointsSystem!$A$2:$B$41,2,FALSE()))</f>
        <v>19</v>
      </c>
    </row>
    <row r="1221" spans="1:5" x14ac:dyDescent="0.3">
      <c r="A1221">
        <v>31</v>
      </c>
      <c r="B1221" t="s">
        <v>57</v>
      </c>
      <c r="C1221">
        <v>19</v>
      </c>
      <c r="D1221" s="3"/>
      <c r="E1221">
        <f>IF(C1221="","",VLOOKUP(C1221,PointsSystem!$A$2:$B$41,2,FALSE()))</f>
        <v>18</v>
      </c>
    </row>
    <row r="1222" spans="1:5" x14ac:dyDescent="0.3">
      <c r="A1222">
        <v>31</v>
      </c>
      <c r="B1222" t="s">
        <v>57</v>
      </c>
      <c r="C1222">
        <v>20</v>
      </c>
      <c r="D1222" s="3"/>
      <c r="E1222">
        <f>IF(C1222="","",VLOOKUP(C1222,PointsSystem!$A$2:$B$41,2,FALSE()))</f>
        <v>17</v>
      </c>
    </row>
    <row r="1223" spans="1:5" x14ac:dyDescent="0.3">
      <c r="A1223">
        <v>31</v>
      </c>
      <c r="B1223" t="s">
        <v>57</v>
      </c>
      <c r="C1223">
        <v>21</v>
      </c>
      <c r="D1223" s="3"/>
      <c r="E1223">
        <f>IF(C1223="","",VLOOKUP(C1223,PointsSystem!$A$2:$B$41,2,FALSE()))</f>
        <v>16</v>
      </c>
    </row>
    <row r="1224" spans="1:5" x14ac:dyDescent="0.3">
      <c r="A1224">
        <v>31</v>
      </c>
      <c r="B1224" t="s">
        <v>57</v>
      </c>
      <c r="C1224">
        <v>22</v>
      </c>
      <c r="D1224" s="3"/>
      <c r="E1224">
        <f>IF(C1224="","",VLOOKUP(C1224,PointsSystem!$A$2:$B$41,2,FALSE()))</f>
        <v>15</v>
      </c>
    </row>
    <row r="1225" spans="1:5" x14ac:dyDescent="0.3">
      <c r="A1225">
        <v>31</v>
      </c>
      <c r="B1225" t="s">
        <v>57</v>
      </c>
      <c r="C1225">
        <v>23</v>
      </c>
      <c r="D1225" s="3"/>
      <c r="E1225">
        <f>IF(C1225="","",VLOOKUP(C1225,PointsSystem!$A$2:$B$41,2,FALSE()))</f>
        <v>14</v>
      </c>
    </row>
    <row r="1226" spans="1:5" x14ac:dyDescent="0.3">
      <c r="A1226">
        <v>31</v>
      </c>
      <c r="B1226" t="s">
        <v>57</v>
      </c>
      <c r="C1226">
        <v>24</v>
      </c>
      <c r="D1226" s="3"/>
      <c r="E1226">
        <f>IF(C1226="","",VLOOKUP(C1226,PointsSystem!$A$2:$B$41,2,FALSE()))</f>
        <v>13</v>
      </c>
    </row>
    <row r="1227" spans="1:5" x14ac:dyDescent="0.3">
      <c r="A1227">
        <v>31</v>
      </c>
      <c r="B1227" t="s">
        <v>57</v>
      </c>
      <c r="C1227">
        <v>25</v>
      </c>
      <c r="D1227" s="3"/>
      <c r="E1227">
        <f>IF(C1227="","",VLOOKUP(C1227,PointsSystem!$A$2:$B$41,2,FALSE()))</f>
        <v>12</v>
      </c>
    </row>
    <row r="1228" spans="1:5" x14ac:dyDescent="0.3">
      <c r="A1228">
        <v>31</v>
      </c>
      <c r="B1228" t="s">
        <v>57</v>
      </c>
      <c r="C1228">
        <v>26</v>
      </c>
      <c r="D1228" s="3"/>
      <c r="E1228">
        <f>IF(C1228="","",VLOOKUP(C1228,PointsSystem!$A$2:$B$41,2,FALSE()))</f>
        <v>11</v>
      </c>
    </row>
    <row r="1229" spans="1:5" x14ac:dyDescent="0.3">
      <c r="A1229">
        <v>31</v>
      </c>
      <c r="B1229" t="s">
        <v>57</v>
      </c>
      <c r="C1229">
        <v>27</v>
      </c>
      <c r="D1229" s="3"/>
      <c r="E1229">
        <f>IF(C1229="","",VLOOKUP(C1229,PointsSystem!$A$2:$B$41,2,FALSE()))</f>
        <v>10</v>
      </c>
    </row>
    <row r="1230" spans="1:5" x14ac:dyDescent="0.3">
      <c r="A1230">
        <v>31</v>
      </c>
      <c r="B1230" t="s">
        <v>57</v>
      </c>
      <c r="C1230">
        <v>28</v>
      </c>
      <c r="D1230" s="3"/>
      <c r="E1230">
        <f>IF(C1230="","",VLOOKUP(C1230,PointsSystem!$A$2:$B$41,2,FALSE()))</f>
        <v>9</v>
      </c>
    </row>
    <row r="1231" spans="1:5" x14ac:dyDescent="0.3">
      <c r="A1231">
        <v>31</v>
      </c>
      <c r="B1231" t="s">
        <v>57</v>
      </c>
      <c r="C1231">
        <v>29</v>
      </c>
      <c r="D1231" s="3"/>
      <c r="E1231">
        <f>IF(C1231="","",VLOOKUP(C1231,PointsSystem!$A$2:$B$41,2,FALSE()))</f>
        <v>8</v>
      </c>
    </row>
    <row r="1232" spans="1:5" x14ac:dyDescent="0.3">
      <c r="A1232">
        <v>31</v>
      </c>
      <c r="B1232" t="s">
        <v>57</v>
      </c>
      <c r="C1232">
        <v>30</v>
      </c>
      <c r="D1232" s="3"/>
      <c r="E1232">
        <f>IF(C1232="","",VLOOKUP(C1232,PointsSystem!$A$2:$B$41,2,FALSE()))</f>
        <v>7</v>
      </c>
    </row>
    <row r="1233" spans="1:5" x14ac:dyDescent="0.3">
      <c r="A1233">
        <v>31</v>
      </c>
      <c r="B1233" t="s">
        <v>57</v>
      </c>
      <c r="C1233">
        <v>31</v>
      </c>
      <c r="D1233" s="3"/>
      <c r="E1233">
        <f>IF(C1233="","",VLOOKUP(C1233,PointsSystem!$A$2:$B$41,2,FALSE()))</f>
        <v>6</v>
      </c>
    </row>
    <row r="1234" spans="1:5" x14ac:dyDescent="0.3">
      <c r="A1234">
        <v>31</v>
      </c>
      <c r="B1234" t="s">
        <v>57</v>
      </c>
      <c r="C1234">
        <v>32</v>
      </c>
      <c r="D1234" s="3"/>
      <c r="E1234">
        <f>IF(C1234="","",VLOOKUP(C1234,PointsSystem!$A$2:$B$41,2,FALSE()))</f>
        <v>5</v>
      </c>
    </row>
    <row r="1235" spans="1:5" x14ac:dyDescent="0.3">
      <c r="A1235">
        <v>31</v>
      </c>
      <c r="B1235" t="s">
        <v>57</v>
      </c>
      <c r="C1235">
        <v>33</v>
      </c>
      <c r="D1235" s="3"/>
      <c r="E1235">
        <f>IF(C1235="","",VLOOKUP(C1235,PointsSystem!$A$2:$B$41,2,FALSE()))</f>
        <v>4</v>
      </c>
    </row>
    <row r="1236" spans="1:5" x14ac:dyDescent="0.3">
      <c r="A1236">
        <v>31</v>
      </c>
      <c r="B1236" t="s">
        <v>57</v>
      </c>
      <c r="C1236">
        <v>34</v>
      </c>
      <c r="D1236" s="3"/>
      <c r="E1236">
        <f>IF(C1236="","",VLOOKUP(C1236,PointsSystem!$A$2:$B$41,2,FALSE()))</f>
        <v>3</v>
      </c>
    </row>
    <row r="1237" spans="1:5" x14ac:dyDescent="0.3">
      <c r="A1237">
        <v>31</v>
      </c>
      <c r="B1237" t="s">
        <v>57</v>
      </c>
      <c r="C1237">
        <v>35</v>
      </c>
      <c r="D1237" s="3"/>
      <c r="E1237">
        <f>IF(C1237="","",VLOOKUP(C1237,PointsSystem!$A$2:$B$41,2,FALSE()))</f>
        <v>2</v>
      </c>
    </row>
    <row r="1238" spans="1:5" x14ac:dyDescent="0.3">
      <c r="A1238">
        <v>31</v>
      </c>
      <c r="B1238" t="s">
        <v>57</v>
      </c>
      <c r="C1238">
        <v>36</v>
      </c>
      <c r="D1238" s="3"/>
      <c r="E1238">
        <f>IF(C1238="","",VLOOKUP(C1238,PointsSystem!$A$2:$B$41,2,FALSE()))</f>
        <v>1</v>
      </c>
    </row>
    <row r="1239" spans="1:5" x14ac:dyDescent="0.3">
      <c r="A1239">
        <v>31</v>
      </c>
      <c r="B1239" t="s">
        <v>57</v>
      </c>
      <c r="C1239">
        <v>37</v>
      </c>
      <c r="D1239" s="3"/>
      <c r="E1239">
        <f>IF(C1239="","",VLOOKUP(C1239,PointsSystem!$A$2:$B$41,2,FALSE()))</f>
        <v>1</v>
      </c>
    </row>
    <row r="1240" spans="1:5" x14ac:dyDescent="0.3">
      <c r="A1240">
        <v>31</v>
      </c>
      <c r="B1240" t="s">
        <v>57</v>
      </c>
      <c r="C1240">
        <v>38</v>
      </c>
      <c r="D1240" s="3"/>
      <c r="E1240">
        <f>IF(C1240="","",VLOOKUP(C1240,PointsSystem!$A$2:$B$41,2,FALSE()))</f>
        <v>1</v>
      </c>
    </row>
    <row r="1241" spans="1:5" x14ac:dyDescent="0.3">
      <c r="A1241">
        <v>31</v>
      </c>
      <c r="B1241" t="s">
        <v>57</v>
      </c>
      <c r="C1241">
        <v>39</v>
      </c>
      <c r="D1241" s="3"/>
      <c r="E1241">
        <f>IF(C1241="","",VLOOKUP(C1241,PointsSystem!$A$2:$B$41,2,FALSE()))</f>
        <v>1</v>
      </c>
    </row>
    <row r="1242" spans="1:5" x14ac:dyDescent="0.3">
      <c r="A1242">
        <v>31</v>
      </c>
      <c r="B1242" t="s">
        <v>57</v>
      </c>
      <c r="C1242">
        <v>40</v>
      </c>
      <c r="D1242" s="3"/>
      <c r="E1242">
        <f>IF(C1242="","",VLOOKUP(C1242,PointsSystem!$A$2:$B$41,2,FALSE()))</f>
        <v>1</v>
      </c>
    </row>
    <row r="1243" spans="1:5" x14ac:dyDescent="0.3">
      <c r="A1243">
        <v>32</v>
      </c>
      <c r="B1243" t="s">
        <v>73</v>
      </c>
      <c r="C1243">
        <v>1</v>
      </c>
      <c r="D1243" s="3"/>
      <c r="E1243">
        <f>IF(C1243="","",VLOOKUP(C1243,PointsSystem!$A$2:$B$41,2,FALSE()))</f>
        <v>55</v>
      </c>
    </row>
    <row r="1244" spans="1:5" x14ac:dyDescent="0.3">
      <c r="A1244">
        <v>32</v>
      </c>
      <c r="B1244" t="s">
        <v>73</v>
      </c>
      <c r="C1244">
        <v>2</v>
      </c>
      <c r="D1244" s="3"/>
      <c r="E1244">
        <f>IF(C1244="","",VLOOKUP(C1244,PointsSystem!$A$2:$B$41,2,FALSE()))</f>
        <v>35</v>
      </c>
    </row>
    <row r="1245" spans="1:5" x14ac:dyDescent="0.3">
      <c r="A1245">
        <v>32</v>
      </c>
      <c r="B1245" t="s">
        <v>73</v>
      </c>
      <c r="C1245">
        <v>3</v>
      </c>
      <c r="D1245" s="3"/>
      <c r="E1245">
        <f>IF(C1245="","",VLOOKUP(C1245,PointsSystem!$A$2:$B$41,2,FALSE()))</f>
        <v>34</v>
      </c>
    </row>
    <row r="1246" spans="1:5" x14ac:dyDescent="0.3">
      <c r="A1246">
        <v>32</v>
      </c>
      <c r="B1246" t="s">
        <v>73</v>
      </c>
      <c r="C1246">
        <v>4</v>
      </c>
      <c r="D1246" s="3"/>
      <c r="E1246">
        <f>IF(C1246="","",VLOOKUP(C1246,PointsSystem!$A$2:$B$41,2,FALSE()))</f>
        <v>33</v>
      </c>
    </row>
    <row r="1247" spans="1:5" x14ac:dyDescent="0.3">
      <c r="A1247">
        <v>32</v>
      </c>
      <c r="B1247" t="s">
        <v>73</v>
      </c>
      <c r="C1247">
        <v>5</v>
      </c>
      <c r="D1247" s="3"/>
      <c r="E1247">
        <f>IF(C1247="","",VLOOKUP(C1247,PointsSystem!$A$2:$B$41,2,FALSE()))</f>
        <v>32</v>
      </c>
    </row>
    <row r="1248" spans="1:5" x14ac:dyDescent="0.3">
      <c r="A1248">
        <v>32</v>
      </c>
      <c r="B1248" t="s">
        <v>73</v>
      </c>
      <c r="C1248">
        <v>6</v>
      </c>
      <c r="D1248" s="3"/>
      <c r="E1248">
        <f>IF(C1248="","",VLOOKUP(C1248,PointsSystem!$A$2:$B$41,2,FALSE()))</f>
        <v>31</v>
      </c>
    </row>
    <row r="1249" spans="1:5" x14ac:dyDescent="0.3">
      <c r="A1249">
        <v>32</v>
      </c>
      <c r="B1249" t="s">
        <v>73</v>
      </c>
      <c r="C1249">
        <v>7</v>
      </c>
      <c r="D1249" s="3"/>
      <c r="E1249">
        <f>IF(C1249="","",VLOOKUP(C1249,PointsSystem!$A$2:$B$41,2,FALSE()))</f>
        <v>30</v>
      </c>
    </row>
    <row r="1250" spans="1:5" x14ac:dyDescent="0.3">
      <c r="A1250">
        <v>32</v>
      </c>
      <c r="B1250" t="s">
        <v>73</v>
      </c>
      <c r="C1250">
        <v>8</v>
      </c>
      <c r="D1250" s="3"/>
      <c r="E1250">
        <f>IF(C1250="","",VLOOKUP(C1250,PointsSystem!$A$2:$B$41,2,FALSE()))</f>
        <v>29</v>
      </c>
    </row>
    <row r="1251" spans="1:5" x14ac:dyDescent="0.3">
      <c r="A1251">
        <v>32</v>
      </c>
      <c r="B1251" t="s">
        <v>73</v>
      </c>
      <c r="C1251">
        <v>9</v>
      </c>
      <c r="D1251" s="3"/>
      <c r="E1251">
        <f>IF(C1251="","",VLOOKUP(C1251,PointsSystem!$A$2:$B$41,2,FALSE()))</f>
        <v>28</v>
      </c>
    </row>
    <row r="1252" spans="1:5" x14ac:dyDescent="0.3">
      <c r="A1252">
        <v>32</v>
      </c>
      <c r="B1252" t="s">
        <v>73</v>
      </c>
      <c r="C1252">
        <v>10</v>
      </c>
      <c r="D1252" s="3"/>
      <c r="E1252">
        <f>IF(C1252="","",VLOOKUP(C1252,PointsSystem!$A$2:$B$41,2,FALSE()))</f>
        <v>27</v>
      </c>
    </row>
    <row r="1253" spans="1:5" x14ac:dyDescent="0.3">
      <c r="A1253">
        <v>32</v>
      </c>
      <c r="B1253" t="s">
        <v>73</v>
      </c>
      <c r="C1253">
        <v>11</v>
      </c>
      <c r="D1253" s="3"/>
      <c r="E1253">
        <f>IF(C1253="","",VLOOKUP(C1253,PointsSystem!$A$2:$B$41,2,FALSE()))</f>
        <v>26</v>
      </c>
    </row>
    <row r="1254" spans="1:5" x14ac:dyDescent="0.3">
      <c r="A1254">
        <v>32</v>
      </c>
      <c r="B1254" t="s">
        <v>73</v>
      </c>
      <c r="C1254">
        <v>12</v>
      </c>
      <c r="D1254" s="3"/>
      <c r="E1254">
        <f>IF(C1254="","",VLOOKUP(C1254,PointsSystem!$A$2:$B$41,2,FALSE()))</f>
        <v>25</v>
      </c>
    </row>
    <row r="1255" spans="1:5" x14ac:dyDescent="0.3">
      <c r="A1255">
        <v>32</v>
      </c>
      <c r="B1255" t="s">
        <v>73</v>
      </c>
      <c r="C1255">
        <v>13</v>
      </c>
      <c r="D1255" s="3"/>
      <c r="E1255">
        <f>IF(C1255="","",VLOOKUP(C1255,PointsSystem!$A$2:$B$41,2,FALSE()))</f>
        <v>24</v>
      </c>
    </row>
    <row r="1256" spans="1:5" x14ac:dyDescent="0.3">
      <c r="A1256">
        <v>32</v>
      </c>
      <c r="B1256" t="s">
        <v>73</v>
      </c>
      <c r="C1256">
        <v>14</v>
      </c>
      <c r="D1256" s="3"/>
      <c r="E1256">
        <f>IF(C1256="","",VLOOKUP(C1256,PointsSystem!$A$2:$B$41,2,FALSE()))</f>
        <v>23</v>
      </c>
    </row>
    <row r="1257" spans="1:5" x14ac:dyDescent="0.3">
      <c r="A1257">
        <v>32</v>
      </c>
      <c r="B1257" t="s">
        <v>73</v>
      </c>
      <c r="C1257">
        <v>15</v>
      </c>
      <c r="D1257" s="3"/>
      <c r="E1257">
        <f>IF(C1257="","",VLOOKUP(C1257,PointsSystem!$A$2:$B$41,2,FALSE()))</f>
        <v>22</v>
      </c>
    </row>
    <row r="1258" spans="1:5" x14ac:dyDescent="0.3">
      <c r="A1258">
        <v>32</v>
      </c>
      <c r="B1258" t="s">
        <v>73</v>
      </c>
      <c r="C1258">
        <v>16</v>
      </c>
      <c r="D1258" s="3"/>
      <c r="E1258">
        <f>IF(C1258="","",VLOOKUP(C1258,PointsSystem!$A$2:$B$41,2,FALSE()))</f>
        <v>21</v>
      </c>
    </row>
    <row r="1259" spans="1:5" x14ac:dyDescent="0.3">
      <c r="A1259">
        <v>32</v>
      </c>
      <c r="B1259" t="s">
        <v>73</v>
      </c>
      <c r="C1259">
        <v>17</v>
      </c>
      <c r="D1259" s="3"/>
      <c r="E1259">
        <f>IF(C1259="","",VLOOKUP(C1259,PointsSystem!$A$2:$B$41,2,FALSE()))</f>
        <v>20</v>
      </c>
    </row>
    <row r="1260" spans="1:5" x14ac:dyDescent="0.3">
      <c r="A1260">
        <v>32</v>
      </c>
      <c r="B1260" t="s">
        <v>73</v>
      </c>
      <c r="C1260">
        <v>18</v>
      </c>
      <c r="D1260" s="3"/>
      <c r="E1260">
        <f>IF(C1260="","",VLOOKUP(C1260,PointsSystem!$A$2:$B$41,2,FALSE()))</f>
        <v>19</v>
      </c>
    </row>
    <row r="1261" spans="1:5" x14ac:dyDescent="0.3">
      <c r="A1261">
        <v>32</v>
      </c>
      <c r="B1261" t="s">
        <v>73</v>
      </c>
      <c r="C1261">
        <v>19</v>
      </c>
      <c r="D1261" s="3"/>
      <c r="E1261">
        <f>IF(C1261="","",VLOOKUP(C1261,PointsSystem!$A$2:$B$41,2,FALSE()))</f>
        <v>18</v>
      </c>
    </row>
    <row r="1262" spans="1:5" x14ac:dyDescent="0.3">
      <c r="A1262">
        <v>32</v>
      </c>
      <c r="B1262" t="s">
        <v>73</v>
      </c>
      <c r="C1262">
        <v>20</v>
      </c>
      <c r="D1262" s="3"/>
      <c r="E1262">
        <f>IF(C1262="","",VLOOKUP(C1262,PointsSystem!$A$2:$B$41,2,FALSE()))</f>
        <v>17</v>
      </c>
    </row>
    <row r="1263" spans="1:5" x14ac:dyDescent="0.3">
      <c r="A1263">
        <v>32</v>
      </c>
      <c r="B1263" t="s">
        <v>73</v>
      </c>
      <c r="C1263">
        <v>21</v>
      </c>
      <c r="D1263" s="3"/>
      <c r="E1263">
        <f>IF(C1263="","",VLOOKUP(C1263,PointsSystem!$A$2:$B$41,2,FALSE()))</f>
        <v>16</v>
      </c>
    </row>
    <row r="1264" spans="1:5" x14ac:dyDescent="0.3">
      <c r="A1264">
        <v>32</v>
      </c>
      <c r="B1264" t="s">
        <v>73</v>
      </c>
      <c r="C1264">
        <v>22</v>
      </c>
      <c r="D1264" s="3"/>
      <c r="E1264">
        <f>IF(C1264="","",VLOOKUP(C1264,PointsSystem!$A$2:$B$41,2,FALSE()))</f>
        <v>15</v>
      </c>
    </row>
    <row r="1265" spans="1:5" x14ac:dyDescent="0.3">
      <c r="A1265">
        <v>32</v>
      </c>
      <c r="B1265" t="s">
        <v>73</v>
      </c>
      <c r="C1265">
        <v>23</v>
      </c>
      <c r="D1265" s="3"/>
      <c r="E1265">
        <f>IF(C1265="","",VLOOKUP(C1265,PointsSystem!$A$2:$B$41,2,FALSE()))</f>
        <v>14</v>
      </c>
    </row>
    <row r="1266" spans="1:5" x14ac:dyDescent="0.3">
      <c r="A1266">
        <v>32</v>
      </c>
      <c r="B1266" t="s">
        <v>73</v>
      </c>
      <c r="C1266">
        <v>24</v>
      </c>
      <c r="D1266" s="3"/>
      <c r="E1266">
        <f>IF(C1266="","",VLOOKUP(C1266,PointsSystem!$A$2:$B$41,2,FALSE()))</f>
        <v>13</v>
      </c>
    </row>
    <row r="1267" spans="1:5" x14ac:dyDescent="0.3">
      <c r="A1267">
        <v>32</v>
      </c>
      <c r="B1267" t="s">
        <v>73</v>
      </c>
      <c r="C1267">
        <v>25</v>
      </c>
      <c r="D1267" s="3"/>
      <c r="E1267">
        <f>IF(C1267="","",VLOOKUP(C1267,PointsSystem!$A$2:$B$41,2,FALSE()))</f>
        <v>12</v>
      </c>
    </row>
    <row r="1268" spans="1:5" x14ac:dyDescent="0.3">
      <c r="A1268">
        <v>32</v>
      </c>
      <c r="B1268" t="s">
        <v>73</v>
      </c>
      <c r="C1268">
        <v>26</v>
      </c>
      <c r="D1268" s="3"/>
      <c r="E1268">
        <f>IF(C1268="","",VLOOKUP(C1268,PointsSystem!$A$2:$B$41,2,FALSE()))</f>
        <v>11</v>
      </c>
    </row>
    <row r="1269" spans="1:5" x14ac:dyDescent="0.3">
      <c r="A1269">
        <v>32</v>
      </c>
      <c r="B1269" t="s">
        <v>73</v>
      </c>
      <c r="C1269">
        <v>27</v>
      </c>
      <c r="D1269" s="3"/>
      <c r="E1269">
        <f>IF(C1269="","",VLOOKUP(C1269,PointsSystem!$A$2:$B$41,2,FALSE()))</f>
        <v>10</v>
      </c>
    </row>
    <row r="1270" spans="1:5" x14ac:dyDescent="0.3">
      <c r="A1270">
        <v>32</v>
      </c>
      <c r="B1270" t="s">
        <v>73</v>
      </c>
      <c r="C1270">
        <v>28</v>
      </c>
      <c r="D1270" s="3"/>
      <c r="E1270">
        <f>IF(C1270="","",VLOOKUP(C1270,PointsSystem!$A$2:$B$41,2,FALSE()))</f>
        <v>9</v>
      </c>
    </row>
    <row r="1271" spans="1:5" x14ac:dyDescent="0.3">
      <c r="A1271">
        <v>32</v>
      </c>
      <c r="B1271" t="s">
        <v>73</v>
      </c>
      <c r="C1271">
        <v>29</v>
      </c>
      <c r="D1271" s="3"/>
      <c r="E1271">
        <f>IF(C1271="","",VLOOKUP(C1271,PointsSystem!$A$2:$B$41,2,FALSE()))</f>
        <v>8</v>
      </c>
    </row>
    <row r="1272" spans="1:5" x14ac:dyDescent="0.3">
      <c r="A1272">
        <v>32</v>
      </c>
      <c r="B1272" t="s">
        <v>73</v>
      </c>
      <c r="C1272">
        <v>30</v>
      </c>
      <c r="D1272" s="3"/>
      <c r="E1272">
        <f>IF(C1272="","",VLOOKUP(C1272,PointsSystem!$A$2:$B$41,2,FALSE()))</f>
        <v>7</v>
      </c>
    </row>
    <row r="1273" spans="1:5" x14ac:dyDescent="0.3">
      <c r="A1273">
        <v>32</v>
      </c>
      <c r="B1273" t="s">
        <v>73</v>
      </c>
      <c r="C1273">
        <v>31</v>
      </c>
      <c r="D1273" s="3"/>
      <c r="E1273">
        <f>IF(C1273="","",VLOOKUP(C1273,PointsSystem!$A$2:$B$41,2,FALSE()))</f>
        <v>6</v>
      </c>
    </row>
    <row r="1274" spans="1:5" x14ac:dyDescent="0.3">
      <c r="A1274">
        <v>32</v>
      </c>
      <c r="B1274" t="s">
        <v>73</v>
      </c>
      <c r="C1274">
        <v>32</v>
      </c>
      <c r="D1274" s="3"/>
      <c r="E1274">
        <f>IF(C1274="","",VLOOKUP(C1274,PointsSystem!$A$2:$B$41,2,FALSE()))</f>
        <v>5</v>
      </c>
    </row>
    <row r="1275" spans="1:5" x14ac:dyDescent="0.3">
      <c r="A1275">
        <v>32</v>
      </c>
      <c r="B1275" t="s">
        <v>73</v>
      </c>
      <c r="C1275">
        <v>33</v>
      </c>
      <c r="D1275" s="3"/>
      <c r="E1275">
        <f>IF(C1275="","",VLOOKUP(C1275,PointsSystem!$A$2:$B$41,2,FALSE()))</f>
        <v>4</v>
      </c>
    </row>
    <row r="1276" spans="1:5" x14ac:dyDescent="0.3">
      <c r="A1276">
        <v>32</v>
      </c>
      <c r="B1276" t="s">
        <v>73</v>
      </c>
      <c r="C1276">
        <v>34</v>
      </c>
      <c r="D1276" s="3"/>
      <c r="E1276">
        <f>IF(C1276="","",VLOOKUP(C1276,PointsSystem!$A$2:$B$41,2,FALSE()))</f>
        <v>3</v>
      </c>
    </row>
    <row r="1277" spans="1:5" x14ac:dyDescent="0.3">
      <c r="A1277">
        <v>32</v>
      </c>
      <c r="B1277" t="s">
        <v>73</v>
      </c>
      <c r="C1277">
        <v>35</v>
      </c>
      <c r="D1277" s="3"/>
      <c r="E1277">
        <f>IF(C1277="","",VLOOKUP(C1277,PointsSystem!$A$2:$B$41,2,FALSE()))</f>
        <v>2</v>
      </c>
    </row>
    <row r="1278" spans="1:5" x14ac:dyDescent="0.3">
      <c r="A1278">
        <v>32</v>
      </c>
      <c r="B1278" t="s">
        <v>73</v>
      </c>
      <c r="C1278">
        <v>36</v>
      </c>
      <c r="D1278" s="3"/>
      <c r="E1278">
        <f>IF(C1278="","",VLOOKUP(C1278,PointsSystem!$A$2:$B$41,2,FALSE()))</f>
        <v>1</v>
      </c>
    </row>
    <row r="1279" spans="1:5" x14ac:dyDescent="0.3">
      <c r="A1279">
        <v>32</v>
      </c>
      <c r="B1279" t="s">
        <v>73</v>
      </c>
      <c r="C1279">
        <v>37</v>
      </c>
      <c r="D1279" s="3"/>
      <c r="E1279">
        <f>IF(C1279="","",VLOOKUP(C1279,PointsSystem!$A$2:$B$41,2,FALSE()))</f>
        <v>1</v>
      </c>
    </row>
    <row r="1280" spans="1:5" x14ac:dyDescent="0.3">
      <c r="A1280">
        <v>32</v>
      </c>
      <c r="B1280" t="s">
        <v>73</v>
      </c>
      <c r="C1280">
        <v>38</v>
      </c>
      <c r="D1280" s="3"/>
      <c r="E1280">
        <f>IF(C1280="","",VLOOKUP(C1280,PointsSystem!$A$2:$B$41,2,FALSE()))</f>
        <v>1</v>
      </c>
    </row>
    <row r="1281" spans="1:5" x14ac:dyDescent="0.3">
      <c r="A1281">
        <v>32</v>
      </c>
      <c r="B1281" t="s">
        <v>73</v>
      </c>
      <c r="C1281">
        <v>39</v>
      </c>
      <c r="D1281" s="3"/>
      <c r="E1281">
        <f>IF(C1281="","",VLOOKUP(C1281,PointsSystem!$A$2:$B$41,2,FALSE()))</f>
        <v>1</v>
      </c>
    </row>
    <row r="1282" spans="1:5" x14ac:dyDescent="0.3">
      <c r="A1282">
        <v>32</v>
      </c>
      <c r="B1282" t="s">
        <v>73</v>
      </c>
      <c r="C1282">
        <v>40</v>
      </c>
      <c r="D1282" s="3"/>
      <c r="E1282">
        <f>IF(C1282="","",VLOOKUP(C1282,PointsSystem!$A$2:$B$41,2,FALSE()))</f>
        <v>1</v>
      </c>
    </row>
    <row r="1283" spans="1:5" x14ac:dyDescent="0.3">
      <c r="A1283">
        <v>33</v>
      </c>
      <c r="B1283" t="s">
        <v>54</v>
      </c>
      <c r="C1283">
        <v>1</v>
      </c>
      <c r="D1283" s="3"/>
      <c r="E1283">
        <f>IF(C1283="","",VLOOKUP(C1283,PointsSystem!$A$2:$B$41,2,FALSE()))</f>
        <v>55</v>
      </c>
    </row>
    <row r="1284" spans="1:5" x14ac:dyDescent="0.3">
      <c r="A1284">
        <v>33</v>
      </c>
      <c r="B1284" t="s">
        <v>54</v>
      </c>
      <c r="C1284">
        <v>2</v>
      </c>
      <c r="D1284" s="3"/>
      <c r="E1284">
        <f>IF(C1284="","",VLOOKUP(C1284,PointsSystem!$A$2:$B$41,2,FALSE()))</f>
        <v>35</v>
      </c>
    </row>
    <row r="1285" spans="1:5" x14ac:dyDescent="0.3">
      <c r="A1285">
        <v>33</v>
      </c>
      <c r="B1285" t="s">
        <v>54</v>
      </c>
      <c r="C1285">
        <v>3</v>
      </c>
      <c r="D1285" s="3"/>
      <c r="E1285">
        <f>IF(C1285="","",VLOOKUP(C1285,PointsSystem!$A$2:$B$41,2,FALSE()))</f>
        <v>34</v>
      </c>
    </row>
    <row r="1286" spans="1:5" x14ac:dyDescent="0.3">
      <c r="A1286">
        <v>33</v>
      </c>
      <c r="B1286" t="s">
        <v>54</v>
      </c>
      <c r="C1286">
        <v>4</v>
      </c>
      <c r="D1286" s="3"/>
      <c r="E1286">
        <f>IF(C1286="","",VLOOKUP(C1286,PointsSystem!$A$2:$B$41,2,FALSE()))</f>
        <v>33</v>
      </c>
    </row>
    <row r="1287" spans="1:5" x14ac:dyDescent="0.3">
      <c r="A1287">
        <v>33</v>
      </c>
      <c r="B1287" t="s">
        <v>54</v>
      </c>
      <c r="C1287">
        <v>5</v>
      </c>
      <c r="D1287" s="3"/>
      <c r="E1287">
        <f>IF(C1287="","",VLOOKUP(C1287,PointsSystem!$A$2:$B$41,2,FALSE()))</f>
        <v>32</v>
      </c>
    </row>
    <row r="1288" spans="1:5" x14ac:dyDescent="0.3">
      <c r="A1288">
        <v>33</v>
      </c>
      <c r="B1288" t="s">
        <v>54</v>
      </c>
      <c r="C1288">
        <v>6</v>
      </c>
      <c r="D1288" s="3"/>
      <c r="E1288">
        <f>IF(C1288="","",VLOOKUP(C1288,PointsSystem!$A$2:$B$41,2,FALSE()))</f>
        <v>31</v>
      </c>
    </row>
    <row r="1289" spans="1:5" x14ac:dyDescent="0.3">
      <c r="A1289">
        <v>33</v>
      </c>
      <c r="B1289" t="s">
        <v>54</v>
      </c>
      <c r="C1289">
        <v>7</v>
      </c>
      <c r="D1289" s="3"/>
      <c r="E1289">
        <f>IF(C1289="","",VLOOKUP(C1289,PointsSystem!$A$2:$B$41,2,FALSE()))</f>
        <v>30</v>
      </c>
    </row>
    <row r="1290" spans="1:5" x14ac:dyDescent="0.3">
      <c r="A1290">
        <v>33</v>
      </c>
      <c r="B1290" t="s">
        <v>54</v>
      </c>
      <c r="C1290">
        <v>8</v>
      </c>
      <c r="D1290" s="3"/>
      <c r="E1290">
        <f>IF(C1290="","",VLOOKUP(C1290,PointsSystem!$A$2:$B$41,2,FALSE()))</f>
        <v>29</v>
      </c>
    </row>
    <row r="1291" spans="1:5" x14ac:dyDescent="0.3">
      <c r="A1291">
        <v>33</v>
      </c>
      <c r="B1291" t="s">
        <v>54</v>
      </c>
      <c r="C1291">
        <v>9</v>
      </c>
      <c r="D1291" s="3"/>
      <c r="E1291">
        <f>IF(C1291="","",VLOOKUP(C1291,PointsSystem!$A$2:$B$41,2,FALSE()))</f>
        <v>28</v>
      </c>
    </row>
    <row r="1292" spans="1:5" x14ac:dyDescent="0.3">
      <c r="A1292">
        <v>33</v>
      </c>
      <c r="B1292" t="s">
        <v>54</v>
      </c>
      <c r="C1292">
        <v>10</v>
      </c>
      <c r="D1292" s="3"/>
      <c r="E1292">
        <f>IF(C1292="","",VLOOKUP(C1292,PointsSystem!$A$2:$B$41,2,FALSE()))</f>
        <v>27</v>
      </c>
    </row>
    <row r="1293" spans="1:5" x14ac:dyDescent="0.3">
      <c r="A1293">
        <v>33</v>
      </c>
      <c r="B1293" t="s">
        <v>54</v>
      </c>
      <c r="C1293">
        <v>11</v>
      </c>
      <c r="D1293" s="3"/>
      <c r="E1293">
        <f>IF(C1293="","",VLOOKUP(C1293,PointsSystem!$A$2:$B$41,2,FALSE()))</f>
        <v>26</v>
      </c>
    </row>
    <row r="1294" spans="1:5" x14ac:dyDescent="0.3">
      <c r="A1294">
        <v>33</v>
      </c>
      <c r="B1294" t="s">
        <v>54</v>
      </c>
      <c r="C1294">
        <v>12</v>
      </c>
      <c r="D1294" s="3"/>
      <c r="E1294">
        <f>IF(C1294="","",VLOOKUP(C1294,PointsSystem!$A$2:$B$41,2,FALSE()))</f>
        <v>25</v>
      </c>
    </row>
    <row r="1295" spans="1:5" x14ac:dyDescent="0.3">
      <c r="A1295">
        <v>33</v>
      </c>
      <c r="B1295" t="s">
        <v>54</v>
      </c>
      <c r="C1295">
        <v>13</v>
      </c>
      <c r="D1295" s="3"/>
      <c r="E1295">
        <f>IF(C1295="","",VLOOKUP(C1295,PointsSystem!$A$2:$B$41,2,FALSE()))</f>
        <v>24</v>
      </c>
    </row>
    <row r="1296" spans="1:5" x14ac:dyDescent="0.3">
      <c r="A1296">
        <v>33</v>
      </c>
      <c r="B1296" t="s">
        <v>54</v>
      </c>
      <c r="C1296">
        <v>14</v>
      </c>
      <c r="D1296" s="3"/>
      <c r="E1296">
        <f>IF(C1296="","",VLOOKUP(C1296,PointsSystem!$A$2:$B$41,2,FALSE()))</f>
        <v>23</v>
      </c>
    </row>
    <row r="1297" spans="1:5" x14ac:dyDescent="0.3">
      <c r="A1297">
        <v>33</v>
      </c>
      <c r="B1297" t="s">
        <v>54</v>
      </c>
      <c r="C1297">
        <v>15</v>
      </c>
      <c r="D1297" s="3"/>
      <c r="E1297">
        <f>IF(C1297="","",VLOOKUP(C1297,PointsSystem!$A$2:$B$41,2,FALSE()))</f>
        <v>22</v>
      </c>
    </row>
    <row r="1298" spans="1:5" x14ac:dyDescent="0.3">
      <c r="A1298">
        <v>33</v>
      </c>
      <c r="B1298" t="s">
        <v>54</v>
      </c>
      <c r="C1298">
        <v>16</v>
      </c>
      <c r="D1298" s="3"/>
      <c r="E1298">
        <f>IF(C1298="","",VLOOKUP(C1298,PointsSystem!$A$2:$B$41,2,FALSE()))</f>
        <v>21</v>
      </c>
    </row>
    <row r="1299" spans="1:5" x14ac:dyDescent="0.3">
      <c r="A1299">
        <v>33</v>
      </c>
      <c r="B1299" t="s">
        <v>54</v>
      </c>
      <c r="C1299">
        <v>17</v>
      </c>
      <c r="D1299" s="3"/>
      <c r="E1299">
        <f>IF(C1299="","",VLOOKUP(C1299,PointsSystem!$A$2:$B$41,2,FALSE()))</f>
        <v>20</v>
      </c>
    </row>
    <row r="1300" spans="1:5" x14ac:dyDescent="0.3">
      <c r="A1300">
        <v>33</v>
      </c>
      <c r="B1300" t="s">
        <v>54</v>
      </c>
      <c r="C1300">
        <v>18</v>
      </c>
      <c r="D1300" s="3"/>
      <c r="E1300">
        <f>IF(C1300="","",VLOOKUP(C1300,PointsSystem!$A$2:$B$41,2,FALSE()))</f>
        <v>19</v>
      </c>
    </row>
    <row r="1301" spans="1:5" x14ac:dyDescent="0.3">
      <c r="A1301">
        <v>33</v>
      </c>
      <c r="B1301" t="s">
        <v>54</v>
      </c>
      <c r="C1301">
        <v>19</v>
      </c>
      <c r="D1301" s="3"/>
      <c r="E1301">
        <f>IF(C1301="","",VLOOKUP(C1301,PointsSystem!$A$2:$B$41,2,FALSE()))</f>
        <v>18</v>
      </c>
    </row>
    <row r="1302" spans="1:5" x14ac:dyDescent="0.3">
      <c r="A1302">
        <v>33</v>
      </c>
      <c r="B1302" t="s">
        <v>54</v>
      </c>
      <c r="C1302">
        <v>20</v>
      </c>
      <c r="D1302" s="3"/>
      <c r="E1302">
        <f>IF(C1302="","",VLOOKUP(C1302,PointsSystem!$A$2:$B$41,2,FALSE()))</f>
        <v>17</v>
      </c>
    </row>
    <row r="1303" spans="1:5" x14ac:dyDescent="0.3">
      <c r="A1303">
        <v>33</v>
      </c>
      <c r="B1303" t="s">
        <v>54</v>
      </c>
      <c r="C1303">
        <v>21</v>
      </c>
      <c r="D1303" s="3"/>
      <c r="E1303">
        <f>IF(C1303="","",VLOOKUP(C1303,PointsSystem!$A$2:$B$41,2,FALSE()))</f>
        <v>16</v>
      </c>
    </row>
    <row r="1304" spans="1:5" x14ac:dyDescent="0.3">
      <c r="A1304">
        <v>33</v>
      </c>
      <c r="B1304" t="s">
        <v>54</v>
      </c>
      <c r="C1304">
        <v>22</v>
      </c>
      <c r="D1304" s="3"/>
      <c r="E1304">
        <f>IF(C1304="","",VLOOKUP(C1304,PointsSystem!$A$2:$B$41,2,FALSE()))</f>
        <v>15</v>
      </c>
    </row>
    <row r="1305" spans="1:5" x14ac:dyDescent="0.3">
      <c r="A1305">
        <v>33</v>
      </c>
      <c r="B1305" t="s">
        <v>54</v>
      </c>
      <c r="C1305">
        <v>23</v>
      </c>
      <c r="D1305" s="3"/>
      <c r="E1305">
        <f>IF(C1305="","",VLOOKUP(C1305,PointsSystem!$A$2:$B$41,2,FALSE()))</f>
        <v>14</v>
      </c>
    </row>
    <row r="1306" spans="1:5" x14ac:dyDescent="0.3">
      <c r="A1306">
        <v>33</v>
      </c>
      <c r="B1306" t="s">
        <v>54</v>
      </c>
      <c r="C1306">
        <v>24</v>
      </c>
      <c r="D1306" s="3"/>
      <c r="E1306">
        <f>IF(C1306="","",VLOOKUP(C1306,PointsSystem!$A$2:$B$41,2,FALSE()))</f>
        <v>13</v>
      </c>
    </row>
    <row r="1307" spans="1:5" x14ac:dyDescent="0.3">
      <c r="A1307">
        <v>33</v>
      </c>
      <c r="B1307" t="s">
        <v>54</v>
      </c>
      <c r="C1307">
        <v>25</v>
      </c>
      <c r="D1307" s="3"/>
      <c r="E1307">
        <f>IF(C1307="","",VLOOKUP(C1307,PointsSystem!$A$2:$B$41,2,FALSE()))</f>
        <v>12</v>
      </c>
    </row>
    <row r="1308" spans="1:5" x14ac:dyDescent="0.3">
      <c r="A1308">
        <v>33</v>
      </c>
      <c r="B1308" t="s">
        <v>54</v>
      </c>
      <c r="C1308">
        <v>26</v>
      </c>
      <c r="D1308" s="3"/>
      <c r="E1308">
        <f>IF(C1308="","",VLOOKUP(C1308,PointsSystem!$A$2:$B$41,2,FALSE()))</f>
        <v>11</v>
      </c>
    </row>
    <row r="1309" spans="1:5" x14ac:dyDescent="0.3">
      <c r="A1309">
        <v>33</v>
      </c>
      <c r="B1309" t="s">
        <v>54</v>
      </c>
      <c r="C1309">
        <v>27</v>
      </c>
      <c r="D1309" s="3"/>
      <c r="E1309">
        <f>IF(C1309="","",VLOOKUP(C1309,PointsSystem!$A$2:$B$41,2,FALSE()))</f>
        <v>10</v>
      </c>
    </row>
    <row r="1310" spans="1:5" x14ac:dyDescent="0.3">
      <c r="A1310">
        <v>33</v>
      </c>
      <c r="B1310" t="s">
        <v>54</v>
      </c>
      <c r="C1310">
        <v>28</v>
      </c>
      <c r="D1310" s="3"/>
      <c r="E1310">
        <f>IF(C1310="","",VLOOKUP(C1310,PointsSystem!$A$2:$B$41,2,FALSE()))</f>
        <v>9</v>
      </c>
    </row>
    <row r="1311" spans="1:5" x14ac:dyDescent="0.3">
      <c r="A1311">
        <v>33</v>
      </c>
      <c r="B1311" t="s">
        <v>54</v>
      </c>
      <c r="C1311">
        <v>29</v>
      </c>
      <c r="D1311" s="3"/>
      <c r="E1311">
        <f>IF(C1311="","",VLOOKUP(C1311,PointsSystem!$A$2:$B$41,2,FALSE()))</f>
        <v>8</v>
      </c>
    </row>
    <row r="1312" spans="1:5" x14ac:dyDescent="0.3">
      <c r="A1312">
        <v>33</v>
      </c>
      <c r="B1312" t="s">
        <v>54</v>
      </c>
      <c r="C1312">
        <v>30</v>
      </c>
      <c r="D1312" s="3"/>
      <c r="E1312">
        <f>IF(C1312="","",VLOOKUP(C1312,PointsSystem!$A$2:$B$41,2,FALSE()))</f>
        <v>7</v>
      </c>
    </row>
    <row r="1313" spans="1:5" x14ac:dyDescent="0.3">
      <c r="A1313">
        <v>33</v>
      </c>
      <c r="B1313" t="s">
        <v>54</v>
      </c>
      <c r="C1313">
        <v>31</v>
      </c>
      <c r="D1313" s="3"/>
      <c r="E1313">
        <f>IF(C1313="","",VLOOKUP(C1313,PointsSystem!$A$2:$B$41,2,FALSE()))</f>
        <v>6</v>
      </c>
    </row>
    <row r="1314" spans="1:5" x14ac:dyDescent="0.3">
      <c r="A1314">
        <v>33</v>
      </c>
      <c r="B1314" t="s">
        <v>54</v>
      </c>
      <c r="C1314">
        <v>32</v>
      </c>
      <c r="D1314" s="3"/>
      <c r="E1314">
        <f>IF(C1314="","",VLOOKUP(C1314,PointsSystem!$A$2:$B$41,2,FALSE()))</f>
        <v>5</v>
      </c>
    </row>
    <row r="1315" spans="1:5" x14ac:dyDescent="0.3">
      <c r="A1315">
        <v>33</v>
      </c>
      <c r="B1315" t="s">
        <v>54</v>
      </c>
      <c r="C1315">
        <v>33</v>
      </c>
      <c r="D1315" s="3"/>
      <c r="E1315">
        <f>IF(C1315="","",VLOOKUP(C1315,PointsSystem!$A$2:$B$41,2,FALSE()))</f>
        <v>4</v>
      </c>
    </row>
    <row r="1316" spans="1:5" x14ac:dyDescent="0.3">
      <c r="A1316">
        <v>33</v>
      </c>
      <c r="B1316" t="s">
        <v>54</v>
      </c>
      <c r="C1316">
        <v>34</v>
      </c>
      <c r="D1316" s="3"/>
      <c r="E1316">
        <f>IF(C1316="","",VLOOKUP(C1316,PointsSystem!$A$2:$B$41,2,FALSE()))</f>
        <v>3</v>
      </c>
    </row>
    <row r="1317" spans="1:5" x14ac:dyDescent="0.3">
      <c r="A1317">
        <v>33</v>
      </c>
      <c r="B1317" t="s">
        <v>54</v>
      </c>
      <c r="C1317">
        <v>35</v>
      </c>
      <c r="D1317" s="3"/>
      <c r="E1317">
        <f>IF(C1317="","",VLOOKUP(C1317,PointsSystem!$A$2:$B$41,2,FALSE()))</f>
        <v>2</v>
      </c>
    </row>
    <row r="1318" spans="1:5" x14ac:dyDescent="0.3">
      <c r="A1318">
        <v>33</v>
      </c>
      <c r="B1318" t="s">
        <v>54</v>
      </c>
      <c r="C1318">
        <v>36</v>
      </c>
      <c r="D1318" s="3"/>
      <c r="E1318">
        <f>IF(C1318="","",VLOOKUP(C1318,PointsSystem!$A$2:$B$41,2,FALSE()))</f>
        <v>1</v>
      </c>
    </row>
    <row r="1319" spans="1:5" x14ac:dyDescent="0.3">
      <c r="A1319">
        <v>33</v>
      </c>
      <c r="B1319" t="s">
        <v>54</v>
      </c>
      <c r="C1319">
        <v>37</v>
      </c>
      <c r="D1319" s="3"/>
      <c r="E1319">
        <f>IF(C1319="","",VLOOKUP(C1319,PointsSystem!$A$2:$B$41,2,FALSE()))</f>
        <v>1</v>
      </c>
    </row>
    <row r="1320" spans="1:5" x14ac:dyDescent="0.3">
      <c r="A1320">
        <v>33</v>
      </c>
      <c r="B1320" t="s">
        <v>54</v>
      </c>
      <c r="C1320">
        <v>38</v>
      </c>
      <c r="D1320" s="3"/>
      <c r="E1320">
        <f>IF(C1320="","",VLOOKUP(C1320,PointsSystem!$A$2:$B$41,2,FALSE()))</f>
        <v>1</v>
      </c>
    </row>
    <row r="1321" spans="1:5" x14ac:dyDescent="0.3">
      <c r="A1321">
        <v>33</v>
      </c>
      <c r="B1321" t="s">
        <v>54</v>
      </c>
      <c r="C1321">
        <v>39</v>
      </c>
      <c r="D1321" s="3"/>
      <c r="E1321">
        <f>IF(C1321="","",VLOOKUP(C1321,PointsSystem!$A$2:$B$41,2,FALSE()))</f>
        <v>1</v>
      </c>
    </row>
    <row r="1322" spans="1:5" x14ac:dyDescent="0.3">
      <c r="A1322">
        <v>33</v>
      </c>
      <c r="B1322" t="s">
        <v>54</v>
      </c>
      <c r="C1322">
        <v>40</v>
      </c>
      <c r="D1322" s="3"/>
      <c r="E1322">
        <f>IF(C1322="","",VLOOKUP(C1322,PointsSystem!$A$2:$B$41,2,FALSE()))</f>
        <v>1</v>
      </c>
    </row>
    <row r="1323" spans="1:5" x14ac:dyDescent="0.3">
      <c r="A1323">
        <v>34</v>
      </c>
      <c r="B1323" t="s">
        <v>67</v>
      </c>
      <c r="C1323">
        <v>1</v>
      </c>
      <c r="D1323" s="3"/>
      <c r="E1323">
        <f>IF(C1323="","",VLOOKUP(C1323,PointsSystem!$A$2:$B$41,2,FALSE()))</f>
        <v>55</v>
      </c>
    </row>
    <row r="1324" spans="1:5" x14ac:dyDescent="0.3">
      <c r="A1324">
        <v>34</v>
      </c>
      <c r="B1324" t="s">
        <v>67</v>
      </c>
      <c r="C1324">
        <v>2</v>
      </c>
      <c r="D1324" s="3"/>
      <c r="E1324">
        <f>IF(C1324="","",VLOOKUP(C1324,PointsSystem!$A$2:$B$41,2,FALSE()))</f>
        <v>35</v>
      </c>
    </row>
    <row r="1325" spans="1:5" x14ac:dyDescent="0.3">
      <c r="A1325">
        <v>34</v>
      </c>
      <c r="B1325" t="s">
        <v>67</v>
      </c>
      <c r="C1325">
        <v>3</v>
      </c>
      <c r="D1325" s="3"/>
      <c r="E1325">
        <f>IF(C1325="","",VLOOKUP(C1325,PointsSystem!$A$2:$B$41,2,FALSE()))</f>
        <v>34</v>
      </c>
    </row>
    <row r="1326" spans="1:5" x14ac:dyDescent="0.3">
      <c r="A1326">
        <v>34</v>
      </c>
      <c r="B1326" t="s">
        <v>67</v>
      </c>
      <c r="C1326">
        <v>4</v>
      </c>
      <c r="D1326" s="3"/>
      <c r="E1326">
        <f>IF(C1326="","",VLOOKUP(C1326,PointsSystem!$A$2:$B$41,2,FALSE()))</f>
        <v>33</v>
      </c>
    </row>
    <row r="1327" spans="1:5" x14ac:dyDescent="0.3">
      <c r="A1327">
        <v>34</v>
      </c>
      <c r="B1327" t="s">
        <v>67</v>
      </c>
      <c r="C1327">
        <v>5</v>
      </c>
      <c r="D1327" s="3"/>
      <c r="E1327">
        <f>IF(C1327="","",VLOOKUP(C1327,PointsSystem!$A$2:$B$41,2,FALSE()))</f>
        <v>32</v>
      </c>
    </row>
    <row r="1328" spans="1:5" x14ac:dyDescent="0.3">
      <c r="A1328">
        <v>34</v>
      </c>
      <c r="B1328" t="s">
        <v>67</v>
      </c>
      <c r="C1328">
        <v>6</v>
      </c>
      <c r="D1328" s="3"/>
      <c r="E1328">
        <f>IF(C1328="","",VLOOKUP(C1328,PointsSystem!$A$2:$B$41,2,FALSE()))</f>
        <v>31</v>
      </c>
    </row>
    <row r="1329" spans="1:5" x14ac:dyDescent="0.3">
      <c r="A1329">
        <v>34</v>
      </c>
      <c r="B1329" t="s">
        <v>67</v>
      </c>
      <c r="C1329">
        <v>7</v>
      </c>
      <c r="D1329" s="3"/>
      <c r="E1329">
        <f>IF(C1329="","",VLOOKUP(C1329,PointsSystem!$A$2:$B$41,2,FALSE()))</f>
        <v>30</v>
      </c>
    </row>
    <row r="1330" spans="1:5" x14ac:dyDescent="0.3">
      <c r="A1330">
        <v>34</v>
      </c>
      <c r="B1330" t="s">
        <v>67</v>
      </c>
      <c r="C1330">
        <v>8</v>
      </c>
      <c r="D1330" s="3"/>
      <c r="E1330">
        <f>IF(C1330="","",VLOOKUP(C1330,PointsSystem!$A$2:$B$41,2,FALSE()))</f>
        <v>29</v>
      </c>
    </row>
    <row r="1331" spans="1:5" x14ac:dyDescent="0.3">
      <c r="A1331">
        <v>34</v>
      </c>
      <c r="B1331" t="s">
        <v>67</v>
      </c>
      <c r="C1331">
        <v>9</v>
      </c>
      <c r="D1331" s="3"/>
      <c r="E1331">
        <f>IF(C1331="","",VLOOKUP(C1331,PointsSystem!$A$2:$B$41,2,FALSE()))</f>
        <v>28</v>
      </c>
    </row>
    <row r="1332" spans="1:5" x14ac:dyDescent="0.3">
      <c r="A1332">
        <v>34</v>
      </c>
      <c r="B1332" t="s">
        <v>67</v>
      </c>
      <c r="C1332">
        <v>10</v>
      </c>
      <c r="D1332" s="3"/>
      <c r="E1332">
        <f>IF(C1332="","",VLOOKUP(C1332,PointsSystem!$A$2:$B$41,2,FALSE()))</f>
        <v>27</v>
      </c>
    </row>
    <row r="1333" spans="1:5" x14ac:dyDescent="0.3">
      <c r="A1333">
        <v>34</v>
      </c>
      <c r="B1333" t="s">
        <v>67</v>
      </c>
      <c r="C1333">
        <v>11</v>
      </c>
      <c r="D1333" s="3"/>
      <c r="E1333">
        <f>IF(C1333="","",VLOOKUP(C1333,PointsSystem!$A$2:$B$41,2,FALSE()))</f>
        <v>26</v>
      </c>
    </row>
    <row r="1334" spans="1:5" x14ac:dyDescent="0.3">
      <c r="A1334">
        <v>34</v>
      </c>
      <c r="B1334" t="s">
        <v>67</v>
      </c>
      <c r="C1334">
        <v>12</v>
      </c>
      <c r="D1334" s="3"/>
      <c r="E1334">
        <f>IF(C1334="","",VLOOKUP(C1334,PointsSystem!$A$2:$B$41,2,FALSE()))</f>
        <v>25</v>
      </c>
    </row>
    <row r="1335" spans="1:5" x14ac:dyDescent="0.3">
      <c r="A1335">
        <v>34</v>
      </c>
      <c r="B1335" t="s">
        <v>67</v>
      </c>
      <c r="C1335">
        <v>13</v>
      </c>
      <c r="D1335" s="3"/>
      <c r="E1335">
        <f>IF(C1335="","",VLOOKUP(C1335,PointsSystem!$A$2:$B$41,2,FALSE()))</f>
        <v>24</v>
      </c>
    </row>
    <row r="1336" spans="1:5" x14ac:dyDescent="0.3">
      <c r="A1336">
        <v>34</v>
      </c>
      <c r="B1336" t="s">
        <v>67</v>
      </c>
      <c r="C1336">
        <v>14</v>
      </c>
      <c r="D1336" s="3"/>
      <c r="E1336">
        <f>IF(C1336="","",VLOOKUP(C1336,PointsSystem!$A$2:$B$41,2,FALSE()))</f>
        <v>23</v>
      </c>
    </row>
    <row r="1337" spans="1:5" x14ac:dyDescent="0.3">
      <c r="A1337">
        <v>34</v>
      </c>
      <c r="B1337" t="s">
        <v>67</v>
      </c>
      <c r="C1337">
        <v>15</v>
      </c>
      <c r="D1337" s="3"/>
      <c r="E1337">
        <f>IF(C1337="","",VLOOKUP(C1337,PointsSystem!$A$2:$B$41,2,FALSE()))</f>
        <v>22</v>
      </c>
    </row>
    <row r="1338" spans="1:5" x14ac:dyDescent="0.3">
      <c r="A1338">
        <v>34</v>
      </c>
      <c r="B1338" t="s">
        <v>67</v>
      </c>
      <c r="C1338">
        <v>16</v>
      </c>
      <c r="D1338" s="3"/>
      <c r="E1338">
        <f>IF(C1338="","",VLOOKUP(C1338,PointsSystem!$A$2:$B$41,2,FALSE()))</f>
        <v>21</v>
      </c>
    </row>
    <row r="1339" spans="1:5" x14ac:dyDescent="0.3">
      <c r="A1339">
        <v>34</v>
      </c>
      <c r="B1339" t="s">
        <v>67</v>
      </c>
      <c r="C1339">
        <v>17</v>
      </c>
      <c r="D1339" s="3"/>
      <c r="E1339">
        <f>IF(C1339="","",VLOOKUP(C1339,PointsSystem!$A$2:$B$41,2,FALSE()))</f>
        <v>20</v>
      </c>
    </row>
    <row r="1340" spans="1:5" x14ac:dyDescent="0.3">
      <c r="A1340">
        <v>34</v>
      </c>
      <c r="B1340" t="s">
        <v>67</v>
      </c>
      <c r="C1340">
        <v>18</v>
      </c>
      <c r="D1340" s="3"/>
      <c r="E1340">
        <f>IF(C1340="","",VLOOKUP(C1340,PointsSystem!$A$2:$B$41,2,FALSE()))</f>
        <v>19</v>
      </c>
    </row>
    <row r="1341" spans="1:5" x14ac:dyDescent="0.3">
      <c r="A1341">
        <v>34</v>
      </c>
      <c r="B1341" t="s">
        <v>67</v>
      </c>
      <c r="C1341">
        <v>19</v>
      </c>
      <c r="D1341" s="3"/>
      <c r="E1341">
        <f>IF(C1341="","",VLOOKUP(C1341,PointsSystem!$A$2:$B$41,2,FALSE()))</f>
        <v>18</v>
      </c>
    </row>
    <row r="1342" spans="1:5" x14ac:dyDescent="0.3">
      <c r="A1342">
        <v>34</v>
      </c>
      <c r="B1342" t="s">
        <v>67</v>
      </c>
      <c r="C1342">
        <v>20</v>
      </c>
      <c r="D1342" s="3"/>
      <c r="E1342">
        <f>IF(C1342="","",VLOOKUP(C1342,PointsSystem!$A$2:$B$41,2,FALSE()))</f>
        <v>17</v>
      </c>
    </row>
    <row r="1343" spans="1:5" x14ac:dyDescent="0.3">
      <c r="A1343">
        <v>34</v>
      </c>
      <c r="B1343" t="s">
        <v>67</v>
      </c>
      <c r="C1343">
        <v>21</v>
      </c>
      <c r="D1343" s="3"/>
      <c r="E1343">
        <f>IF(C1343="","",VLOOKUP(C1343,PointsSystem!$A$2:$B$41,2,FALSE()))</f>
        <v>16</v>
      </c>
    </row>
    <row r="1344" spans="1:5" x14ac:dyDescent="0.3">
      <c r="A1344">
        <v>34</v>
      </c>
      <c r="B1344" t="s">
        <v>67</v>
      </c>
      <c r="C1344">
        <v>22</v>
      </c>
      <c r="D1344" s="3"/>
      <c r="E1344">
        <f>IF(C1344="","",VLOOKUP(C1344,PointsSystem!$A$2:$B$41,2,FALSE()))</f>
        <v>15</v>
      </c>
    </row>
    <row r="1345" spans="1:5" x14ac:dyDescent="0.3">
      <c r="A1345">
        <v>34</v>
      </c>
      <c r="B1345" t="s">
        <v>67</v>
      </c>
      <c r="C1345">
        <v>23</v>
      </c>
      <c r="D1345" s="3"/>
      <c r="E1345">
        <f>IF(C1345="","",VLOOKUP(C1345,PointsSystem!$A$2:$B$41,2,FALSE()))</f>
        <v>14</v>
      </c>
    </row>
    <row r="1346" spans="1:5" x14ac:dyDescent="0.3">
      <c r="A1346">
        <v>34</v>
      </c>
      <c r="B1346" t="s">
        <v>67</v>
      </c>
      <c r="C1346">
        <v>24</v>
      </c>
      <c r="D1346" s="3"/>
      <c r="E1346">
        <f>IF(C1346="","",VLOOKUP(C1346,PointsSystem!$A$2:$B$41,2,FALSE()))</f>
        <v>13</v>
      </c>
    </row>
    <row r="1347" spans="1:5" x14ac:dyDescent="0.3">
      <c r="A1347">
        <v>34</v>
      </c>
      <c r="B1347" t="s">
        <v>67</v>
      </c>
      <c r="C1347">
        <v>25</v>
      </c>
      <c r="D1347" s="3"/>
      <c r="E1347">
        <f>IF(C1347="","",VLOOKUP(C1347,PointsSystem!$A$2:$B$41,2,FALSE()))</f>
        <v>12</v>
      </c>
    </row>
    <row r="1348" spans="1:5" x14ac:dyDescent="0.3">
      <c r="A1348">
        <v>34</v>
      </c>
      <c r="B1348" t="s">
        <v>67</v>
      </c>
      <c r="C1348">
        <v>26</v>
      </c>
      <c r="D1348" s="3"/>
      <c r="E1348">
        <f>IF(C1348="","",VLOOKUP(C1348,PointsSystem!$A$2:$B$41,2,FALSE()))</f>
        <v>11</v>
      </c>
    </row>
    <row r="1349" spans="1:5" x14ac:dyDescent="0.3">
      <c r="A1349">
        <v>34</v>
      </c>
      <c r="B1349" t="s">
        <v>67</v>
      </c>
      <c r="C1349">
        <v>27</v>
      </c>
      <c r="D1349" s="3"/>
      <c r="E1349">
        <f>IF(C1349="","",VLOOKUP(C1349,PointsSystem!$A$2:$B$41,2,FALSE()))</f>
        <v>10</v>
      </c>
    </row>
    <row r="1350" spans="1:5" x14ac:dyDescent="0.3">
      <c r="A1350">
        <v>34</v>
      </c>
      <c r="B1350" t="s">
        <v>67</v>
      </c>
      <c r="C1350">
        <v>28</v>
      </c>
      <c r="D1350" s="3"/>
      <c r="E1350">
        <f>IF(C1350="","",VLOOKUP(C1350,PointsSystem!$A$2:$B$41,2,FALSE()))</f>
        <v>9</v>
      </c>
    </row>
    <row r="1351" spans="1:5" x14ac:dyDescent="0.3">
      <c r="A1351">
        <v>34</v>
      </c>
      <c r="B1351" t="s">
        <v>67</v>
      </c>
      <c r="C1351">
        <v>29</v>
      </c>
      <c r="D1351" s="3"/>
      <c r="E1351">
        <f>IF(C1351="","",VLOOKUP(C1351,PointsSystem!$A$2:$B$41,2,FALSE()))</f>
        <v>8</v>
      </c>
    </row>
    <row r="1352" spans="1:5" x14ac:dyDescent="0.3">
      <c r="A1352">
        <v>34</v>
      </c>
      <c r="B1352" t="s">
        <v>67</v>
      </c>
      <c r="C1352">
        <v>30</v>
      </c>
      <c r="D1352" s="3"/>
      <c r="E1352">
        <f>IF(C1352="","",VLOOKUP(C1352,PointsSystem!$A$2:$B$41,2,FALSE()))</f>
        <v>7</v>
      </c>
    </row>
    <row r="1353" spans="1:5" x14ac:dyDescent="0.3">
      <c r="A1353">
        <v>34</v>
      </c>
      <c r="B1353" t="s">
        <v>67</v>
      </c>
      <c r="C1353">
        <v>31</v>
      </c>
      <c r="D1353" s="3"/>
      <c r="E1353">
        <f>IF(C1353="","",VLOOKUP(C1353,PointsSystem!$A$2:$B$41,2,FALSE()))</f>
        <v>6</v>
      </c>
    </row>
    <row r="1354" spans="1:5" x14ac:dyDescent="0.3">
      <c r="A1354">
        <v>34</v>
      </c>
      <c r="B1354" t="s">
        <v>67</v>
      </c>
      <c r="C1354">
        <v>32</v>
      </c>
      <c r="D1354" s="3"/>
      <c r="E1354">
        <f>IF(C1354="","",VLOOKUP(C1354,PointsSystem!$A$2:$B$41,2,FALSE()))</f>
        <v>5</v>
      </c>
    </row>
    <row r="1355" spans="1:5" x14ac:dyDescent="0.3">
      <c r="A1355">
        <v>34</v>
      </c>
      <c r="B1355" t="s">
        <v>67</v>
      </c>
      <c r="C1355">
        <v>33</v>
      </c>
      <c r="D1355" s="3"/>
      <c r="E1355">
        <f>IF(C1355="","",VLOOKUP(C1355,PointsSystem!$A$2:$B$41,2,FALSE()))</f>
        <v>4</v>
      </c>
    </row>
    <row r="1356" spans="1:5" x14ac:dyDescent="0.3">
      <c r="A1356">
        <v>34</v>
      </c>
      <c r="B1356" t="s">
        <v>67</v>
      </c>
      <c r="C1356">
        <v>34</v>
      </c>
      <c r="D1356" s="3"/>
      <c r="E1356">
        <f>IF(C1356="","",VLOOKUP(C1356,PointsSystem!$A$2:$B$41,2,FALSE()))</f>
        <v>3</v>
      </c>
    </row>
    <row r="1357" spans="1:5" x14ac:dyDescent="0.3">
      <c r="A1357">
        <v>34</v>
      </c>
      <c r="B1357" t="s">
        <v>67</v>
      </c>
      <c r="C1357">
        <v>35</v>
      </c>
      <c r="D1357" s="3"/>
      <c r="E1357">
        <f>IF(C1357="","",VLOOKUP(C1357,PointsSystem!$A$2:$B$41,2,FALSE()))</f>
        <v>2</v>
      </c>
    </row>
    <row r="1358" spans="1:5" x14ac:dyDescent="0.3">
      <c r="A1358">
        <v>34</v>
      </c>
      <c r="B1358" t="s">
        <v>67</v>
      </c>
      <c r="C1358">
        <v>36</v>
      </c>
      <c r="D1358" s="3"/>
      <c r="E1358">
        <f>IF(C1358="","",VLOOKUP(C1358,PointsSystem!$A$2:$B$41,2,FALSE()))</f>
        <v>1</v>
      </c>
    </row>
    <row r="1359" spans="1:5" x14ac:dyDescent="0.3">
      <c r="A1359">
        <v>34</v>
      </c>
      <c r="B1359" t="s">
        <v>67</v>
      </c>
      <c r="C1359">
        <v>37</v>
      </c>
      <c r="D1359" s="3"/>
      <c r="E1359">
        <f>IF(C1359="","",VLOOKUP(C1359,PointsSystem!$A$2:$B$41,2,FALSE()))</f>
        <v>1</v>
      </c>
    </row>
    <row r="1360" spans="1:5" x14ac:dyDescent="0.3">
      <c r="A1360">
        <v>34</v>
      </c>
      <c r="B1360" t="s">
        <v>67</v>
      </c>
      <c r="C1360">
        <v>38</v>
      </c>
      <c r="D1360" s="3"/>
      <c r="E1360">
        <f>IF(C1360="","",VLOOKUP(C1360,PointsSystem!$A$2:$B$41,2,FALSE()))</f>
        <v>1</v>
      </c>
    </row>
    <row r="1361" spans="1:5" x14ac:dyDescent="0.3">
      <c r="A1361">
        <v>34</v>
      </c>
      <c r="B1361" t="s">
        <v>67</v>
      </c>
      <c r="C1361">
        <v>39</v>
      </c>
      <c r="D1361" s="3"/>
      <c r="E1361">
        <f>IF(C1361="","",VLOOKUP(C1361,PointsSystem!$A$2:$B$41,2,FALSE()))</f>
        <v>1</v>
      </c>
    </row>
    <row r="1362" spans="1:5" x14ac:dyDescent="0.3">
      <c r="A1362">
        <v>34</v>
      </c>
      <c r="B1362" t="s">
        <v>67</v>
      </c>
      <c r="C1362">
        <v>40</v>
      </c>
      <c r="D1362" s="3"/>
      <c r="E1362">
        <f>IF(C1362="","",VLOOKUP(C1362,PointsSystem!$A$2:$B$41,2,FALSE()))</f>
        <v>1</v>
      </c>
    </row>
    <row r="1363" spans="1:5" x14ac:dyDescent="0.3">
      <c r="A1363">
        <v>35</v>
      </c>
      <c r="B1363" t="s">
        <v>61</v>
      </c>
      <c r="C1363">
        <v>1</v>
      </c>
      <c r="D1363" s="3"/>
      <c r="E1363">
        <f>IF(C1363="","",VLOOKUP(C1363,PointsSystem!$A$2:$B$41,2,FALSE()))</f>
        <v>55</v>
      </c>
    </row>
    <row r="1364" spans="1:5" x14ac:dyDescent="0.3">
      <c r="A1364">
        <v>35</v>
      </c>
      <c r="B1364" t="s">
        <v>61</v>
      </c>
      <c r="C1364">
        <v>2</v>
      </c>
      <c r="D1364" s="3"/>
      <c r="E1364">
        <f>IF(C1364="","",VLOOKUP(C1364,PointsSystem!$A$2:$B$41,2,FALSE()))</f>
        <v>35</v>
      </c>
    </row>
    <row r="1365" spans="1:5" x14ac:dyDescent="0.3">
      <c r="A1365">
        <v>35</v>
      </c>
      <c r="B1365" t="s">
        <v>61</v>
      </c>
      <c r="C1365">
        <v>3</v>
      </c>
      <c r="D1365" s="3"/>
      <c r="E1365">
        <f>IF(C1365="","",VLOOKUP(C1365,PointsSystem!$A$2:$B$41,2,FALSE()))</f>
        <v>34</v>
      </c>
    </row>
    <row r="1366" spans="1:5" x14ac:dyDescent="0.3">
      <c r="A1366">
        <v>35</v>
      </c>
      <c r="B1366" t="s">
        <v>61</v>
      </c>
      <c r="C1366">
        <v>4</v>
      </c>
      <c r="D1366" s="3"/>
      <c r="E1366">
        <f>IF(C1366="","",VLOOKUP(C1366,PointsSystem!$A$2:$B$41,2,FALSE()))</f>
        <v>33</v>
      </c>
    </row>
    <row r="1367" spans="1:5" x14ac:dyDescent="0.3">
      <c r="A1367">
        <v>35</v>
      </c>
      <c r="B1367" t="s">
        <v>61</v>
      </c>
      <c r="C1367">
        <v>5</v>
      </c>
      <c r="D1367" s="3"/>
      <c r="E1367">
        <f>IF(C1367="","",VLOOKUP(C1367,PointsSystem!$A$2:$B$41,2,FALSE()))</f>
        <v>32</v>
      </c>
    </row>
    <row r="1368" spans="1:5" x14ac:dyDescent="0.3">
      <c r="A1368">
        <v>35</v>
      </c>
      <c r="B1368" t="s">
        <v>61</v>
      </c>
      <c r="C1368">
        <v>6</v>
      </c>
      <c r="D1368" s="3"/>
      <c r="E1368">
        <f>IF(C1368="","",VLOOKUP(C1368,PointsSystem!$A$2:$B$41,2,FALSE()))</f>
        <v>31</v>
      </c>
    </row>
    <row r="1369" spans="1:5" x14ac:dyDescent="0.3">
      <c r="A1369">
        <v>35</v>
      </c>
      <c r="B1369" t="s">
        <v>61</v>
      </c>
      <c r="C1369">
        <v>7</v>
      </c>
      <c r="D1369" s="3"/>
      <c r="E1369">
        <f>IF(C1369="","",VLOOKUP(C1369,PointsSystem!$A$2:$B$41,2,FALSE()))</f>
        <v>30</v>
      </c>
    </row>
    <row r="1370" spans="1:5" x14ac:dyDescent="0.3">
      <c r="A1370">
        <v>35</v>
      </c>
      <c r="B1370" t="s">
        <v>61</v>
      </c>
      <c r="C1370">
        <v>8</v>
      </c>
      <c r="D1370" s="3"/>
      <c r="E1370">
        <f>IF(C1370="","",VLOOKUP(C1370,PointsSystem!$A$2:$B$41,2,FALSE()))</f>
        <v>29</v>
      </c>
    </row>
    <row r="1371" spans="1:5" x14ac:dyDescent="0.3">
      <c r="A1371">
        <v>35</v>
      </c>
      <c r="B1371" t="s">
        <v>61</v>
      </c>
      <c r="C1371">
        <v>9</v>
      </c>
      <c r="D1371" s="3"/>
      <c r="E1371">
        <f>IF(C1371="","",VLOOKUP(C1371,PointsSystem!$A$2:$B$41,2,FALSE()))</f>
        <v>28</v>
      </c>
    </row>
    <row r="1372" spans="1:5" x14ac:dyDescent="0.3">
      <c r="A1372">
        <v>35</v>
      </c>
      <c r="B1372" t="s">
        <v>61</v>
      </c>
      <c r="C1372">
        <v>10</v>
      </c>
      <c r="D1372" s="3"/>
      <c r="E1372">
        <f>IF(C1372="","",VLOOKUP(C1372,PointsSystem!$A$2:$B$41,2,FALSE()))</f>
        <v>27</v>
      </c>
    </row>
    <row r="1373" spans="1:5" x14ac:dyDescent="0.3">
      <c r="A1373">
        <v>35</v>
      </c>
      <c r="B1373" t="s">
        <v>61</v>
      </c>
      <c r="C1373">
        <v>11</v>
      </c>
      <c r="D1373" s="3"/>
      <c r="E1373">
        <f>IF(C1373="","",VLOOKUP(C1373,PointsSystem!$A$2:$B$41,2,FALSE()))</f>
        <v>26</v>
      </c>
    </row>
    <row r="1374" spans="1:5" x14ac:dyDescent="0.3">
      <c r="A1374">
        <v>35</v>
      </c>
      <c r="B1374" t="s">
        <v>61</v>
      </c>
      <c r="C1374">
        <v>12</v>
      </c>
      <c r="D1374" s="3"/>
      <c r="E1374">
        <f>IF(C1374="","",VLOOKUP(C1374,PointsSystem!$A$2:$B$41,2,FALSE()))</f>
        <v>25</v>
      </c>
    </row>
    <row r="1375" spans="1:5" x14ac:dyDescent="0.3">
      <c r="A1375">
        <v>35</v>
      </c>
      <c r="B1375" t="s">
        <v>61</v>
      </c>
      <c r="C1375">
        <v>13</v>
      </c>
      <c r="D1375" s="3"/>
      <c r="E1375">
        <f>IF(C1375="","",VLOOKUP(C1375,PointsSystem!$A$2:$B$41,2,FALSE()))</f>
        <v>24</v>
      </c>
    </row>
    <row r="1376" spans="1:5" x14ac:dyDescent="0.3">
      <c r="A1376">
        <v>35</v>
      </c>
      <c r="B1376" t="s">
        <v>61</v>
      </c>
      <c r="C1376">
        <v>14</v>
      </c>
      <c r="D1376" s="3"/>
      <c r="E1376">
        <f>IF(C1376="","",VLOOKUP(C1376,PointsSystem!$A$2:$B$41,2,FALSE()))</f>
        <v>23</v>
      </c>
    </row>
    <row r="1377" spans="1:5" x14ac:dyDescent="0.3">
      <c r="A1377">
        <v>35</v>
      </c>
      <c r="B1377" t="s">
        <v>61</v>
      </c>
      <c r="C1377">
        <v>15</v>
      </c>
      <c r="D1377" s="3"/>
      <c r="E1377">
        <f>IF(C1377="","",VLOOKUP(C1377,PointsSystem!$A$2:$B$41,2,FALSE()))</f>
        <v>22</v>
      </c>
    </row>
    <row r="1378" spans="1:5" x14ac:dyDescent="0.3">
      <c r="A1378">
        <v>35</v>
      </c>
      <c r="B1378" t="s">
        <v>61</v>
      </c>
      <c r="C1378">
        <v>16</v>
      </c>
      <c r="D1378" s="3"/>
      <c r="E1378">
        <f>IF(C1378="","",VLOOKUP(C1378,PointsSystem!$A$2:$B$41,2,FALSE()))</f>
        <v>21</v>
      </c>
    </row>
    <row r="1379" spans="1:5" x14ac:dyDescent="0.3">
      <c r="A1379">
        <v>35</v>
      </c>
      <c r="B1379" t="s">
        <v>61</v>
      </c>
      <c r="C1379">
        <v>17</v>
      </c>
      <c r="D1379" s="3"/>
      <c r="E1379">
        <f>IF(C1379="","",VLOOKUP(C1379,PointsSystem!$A$2:$B$41,2,FALSE()))</f>
        <v>20</v>
      </c>
    </row>
    <row r="1380" spans="1:5" x14ac:dyDescent="0.3">
      <c r="A1380">
        <v>35</v>
      </c>
      <c r="B1380" t="s">
        <v>61</v>
      </c>
      <c r="C1380">
        <v>18</v>
      </c>
      <c r="D1380" s="3"/>
      <c r="E1380">
        <f>IF(C1380="","",VLOOKUP(C1380,PointsSystem!$A$2:$B$41,2,FALSE()))</f>
        <v>19</v>
      </c>
    </row>
    <row r="1381" spans="1:5" x14ac:dyDescent="0.3">
      <c r="A1381">
        <v>35</v>
      </c>
      <c r="B1381" t="s">
        <v>61</v>
      </c>
      <c r="C1381">
        <v>19</v>
      </c>
      <c r="D1381" s="3"/>
      <c r="E1381">
        <f>IF(C1381="","",VLOOKUP(C1381,PointsSystem!$A$2:$B$41,2,FALSE()))</f>
        <v>18</v>
      </c>
    </row>
    <row r="1382" spans="1:5" x14ac:dyDescent="0.3">
      <c r="A1382">
        <v>35</v>
      </c>
      <c r="B1382" t="s">
        <v>61</v>
      </c>
      <c r="C1382">
        <v>20</v>
      </c>
      <c r="D1382" s="3"/>
      <c r="E1382">
        <f>IF(C1382="","",VLOOKUP(C1382,PointsSystem!$A$2:$B$41,2,FALSE()))</f>
        <v>17</v>
      </c>
    </row>
    <row r="1383" spans="1:5" x14ac:dyDescent="0.3">
      <c r="A1383">
        <v>35</v>
      </c>
      <c r="B1383" t="s">
        <v>61</v>
      </c>
      <c r="C1383">
        <v>21</v>
      </c>
      <c r="D1383" s="3"/>
      <c r="E1383">
        <f>IF(C1383="","",VLOOKUP(C1383,PointsSystem!$A$2:$B$41,2,FALSE()))</f>
        <v>16</v>
      </c>
    </row>
    <row r="1384" spans="1:5" x14ac:dyDescent="0.3">
      <c r="A1384">
        <v>35</v>
      </c>
      <c r="B1384" t="s">
        <v>61</v>
      </c>
      <c r="C1384">
        <v>22</v>
      </c>
      <c r="D1384" s="3"/>
      <c r="E1384">
        <f>IF(C1384="","",VLOOKUP(C1384,PointsSystem!$A$2:$B$41,2,FALSE()))</f>
        <v>15</v>
      </c>
    </row>
    <row r="1385" spans="1:5" x14ac:dyDescent="0.3">
      <c r="A1385">
        <v>35</v>
      </c>
      <c r="B1385" t="s">
        <v>61</v>
      </c>
      <c r="C1385">
        <v>23</v>
      </c>
      <c r="D1385" s="3"/>
      <c r="E1385">
        <f>IF(C1385="","",VLOOKUP(C1385,PointsSystem!$A$2:$B$41,2,FALSE()))</f>
        <v>14</v>
      </c>
    </row>
    <row r="1386" spans="1:5" x14ac:dyDescent="0.3">
      <c r="A1386">
        <v>35</v>
      </c>
      <c r="B1386" t="s">
        <v>61</v>
      </c>
      <c r="C1386">
        <v>24</v>
      </c>
      <c r="D1386" s="3"/>
      <c r="E1386">
        <f>IF(C1386="","",VLOOKUP(C1386,PointsSystem!$A$2:$B$41,2,FALSE()))</f>
        <v>13</v>
      </c>
    </row>
    <row r="1387" spans="1:5" x14ac:dyDescent="0.3">
      <c r="A1387">
        <v>35</v>
      </c>
      <c r="B1387" t="s">
        <v>61</v>
      </c>
      <c r="C1387">
        <v>25</v>
      </c>
      <c r="D1387" s="3"/>
      <c r="E1387">
        <f>IF(C1387="","",VLOOKUP(C1387,PointsSystem!$A$2:$B$41,2,FALSE()))</f>
        <v>12</v>
      </c>
    </row>
    <row r="1388" spans="1:5" x14ac:dyDescent="0.3">
      <c r="A1388">
        <v>35</v>
      </c>
      <c r="B1388" t="s">
        <v>61</v>
      </c>
      <c r="C1388">
        <v>26</v>
      </c>
      <c r="D1388" s="3"/>
      <c r="E1388">
        <f>IF(C1388="","",VLOOKUP(C1388,PointsSystem!$A$2:$B$41,2,FALSE()))</f>
        <v>11</v>
      </c>
    </row>
    <row r="1389" spans="1:5" x14ac:dyDescent="0.3">
      <c r="A1389">
        <v>35</v>
      </c>
      <c r="B1389" t="s">
        <v>61</v>
      </c>
      <c r="C1389">
        <v>27</v>
      </c>
      <c r="D1389" s="3"/>
      <c r="E1389">
        <f>IF(C1389="","",VLOOKUP(C1389,PointsSystem!$A$2:$B$41,2,FALSE()))</f>
        <v>10</v>
      </c>
    </row>
    <row r="1390" spans="1:5" x14ac:dyDescent="0.3">
      <c r="A1390">
        <v>35</v>
      </c>
      <c r="B1390" t="s">
        <v>61</v>
      </c>
      <c r="C1390">
        <v>28</v>
      </c>
      <c r="D1390" s="3"/>
      <c r="E1390">
        <f>IF(C1390="","",VLOOKUP(C1390,PointsSystem!$A$2:$B$41,2,FALSE()))</f>
        <v>9</v>
      </c>
    </row>
    <row r="1391" spans="1:5" x14ac:dyDescent="0.3">
      <c r="A1391">
        <v>35</v>
      </c>
      <c r="B1391" t="s">
        <v>61</v>
      </c>
      <c r="C1391">
        <v>29</v>
      </c>
      <c r="D1391" s="3"/>
      <c r="E1391">
        <f>IF(C1391="","",VLOOKUP(C1391,PointsSystem!$A$2:$B$41,2,FALSE()))</f>
        <v>8</v>
      </c>
    </row>
    <row r="1392" spans="1:5" x14ac:dyDescent="0.3">
      <c r="A1392">
        <v>35</v>
      </c>
      <c r="B1392" t="s">
        <v>61</v>
      </c>
      <c r="C1392">
        <v>30</v>
      </c>
      <c r="D1392" s="3"/>
      <c r="E1392">
        <f>IF(C1392="","",VLOOKUP(C1392,PointsSystem!$A$2:$B$41,2,FALSE()))</f>
        <v>7</v>
      </c>
    </row>
    <row r="1393" spans="1:5" x14ac:dyDescent="0.3">
      <c r="A1393">
        <v>35</v>
      </c>
      <c r="B1393" t="s">
        <v>61</v>
      </c>
      <c r="C1393">
        <v>31</v>
      </c>
      <c r="D1393" s="3"/>
      <c r="E1393">
        <f>IF(C1393="","",VLOOKUP(C1393,PointsSystem!$A$2:$B$41,2,FALSE()))</f>
        <v>6</v>
      </c>
    </row>
    <row r="1394" spans="1:5" x14ac:dyDescent="0.3">
      <c r="A1394">
        <v>35</v>
      </c>
      <c r="B1394" t="s">
        <v>61</v>
      </c>
      <c r="C1394">
        <v>32</v>
      </c>
      <c r="D1394" s="3"/>
      <c r="E1394">
        <f>IF(C1394="","",VLOOKUP(C1394,PointsSystem!$A$2:$B$41,2,FALSE()))</f>
        <v>5</v>
      </c>
    </row>
    <row r="1395" spans="1:5" x14ac:dyDescent="0.3">
      <c r="A1395">
        <v>35</v>
      </c>
      <c r="B1395" t="s">
        <v>61</v>
      </c>
      <c r="C1395">
        <v>33</v>
      </c>
      <c r="D1395" s="3"/>
      <c r="E1395">
        <f>IF(C1395="","",VLOOKUP(C1395,PointsSystem!$A$2:$B$41,2,FALSE()))</f>
        <v>4</v>
      </c>
    </row>
    <row r="1396" spans="1:5" x14ac:dyDescent="0.3">
      <c r="A1396">
        <v>35</v>
      </c>
      <c r="B1396" t="s">
        <v>61</v>
      </c>
      <c r="C1396">
        <v>34</v>
      </c>
      <c r="D1396" s="3"/>
      <c r="E1396">
        <f>IF(C1396="","",VLOOKUP(C1396,PointsSystem!$A$2:$B$41,2,FALSE()))</f>
        <v>3</v>
      </c>
    </row>
    <row r="1397" spans="1:5" x14ac:dyDescent="0.3">
      <c r="A1397">
        <v>35</v>
      </c>
      <c r="B1397" t="s">
        <v>61</v>
      </c>
      <c r="C1397">
        <v>35</v>
      </c>
      <c r="D1397" s="3"/>
      <c r="E1397">
        <f>IF(C1397="","",VLOOKUP(C1397,PointsSystem!$A$2:$B$41,2,FALSE()))</f>
        <v>2</v>
      </c>
    </row>
    <row r="1398" spans="1:5" x14ac:dyDescent="0.3">
      <c r="A1398">
        <v>35</v>
      </c>
      <c r="B1398" t="s">
        <v>61</v>
      </c>
      <c r="C1398">
        <v>36</v>
      </c>
      <c r="D1398" s="3"/>
      <c r="E1398">
        <f>IF(C1398="","",VLOOKUP(C1398,PointsSystem!$A$2:$B$41,2,FALSE()))</f>
        <v>1</v>
      </c>
    </row>
    <row r="1399" spans="1:5" x14ac:dyDescent="0.3">
      <c r="A1399">
        <v>35</v>
      </c>
      <c r="B1399" t="s">
        <v>61</v>
      </c>
      <c r="C1399">
        <v>37</v>
      </c>
      <c r="D1399" s="3"/>
      <c r="E1399">
        <f>IF(C1399="","",VLOOKUP(C1399,PointsSystem!$A$2:$B$41,2,FALSE()))</f>
        <v>1</v>
      </c>
    </row>
    <row r="1400" spans="1:5" x14ac:dyDescent="0.3">
      <c r="A1400">
        <v>35</v>
      </c>
      <c r="B1400" t="s">
        <v>61</v>
      </c>
      <c r="C1400">
        <v>38</v>
      </c>
      <c r="D1400" s="3"/>
      <c r="E1400">
        <f>IF(C1400="","",VLOOKUP(C1400,PointsSystem!$A$2:$B$41,2,FALSE()))</f>
        <v>1</v>
      </c>
    </row>
    <row r="1401" spans="1:5" x14ac:dyDescent="0.3">
      <c r="A1401">
        <v>35</v>
      </c>
      <c r="B1401" t="s">
        <v>61</v>
      </c>
      <c r="C1401">
        <v>39</v>
      </c>
      <c r="D1401" s="3"/>
      <c r="E1401">
        <f>IF(C1401="","",VLOOKUP(C1401,PointsSystem!$A$2:$B$41,2,FALSE()))</f>
        <v>1</v>
      </c>
    </row>
    <row r="1402" spans="1:5" x14ac:dyDescent="0.3">
      <c r="A1402">
        <v>35</v>
      </c>
      <c r="B1402" t="s">
        <v>61</v>
      </c>
      <c r="C1402">
        <v>40</v>
      </c>
      <c r="D1402" s="3"/>
      <c r="E1402">
        <f>IF(C1402="","",VLOOKUP(C1402,PointsSystem!$A$2:$B$41,2,FALSE()))</f>
        <v>1</v>
      </c>
    </row>
    <row r="1403" spans="1:5" x14ac:dyDescent="0.3">
      <c r="A1403">
        <v>36</v>
      </c>
      <c r="B1403" t="s">
        <v>115</v>
      </c>
      <c r="C1403">
        <v>1</v>
      </c>
      <c r="D1403" s="3"/>
      <c r="E1403">
        <f>IF(C1403="","",VLOOKUP(C1403,PointsSystem!$A$2:$B$41,2,FALSE()))</f>
        <v>55</v>
      </c>
    </row>
    <row r="1404" spans="1:5" x14ac:dyDescent="0.3">
      <c r="A1404">
        <v>36</v>
      </c>
      <c r="B1404" t="s">
        <v>115</v>
      </c>
      <c r="C1404">
        <v>2</v>
      </c>
      <c r="D1404" s="3"/>
      <c r="E1404">
        <f>IF(C1404="","",VLOOKUP(C1404,PointsSystem!$A$2:$B$41,2,FALSE()))</f>
        <v>35</v>
      </c>
    </row>
    <row r="1405" spans="1:5" x14ac:dyDescent="0.3">
      <c r="A1405">
        <v>36</v>
      </c>
      <c r="B1405" t="s">
        <v>115</v>
      </c>
      <c r="C1405">
        <v>3</v>
      </c>
      <c r="D1405" s="3"/>
      <c r="E1405">
        <f>IF(C1405="","",VLOOKUP(C1405,PointsSystem!$A$2:$B$41,2,FALSE()))</f>
        <v>34</v>
      </c>
    </row>
    <row r="1406" spans="1:5" x14ac:dyDescent="0.3">
      <c r="A1406">
        <v>36</v>
      </c>
      <c r="B1406" t="s">
        <v>115</v>
      </c>
      <c r="C1406">
        <v>4</v>
      </c>
      <c r="D1406" s="3"/>
      <c r="E1406">
        <f>IF(C1406="","",VLOOKUP(C1406,PointsSystem!$A$2:$B$41,2,FALSE()))</f>
        <v>33</v>
      </c>
    </row>
    <row r="1407" spans="1:5" x14ac:dyDescent="0.3">
      <c r="A1407">
        <v>36</v>
      </c>
      <c r="B1407" t="s">
        <v>115</v>
      </c>
      <c r="C1407">
        <v>5</v>
      </c>
      <c r="D1407" s="3"/>
      <c r="E1407">
        <f>IF(C1407="","",VLOOKUP(C1407,PointsSystem!$A$2:$B$41,2,FALSE()))</f>
        <v>32</v>
      </c>
    </row>
    <row r="1408" spans="1:5" x14ac:dyDescent="0.3">
      <c r="A1408">
        <v>36</v>
      </c>
      <c r="B1408" t="s">
        <v>115</v>
      </c>
      <c r="C1408">
        <v>6</v>
      </c>
      <c r="D1408" s="3"/>
      <c r="E1408">
        <f>IF(C1408="","",VLOOKUP(C1408,PointsSystem!$A$2:$B$41,2,FALSE()))</f>
        <v>31</v>
      </c>
    </row>
    <row r="1409" spans="1:5" x14ac:dyDescent="0.3">
      <c r="A1409">
        <v>36</v>
      </c>
      <c r="B1409" t="s">
        <v>115</v>
      </c>
      <c r="C1409">
        <v>7</v>
      </c>
      <c r="D1409" s="3"/>
      <c r="E1409">
        <f>IF(C1409="","",VLOOKUP(C1409,PointsSystem!$A$2:$B$41,2,FALSE()))</f>
        <v>30</v>
      </c>
    </row>
    <row r="1410" spans="1:5" x14ac:dyDescent="0.3">
      <c r="A1410">
        <v>36</v>
      </c>
      <c r="B1410" t="s">
        <v>115</v>
      </c>
      <c r="C1410">
        <v>8</v>
      </c>
      <c r="D1410" s="3"/>
      <c r="E1410">
        <f>IF(C1410="","",VLOOKUP(C1410,PointsSystem!$A$2:$B$41,2,FALSE()))</f>
        <v>29</v>
      </c>
    </row>
    <row r="1411" spans="1:5" x14ac:dyDescent="0.3">
      <c r="A1411">
        <v>36</v>
      </c>
      <c r="B1411" t="s">
        <v>115</v>
      </c>
      <c r="C1411">
        <v>9</v>
      </c>
      <c r="D1411" s="3"/>
      <c r="E1411">
        <f>IF(C1411="","",VLOOKUP(C1411,PointsSystem!$A$2:$B$41,2,FALSE()))</f>
        <v>28</v>
      </c>
    </row>
    <row r="1412" spans="1:5" x14ac:dyDescent="0.3">
      <c r="A1412">
        <v>36</v>
      </c>
      <c r="B1412" t="s">
        <v>115</v>
      </c>
      <c r="C1412">
        <v>10</v>
      </c>
      <c r="D1412" s="3"/>
      <c r="E1412">
        <f>IF(C1412="","",VLOOKUP(C1412,PointsSystem!$A$2:$B$41,2,FALSE()))</f>
        <v>27</v>
      </c>
    </row>
    <row r="1413" spans="1:5" x14ac:dyDescent="0.3">
      <c r="A1413">
        <v>36</v>
      </c>
      <c r="B1413" t="s">
        <v>115</v>
      </c>
      <c r="C1413">
        <v>11</v>
      </c>
      <c r="D1413" s="3"/>
      <c r="E1413">
        <f>IF(C1413="","",VLOOKUP(C1413,PointsSystem!$A$2:$B$41,2,FALSE()))</f>
        <v>26</v>
      </c>
    </row>
    <row r="1414" spans="1:5" x14ac:dyDescent="0.3">
      <c r="A1414">
        <v>36</v>
      </c>
      <c r="B1414" t="s">
        <v>115</v>
      </c>
      <c r="C1414">
        <v>12</v>
      </c>
      <c r="D1414" s="3"/>
      <c r="E1414">
        <f>IF(C1414="","",VLOOKUP(C1414,PointsSystem!$A$2:$B$41,2,FALSE()))</f>
        <v>25</v>
      </c>
    </row>
    <row r="1415" spans="1:5" x14ac:dyDescent="0.3">
      <c r="A1415">
        <v>36</v>
      </c>
      <c r="B1415" t="s">
        <v>115</v>
      </c>
      <c r="C1415">
        <v>13</v>
      </c>
      <c r="D1415" s="3"/>
      <c r="E1415">
        <f>IF(C1415="","",VLOOKUP(C1415,PointsSystem!$A$2:$B$41,2,FALSE()))</f>
        <v>24</v>
      </c>
    </row>
    <row r="1416" spans="1:5" x14ac:dyDescent="0.3">
      <c r="A1416">
        <v>36</v>
      </c>
      <c r="B1416" t="s">
        <v>115</v>
      </c>
      <c r="C1416">
        <v>14</v>
      </c>
      <c r="D1416" s="3"/>
      <c r="E1416">
        <f>IF(C1416="","",VLOOKUP(C1416,PointsSystem!$A$2:$B$41,2,FALSE()))</f>
        <v>23</v>
      </c>
    </row>
    <row r="1417" spans="1:5" x14ac:dyDescent="0.3">
      <c r="A1417">
        <v>36</v>
      </c>
      <c r="B1417" t="s">
        <v>115</v>
      </c>
      <c r="C1417">
        <v>15</v>
      </c>
      <c r="D1417" s="3"/>
      <c r="E1417">
        <f>IF(C1417="","",VLOOKUP(C1417,PointsSystem!$A$2:$B$41,2,FALSE()))</f>
        <v>22</v>
      </c>
    </row>
    <row r="1418" spans="1:5" x14ac:dyDescent="0.3">
      <c r="A1418">
        <v>36</v>
      </c>
      <c r="B1418" t="s">
        <v>115</v>
      </c>
      <c r="C1418">
        <v>16</v>
      </c>
      <c r="D1418" s="3"/>
      <c r="E1418">
        <f>IF(C1418="","",VLOOKUP(C1418,PointsSystem!$A$2:$B$41,2,FALSE()))</f>
        <v>21</v>
      </c>
    </row>
    <row r="1419" spans="1:5" x14ac:dyDescent="0.3">
      <c r="A1419">
        <v>36</v>
      </c>
      <c r="B1419" t="s">
        <v>115</v>
      </c>
      <c r="C1419">
        <v>17</v>
      </c>
      <c r="D1419" s="3"/>
      <c r="E1419">
        <f>IF(C1419="","",VLOOKUP(C1419,PointsSystem!$A$2:$B$41,2,FALSE()))</f>
        <v>20</v>
      </c>
    </row>
    <row r="1420" spans="1:5" x14ac:dyDescent="0.3">
      <c r="A1420">
        <v>36</v>
      </c>
      <c r="B1420" t="s">
        <v>115</v>
      </c>
      <c r="C1420">
        <v>18</v>
      </c>
      <c r="D1420" s="3"/>
      <c r="E1420">
        <f>IF(C1420="","",VLOOKUP(C1420,PointsSystem!$A$2:$B$41,2,FALSE()))</f>
        <v>19</v>
      </c>
    </row>
    <row r="1421" spans="1:5" x14ac:dyDescent="0.3">
      <c r="A1421">
        <v>36</v>
      </c>
      <c r="B1421" t="s">
        <v>115</v>
      </c>
      <c r="C1421">
        <v>19</v>
      </c>
      <c r="D1421" s="3"/>
      <c r="E1421">
        <f>IF(C1421="","",VLOOKUP(C1421,PointsSystem!$A$2:$B$41,2,FALSE()))</f>
        <v>18</v>
      </c>
    </row>
    <row r="1422" spans="1:5" x14ac:dyDescent="0.3">
      <c r="A1422">
        <v>36</v>
      </c>
      <c r="B1422" t="s">
        <v>115</v>
      </c>
      <c r="C1422">
        <v>20</v>
      </c>
      <c r="D1422" s="3"/>
      <c r="E1422">
        <f>IF(C1422="","",VLOOKUP(C1422,PointsSystem!$A$2:$B$41,2,FALSE()))</f>
        <v>17</v>
      </c>
    </row>
    <row r="1423" spans="1:5" x14ac:dyDescent="0.3">
      <c r="A1423">
        <v>36</v>
      </c>
      <c r="B1423" t="s">
        <v>115</v>
      </c>
      <c r="C1423">
        <v>21</v>
      </c>
      <c r="D1423" s="3"/>
      <c r="E1423">
        <f>IF(C1423="","",VLOOKUP(C1423,PointsSystem!$A$2:$B$41,2,FALSE()))</f>
        <v>16</v>
      </c>
    </row>
    <row r="1424" spans="1:5" x14ac:dyDescent="0.3">
      <c r="A1424">
        <v>36</v>
      </c>
      <c r="B1424" t="s">
        <v>115</v>
      </c>
      <c r="C1424">
        <v>22</v>
      </c>
      <c r="D1424" s="3"/>
      <c r="E1424">
        <f>IF(C1424="","",VLOOKUP(C1424,PointsSystem!$A$2:$B$41,2,FALSE()))</f>
        <v>15</v>
      </c>
    </row>
    <row r="1425" spans="1:5" x14ac:dyDescent="0.3">
      <c r="A1425">
        <v>36</v>
      </c>
      <c r="B1425" t="s">
        <v>115</v>
      </c>
      <c r="C1425">
        <v>23</v>
      </c>
      <c r="D1425" s="3"/>
      <c r="E1425">
        <f>IF(C1425="","",VLOOKUP(C1425,PointsSystem!$A$2:$B$41,2,FALSE()))</f>
        <v>14</v>
      </c>
    </row>
    <row r="1426" spans="1:5" x14ac:dyDescent="0.3">
      <c r="A1426">
        <v>36</v>
      </c>
      <c r="B1426" t="s">
        <v>115</v>
      </c>
      <c r="C1426">
        <v>24</v>
      </c>
      <c r="D1426" s="3"/>
      <c r="E1426">
        <f>IF(C1426="","",VLOOKUP(C1426,PointsSystem!$A$2:$B$41,2,FALSE()))</f>
        <v>13</v>
      </c>
    </row>
    <row r="1427" spans="1:5" x14ac:dyDescent="0.3">
      <c r="A1427">
        <v>36</v>
      </c>
      <c r="B1427" t="s">
        <v>115</v>
      </c>
      <c r="C1427">
        <v>25</v>
      </c>
      <c r="D1427" s="3"/>
      <c r="E1427">
        <f>IF(C1427="","",VLOOKUP(C1427,PointsSystem!$A$2:$B$41,2,FALSE()))</f>
        <v>12</v>
      </c>
    </row>
    <row r="1428" spans="1:5" x14ac:dyDescent="0.3">
      <c r="A1428">
        <v>36</v>
      </c>
      <c r="B1428" t="s">
        <v>115</v>
      </c>
      <c r="C1428">
        <v>26</v>
      </c>
      <c r="D1428" s="3"/>
      <c r="E1428">
        <f>IF(C1428="","",VLOOKUP(C1428,PointsSystem!$A$2:$B$41,2,FALSE()))</f>
        <v>11</v>
      </c>
    </row>
    <row r="1429" spans="1:5" x14ac:dyDescent="0.3">
      <c r="A1429">
        <v>36</v>
      </c>
      <c r="B1429" t="s">
        <v>115</v>
      </c>
      <c r="C1429">
        <v>27</v>
      </c>
      <c r="D1429" s="3"/>
      <c r="E1429">
        <f>IF(C1429="","",VLOOKUP(C1429,PointsSystem!$A$2:$B$41,2,FALSE()))</f>
        <v>10</v>
      </c>
    </row>
    <row r="1430" spans="1:5" x14ac:dyDescent="0.3">
      <c r="A1430">
        <v>36</v>
      </c>
      <c r="B1430" t="s">
        <v>115</v>
      </c>
      <c r="C1430">
        <v>28</v>
      </c>
      <c r="D1430" s="3"/>
      <c r="E1430">
        <f>IF(C1430="","",VLOOKUP(C1430,PointsSystem!$A$2:$B$41,2,FALSE()))</f>
        <v>9</v>
      </c>
    </row>
    <row r="1431" spans="1:5" x14ac:dyDescent="0.3">
      <c r="A1431">
        <v>36</v>
      </c>
      <c r="B1431" t="s">
        <v>115</v>
      </c>
      <c r="C1431">
        <v>29</v>
      </c>
      <c r="D1431" s="3"/>
      <c r="E1431">
        <f>IF(C1431="","",VLOOKUP(C1431,PointsSystem!$A$2:$B$41,2,FALSE()))</f>
        <v>8</v>
      </c>
    </row>
    <row r="1432" spans="1:5" x14ac:dyDescent="0.3">
      <c r="A1432">
        <v>36</v>
      </c>
      <c r="B1432" t="s">
        <v>115</v>
      </c>
      <c r="C1432">
        <v>30</v>
      </c>
      <c r="D1432" s="3"/>
      <c r="E1432">
        <f>IF(C1432="","",VLOOKUP(C1432,PointsSystem!$A$2:$B$41,2,FALSE()))</f>
        <v>7</v>
      </c>
    </row>
    <row r="1433" spans="1:5" x14ac:dyDescent="0.3">
      <c r="A1433">
        <v>36</v>
      </c>
      <c r="B1433" t="s">
        <v>115</v>
      </c>
      <c r="C1433">
        <v>31</v>
      </c>
      <c r="D1433" s="3"/>
      <c r="E1433">
        <f>IF(C1433="","",VLOOKUP(C1433,PointsSystem!$A$2:$B$41,2,FALSE()))</f>
        <v>6</v>
      </c>
    </row>
    <row r="1434" spans="1:5" x14ac:dyDescent="0.3">
      <c r="A1434">
        <v>36</v>
      </c>
      <c r="B1434" t="s">
        <v>115</v>
      </c>
      <c r="C1434">
        <v>32</v>
      </c>
      <c r="D1434" s="3"/>
      <c r="E1434">
        <f>IF(C1434="","",VLOOKUP(C1434,PointsSystem!$A$2:$B$41,2,FALSE()))</f>
        <v>5</v>
      </c>
    </row>
    <row r="1435" spans="1:5" x14ac:dyDescent="0.3">
      <c r="A1435">
        <v>36</v>
      </c>
      <c r="B1435" t="s">
        <v>115</v>
      </c>
      <c r="C1435">
        <v>33</v>
      </c>
      <c r="D1435" s="3"/>
      <c r="E1435">
        <f>IF(C1435="","",VLOOKUP(C1435,PointsSystem!$A$2:$B$41,2,FALSE()))</f>
        <v>4</v>
      </c>
    </row>
    <row r="1436" spans="1:5" x14ac:dyDescent="0.3">
      <c r="A1436">
        <v>36</v>
      </c>
      <c r="B1436" t="s">
        <v>115</v>
      </c>
      <c r="C1436">
        <v>34</v>
      </c>
      <c r="D1436" s="3"/>
      <c r="E1436">
        <f>IF(C1436="","",VLOOKUP(C1436,PointsSystem!$A$2:$B$41,2,FALSE()))</f>
        <v>3</v>
      </c>
    </row>
    <row r="1437" spans="1:5" x14ac:dyDescent="0.3">
      <c r="A1437">
        <v>36</v>
      </c>
      <c r="B1437" t="s">
        <v>115</v>
      </c>
      <c r="C1437">
        <v>35</v>
      </c>
      <c r="D1437" s="3"/>
      <c r="E1437">
        <f>IF(C1437="","",VLOOKUP(C1437,PointsSystem!$A$2:$B$41,2,FALSE()))</f>
        <v>2</v>
      </c>
    </row>
    <row r="1438" spans="1:5" x14ac:dyDescent="0.3">
      <c r="A1438">
        <v>36</v>
      </c>
      <c r="B1438" t="s">
        <v>115</v>
      </c>
      <c r="C1438">
        <v>36</v>
      </c>
      <c r="D1438" s="3"/>
      <c r="E1438">
        <f>IF(C1438="","",VLOOKUP(C1438,PointsSystem!$A$2:$B$41,2,FALSE()))</f>
        <v>1</v>
      </c>
    </row>
    <row r="1439" spans="1:5" x14ac:dyDescent="0.3">
      <c r="A1439">
        <v>36</v>
      </c>
      <c r="B1439" t="s">
        <v>115</v>
      </c>
      <c r="C1439">
        <v>37</v>
      </c>
      <c r="D1439" s="3"/>
      <c r="E1439">
        <f>IF(C1439="","",VLOOKUP(C1439,PointsSystem!$A$2:$B$41,2,FALSE()))</f>
        <v>1</v>
      </c>
    </row>
    <row r="1440" spans="1:5" x14ac:dyDescent="0.3">
      <c r="A1440">
        <v>36</v>
      </c>
      <c r="B1440" t="s">
        <v>115</v>
      </c>
      <c r="C1440">
        <v>38</v>
      </c>
      <c r="D1440" s="3"/>
      <c r="E1440">
        <f>IF(C1440="","",VLOOKUP(C1440,PointsSystem!$A$2:$B$41,2,FALSE()))</f>
        <v>1</v>
      </c>
    </row>
    <row r="1441" spans="1:5" x14ac:dyDescent="0.3">
      <c r="A1441">
        <v>36</v>
      </c>
      <c r="B1441" t="s">
        <v>115</v>
      </c>
      <c r="C1441">
        <v>39</v>
      </c>
      <c r="D1441" s="3"/>
      <c r="E1441">
        <f>IF(C1441="","",VLOOKUP(C1441,PointsSystem!$A$2:$B$41,2,FALSE()))</f>
        <v>1</v>
      </c>
    </row>
    <row r="1442" spans="1:5" x14ac:dyDescent="0.3">
      <c r="A1442">
        <v>36</v>
      </c>
      <c r="B1442" t="s">
        <v>115</v>
      </c>
      <c r="C1442">
        <v>40</v>
      </c>
      <c r="D1442" s="3"/>
      <c r="E1442">
        <f>IF(C1442="","",VLOOKUP(C1442,PointsSystem!$A$2:$B$41,2,FALSE()))</f>
        <v>1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81"/>
  <sheetViews>
    <sheetView zoomScaleNormal="100" workbookViewId="0"/>
  </sheetViews>
  <sheetFormatPr defaultColWidth="8.6640625" defaultRowHeight="14.25" customHeight="1" x14ac:dyDescent="0.3"/>
  <sheetData>
    <row r="1" spans="1:7" x14ac:dyDescent="0.3">
      <c r="A1" t="s">
        <v>39</v>
      </c>
      <c r="B1" t="s">
        <v>40</v>
      </c>
      <c r="C1" t="s">
        <v>117</v>
      </c>
      <c r="D1" t="s">
        <v>137</v>
      </c>
      <c r="E1" t="s">
        <v>135</v>
      </c>
      <c r="F1" t="s">
        <v>33</v>
      </c>
      <c r="G1" t="s">
        <v>5</v>
      </c>
    </row>
    <row r="2" spans="1:7" x14ac:dyDescent="0.3">
      <c r="A2">
        <v>1</v>
      </c>
      <c r="B2" t="s">
        <v>45</v>
      </c>
      <c r="C2" t="s">
        <v>21</v>
      </c>
      <c r="D2">
        <v>1</v>
      </c>
      <c r="E2">
        <f>WeeklyPicks!D2</f>
        <v>0</v>
      </c>
      <c r="F2">
        <f>IF(E2="","",SUMIFS(RaceResults!$C:$C,RaceResults!$A:$A,A2,RaceResults!$D:$D,E2))</f>
        <v>0</v>
      </c>
      <c r="G2">
        <f>IF(E2="","",SUMIFS(RaceResults!$E:$E,RaceResults!$A:$A,A2,RaceResults!$D:$D,E2))</f>
        <v>0</v>
      </c>
    </row>
    <row r="3" spans="1:7" x14ac:dyDescent="0.3">
      <c r="A3">
        <v>1</v>
      </c>
      <c r="B3" t="s">
        <v>45</v>
      </c>
      <c r="C3" t="s">
        <v>21</v>
      </c>
      <c r="D3">
        <v>2</v>
      </c>
      <c r="E3">
        <f>WeeklyPicks!E2</f>
        <v>0</v>
      </c>
      <c r="F3">
        <f>IF(E3="","",SUMIFS(RaceResults!$C:$C,RaceResults!$A:$A,A3,RaceResults!$D:$D,E3))</f>
        <v>0</v>
      </c>
      <c r="G3">
        <f>IF(E3="","",SUMIFS(RaceResults!$E:$E,RaceResults!$A:$A,A3,RaceResults!$D:$D,E3))</f>
        <v>0</v>
      </c>
    </row>
    <row r="4" spans="1:7" x14ac:dyDescent="0.3">
      <c r="A4">
        <v>1</v>
      </c>
      <c r="B4" t="s">
        <v>45</v>
      </c>
      <c r="C4" t="s">
        <v>21</v>
      </c>
      <c r="D4">
        <v>3</v>
      </c>
      <c r="E4">
        <f>WeeklyPicks!F2</f>
        <v>0</v>
      </c>
      <c r="F4">
        <f>IF(E4="","",SUMIFS(RaceResults!$C:$C,RaceResults!$A:$A,A4,RaceResults!$D:$D,E4))</f>
        <v>0</v>
      </c>
      <c r="G4">
        <f>IF(E4="","",SUMIFS(RaceResults!$E:$E,RaceResults!$A:$A,A4,RaceResults!$D:$D,E4))</f>
        <v>0</v>
      </c>
    </row>
    <row r="5" spans="1:7" x14ac:dyDescent="0.3">
      <c r="A5">
        <v>1</v>
      </c>
      <c r="B5" t="s">
        <v>45</v>
      </c>
      <c r="C5" t="s">
        <v>22</v>
      </c>
      <c r="D5">
        <v>1</v>
      </c>
      <c r="E5">
        <f>WeeklyPicks!D3</f>
        <v>0</v>
      </c>
      <c r="F5">
        <f>IF(E5="","",SUMIFS(RaceResults!$C:$C,RaceResults!$A:$A,A5,RaceResults!$D:$D,E5))</f>
        <v>0</v>
      </c>
      <c r="G5">
        <f>IF(E5="","",SUMIFS(RaceResults!$E:$E,RaceResults!$A:$A,A5,RaceResults!$D:$D,E5))</f>
        <v>0</v>
      </c>
    </row>
    <row r="6" spans="1:7" x14ac:dyDescent="0.3">
      <c r="A6">
        <v>1</v>
      </c>
      <c r="B6" t="s">
        <v>45</v>
      </c>
      <c r="C6" t="s">
        <v>22</v>
      </c>
      <c r="D6">
        <v>2</v>
      </c>
      <c r="E6">
        <f>WeeklyPicks!E3</f>
        <v>0</v>
      </c>
      <c r="F6">
        <f>IF(E6="","",SUMIFS(RaceResults!$C:$C,RaceResults!$A:$A,A6,RaceResults!$D:$D,E6))</f>
        <v>0</v>
      </c>
      <c r="G6">
        <f>IF(E6="","",SUMIFS(RaceResults!$E:$E,RaceResults!$A:$A,A6,RaceResults!$D:$D,E6))</f>
        <v>0</v>
      </c>
    </row>
    <row r="7" spans="1:7" x14ac:dyDescent="0.3">
      <c r="A7">
        <v>1</v>
      </c>
      <c r="B7" t="s">
        <v>45</v>
      </c>
      <c r="C7" t="s">
        <v>22</v>
      </c>
      <c r="D7">
        <v>3</v>
      </c>
      <c r="E7">
        <f>WeeklyPicks!F3</f>
        <v>0</v>
      </c>
      <c r="F7">
        <f>IF(E7="","",SUMIFS(RaceResults!$C:$C,RaceResults!$A:$A,A7,RaceResults!$D:$D,E7))</f>
        <v>0</v>
      </c>
      <c r="G7">
        <f>IF(E7="","",SUMIFS(RaceResults!$E:$E,RaceResults!$A:$A,A7,RaceResults!$D:$D,E7))</f>
        <v>0</v>
      </c>
    </row>
    <row r="8" spans="1:7" x14ac:dyDescent="0.3">
      <c r="A8">
        <v>1</v>
      </c>
      <c r="B8" t="s">
        <v>45</v>
      </c>
      <c r="C8" t="s">
        <v>25</v>
      </c>
      <c r="D8">
        <v>1</v>
      </c>
      <c r="E8">
        <f>WeeklyPicks!D4</f>
        <v>0</v>
      </c>
      <c r="F8">
        <f>IF(E8="","",SUMIFS(RaceResults!$C:$C,RaceResults!$A:$A,A8,RaceResults!$D:$D,E8))</f>
        <v>0</v>
      </c>
      <c r="G8">
        <f>IF(E8="","",SUMIFS(RaceResults!$E:$E,RaceResults!$A:$A,A8,RaceResults!$D:$D,E8))</f>
        <v>0</v>
      </c>
    </row>
    <row r="9" spans="1:7" x14ac:dyDescent="0.3">
      <c r="A9">
        <v>1</v>
      </c>
      <c r="B9" t="s">
        <v>45</v>
      </c>
      <c r="C9" t="s">
        <v>25</v>
      </c>
      <c r="D9">
        <v>2</v>
      </c>
      <c r="E9">
        <f>WeeklyPicks!E4</f>
        <v>0</v>
      </c>
      <c r="F9">
        <f>IF(E9="","",SUMIFS(RaceResults!$C:$C,RaceResults!$A:$A,A9,RaceResults!$D:$D,E9))</f>
        <v>0</v>
      </c>
      <c r="G9">
        <f>IF(E9="","",SUMIFS(RaceResults!$E:$E,RaceResults!$A:$A,A9,RaceResults!$D:$D,E9))</f>
        <v>0</v>
      </c>
    </row>
    <row r="10" spans="1:7" x14ac:dyDescent="0.3">
      <c r="A10">
        <v>1</v>
      </c>
      <c r="B10" t="s">
        <v>45</v>
      </c>
      <c r="C10" t="s">
        <v>25</v>
      </c>
      <c r="D10">
        <v>3</v>
      </c>
      <c r="E10">
        <f>WeeklyPicks!F4</f>
        <v>0</v>
      </c>
      <c r="F10">
        <f>IF(E10="","",SUMIFS(RaceResults!$C:$C,RaceResults!$A:$A,A10,RaceResults!$D:$D,E10))</f>
        <v>0</v>
      </c>
      <c r="G10">
        <f>IF(E10="","",SUMIFS(RaceResults!$E:$E,RaceResults!$A:$A,A10,RaceResults!$D:$D,E10))</f>
        <v>0</v>
      </c>
    </row>
    <row r="11" spans="1:7" x14ac:dyDescent="0.3">
      <c r="A11">
        <v>1</v>
      </c>
      <c r="B11" t="s">
        <v>45</v>
      </c>
      <c r="C11" t="s">
        <v>26</v>
      </c>
      <c r="D11">
        <v>1</v>
      </c>
      <c r="E11">
        <f>WeeklyPicks!D5</f>
        <v>0</v>
      </c>
      <c r="F11">
        <f>IF(E11="","",SUMIFS(RaceResults!$C:$C,RaceResults!$A:$A,A11,RaceResults!$D:$D,E11))</f>
        <v>0</v>
      </c>
      <c r="G11">
        <f>IF(E11="","",SUMIFS(RaceResults!$E:$E,RaceResults!$A:$A,A11,RaceResults!$D:$D,E11))</f>
        <v>0</v>
      </c>
    </row>
    <row r="12" spans="1:7" x14ac:dyDescent="0.3">
      <c r="A12">
        <v>1</v>
      </c>
      <c r="B12" t="s">
        <v>45</v>
      </c>
      <c r="C12" t="s">
        <v>26</v>
      </c>
      <c r="D12">
        <v>2</v>
      </c>
      <c r="E12">
        <f>WeeklyPicks!E5</f>
        <v>0</v>
      </c>
      <c r="F12">
        <f>IF(E12="","",SUMIFS(RaceResults!$C:$C,RaceResults!$A:$A,A12,RaceResults!$D:$D,E12))</f>
        <v>0</v>
      </c>
      <c r="G12">
        <f>IF(E12="","",SUMIFS(RaceResults!$E:$E,RaceResults!$A:$A,A12,RaceResults!$D:$D,E12))</f>
        <v>0</v>
      </c>
    </row>
    <row r="13" spans="1:7" x14ac:dyDescent="0.3">
      <c r="A13">
        <v>1</v>
      </c>
      <c r="B13" t="s">
        <v>45</v>
      </c>
      <c r="C13" t="s">
        <v>26</v>
      </c>
      <c r="D13">
        <v>3</v>
      </c>
      <c r="E13">
        <f>WeeklyPicks!F5</f>
        <v>0</v>
      </c>
      <c r="F13">
        <f>IF(E13="","",SUMIFS(RaceResults!$C:$C,RaceResults!$A:$A,A13,RaceResults!$D:$D,E13))</f>
        <v>0</v>
      </c>
      <c r="G13">
        <f>IF(E13="","",SUMIFS(RaceResults!$E:$E,RaceResults!$A:$A,A13,RaceResults!$D:$D,E13))</f>
        <v>0</v>
      </c>
    </row>
    <row r="14" spans="1:7" x14ac:dyDescent="0.3">
      <c r="A14">
        <v>1</v>
      </c>
      <c r="B14" t="s">
        <v>45</v>
      </c>
      <c r="C14" t="s">
        <v>27</v>
      </c>
      <c r="D14">
        <v>1</v>
      </c>
      <c r="E14">
        <f>WeeklyPicks!D6</f>
        <v>0</v>
      </c>
      <c r="F14">
        <f>IF(E14="","",SUMIFS(RaceResults!$C:$C,RaceResults!$A:$A,A14,RaceResults!$D:$D,E14))</f>
        <v>0</v>
      </c>
      <c r="G14">
        <f>IF(E14="","",SUMIFS(RaceResults!$E:$E,RaceResults!$A:$A,A14,RaceResults!$D:$D,E14))</f>
        <v>0</v>
      </c>
    </row>
    <row r="15" spans="1:7" x14ac:dyDescent="0.3">
      <c r="A15">
        <v>1</v>
      </c>
      <c r="B15" t="s">
        <v>45</v>
      </c>
      <c r="C15" t="s">
        <v>27</v>
      </c>
      <c r="D15">
        <v>2</v>
      </c>
      <c r="E15">
        <f>WeeklyPicks!E6</f>
        <v>0</v>
      </c>
      <c r="F15">
        <f>IF(E15="","",SUMIFS(RaceResults!$C:$C,RaceResults!$A:$A,A15,RaceResults!$D:$D,E15))</f>
        <v>0</v>
      </c>
      <c r="G15">
        <f>IF(E15="","",SUMIFS(RaceResults!$E:$E,RaceResults!$A:$A,A15,RaceResults!$D:$D,E15))</f>
        <v>0</v>
      </c>
    </row>
    <row r="16" spans="1:7" x14ac:dyDescent="0.3">
      <c r="A16">
        <v>1</v>
      </c>
      <c r="B16" t="s">
        <v>45</v>
      </c>
      <c r="C16" t="s">
        <v>27</v>
      </c>
      <c r="D16">
        <v>3</v>
      </c>
      <c r="E16">
        <f>WeeklyPicks!F6</f>
        <v>0</v>
      </c>
      <c r="F16">
        <f>IF(E16="","",SUMIFS(RaceResults!$C:$C,RaceResults!$A:$A,A16,RaceResults!$D:$D,E16))</f>
        <v>0</v>
      </c>
      <c r="G16">
        <f>IF(E16="","",SUMIFS(RaceResults!$E:$E,RaceResults!$A:$A,A16,RaceResults!$D:$D,E16))</f>
        <v>0</v>
      </c>
    </row>
    <row r="17" spans="1:7" x14ac:dyDescent="0.3">
      <c r="A17">
        <v>1</v>
      </c>
      <c r="B17" t="s">
        <v>45</v>
      </c>
      <c r="C17" t="s">
        <v>28</v>
      </c>
      <c r="D17">
        <v>1</v>
      </c>
      <c r="E17">
        <f>WeeklyPicks!D7</f>
        <v>0</v>
      </c>
      <c r="F17">
        <f>IF(E17="","",SUMIFS(RaceResults!$C:$C,RaceResults!$A:$A,A17,RaceResults!$D:$D,E17))</f>
        <v>0</v>
      </c>
      <c r="G17">
        <f>IF(E17="","",SUMIFS(RaceResults!$E:$E,RaceResults!$A:$A,A17,RaceResults!$D:$D,E17))</f>
        <v>0</v>
      </c>
    </row>
    <row r="18" spans="1:7" x14ac:dyDescent="0.3">
      <c r="A18">
        <v>1</v>
      </c>
      <c r="B18" t="s">
        <v>45</v>
      </c>
      <c r="C18" t="s">
        <v>28</v>
      </c>
      <c r="D18">
        <v>2</v>
      </c>
      <c r="E18">
        <f>WeeklyPicks!E7</f>
        <v>0</v>
      </c>
      <c r="F18">
        <f>IF(E18="","",SUMIFS(RaceResults!$C:$C,RaceResults!$A:$A,A18,RaceResults!$D:$D,E18))</f>
        <v>0</v>
      </c>
      <c r="G18">
        <f>IF(E18="","",SUMIFS(RaceResults!$E:$E,RaceResults!$A:$A,A18,RaceResults!$D:$D,E18))</f>
        <v>0</v>
      </c>
    </row>
    <row r="19" spans="1:7" x14ac:dyDescent="0.3">
      <c r="A19">
        <v>1</v>
      </c>
      <c r="B19" t="s">
        <v>45</v>
      </c>
      <c r="C19" t="s">
        <v>28</v>
      </c>
      <c r="D19">
        <v>3</v>
      </c>
      <c r="E19">
        <f>WeeklyPicks!F7</f>
        <v>0</v>
      </c>
      <c r="F19">
        <f>IF(E19="","",SUMIFS(RaceResults!$C:$C,RaceResults!$A:$A,A19,RaceResults!$D:$D,E19))</f>
        <v>0</v>
      </c>
      <c r="G19">
        <f>IF(E19="","",SUMIFS(RaceResults!$E:$E,RaceResults!$A:$A,A19,RaceResults!$D:$D,E19))</f>
        <v>0</v>
      </c>
    </row>
    <row r="20" spans="1:7" x14ac:dyDescent="0.3">
      <c r="A20">
        <v>1</v>
      </c>
      <c r="B20" t="s">
        <v>45</v>
      </c>
      <c r="C20" t="s">
        <v>29</v>
      </c>
      <c r="D20">
        <v>1</v>
      </c>
      <c r="E20">
        <f>WeeklyPicks!D8</f>
        <v>0</v>
      </c>
      <c r="F20">
        <f>IF(E20="","",SUMIFS(RaceResults!$C:$C,RaceResults!$A:$A,A20,RaceResults!$D:$D,E20))</f>
        <v>0</v>
      </c>
      <c r="G20">
        <f>IF(E20="","",SUMIFS(RaceResults!$E:$E,RaceResults!$A:$A,A20,RaceResults!$D:$D,E20))</f>
        <v>0</v>
      </c>
    </row>
    <row r="21" spans="1:7" x14ac:dyDescent="0.3">
      <c r="A21">
        <v>1</v>
      </c>
      <c r="B21" t="s">
        <v>45</v>
      </c>
      <c r="C21" t="s">
        <v>29</v>
      </c>
      <c r="D21">
        <v>2</v>
      </c>
      <c r="E21">
        <f>WeeklyPicks!E8</f>
        <v>0</v>
      </c>
      <c r="F21">
        <f>IF(E21="","",SUMIFS(RaceResults!$C:$C,RaceResults!$A:$A,A21,RaceResults!$D:$D,E21))</f>
        <v>0</v>
      </c>
      <c r="G21">
        <f>IF(E21="","",SUMIFS(RaceResults!$E:$E,RaceResults!$A:$A,A21,RaceResults!$D:$D,E21))</f>
        <v>0</v>
      </c>
    </row>
    <row r="22" spans="1:7" x14ac:dyDescent="0.3">
      <c r="A22">
        <v>1</v>
      </c>
      <c r="B22" t="s">
        <v>45</v>
      </c>
      <c r="C22" t="s">
        <v>29</v>
      </c>
      <c r="D22">
        <v>3</v>
      </c>
      <c r="E22">
        <f>WeeklyPicks!F8</f>
        <v>0</v>
      </c>
      <c r="F22">
        <f>IF(E22="","",SUMIFS(RaceResults!$C:$C,RaceResults!$A:$A,A22,RaceResults!$D:$D,E22))</f>
        <v>0</v>
      </c>
      <c r="G22">
        <f>IF(E22="","",SUMIFS(RaceResults!$E:$E,RaceResults!$A:$A,A22,RaceResults!$D:$D,E22))</f>
        <v>0</v>
      </c>
    </row>
    <row r="23" spans="1:7" x14ac:dyDescent="0.3">
      <c r="A23">
        <v>1</v>
      </c>
      <c r="B23" t="s">
        <v>45</v>
      </c>
      <c r="C23" t="s">
        <v>30</v>
      </c>
      <c r="D23">
        <v>1</v>
      </c>
      <c r="E23">
        <f>WeeklyPicks!D9</f>
        <v>0</v>
      </c>
      <c r="F23">
        <f>IF(E23="","",SUMIFS(RaceResults!$C:$C,RaceResults!$A:$A,A23,RaceResults!$D:$D,E23))</f>
        <v>0</v>
      </c>
      <c r="G23">
        <f>IF(E23="","",SUMIFS(RaceResults!$E:$E,RaceResults!$A:$A,A23,RaceResults!$D:$D,E23))</f>
        <v>0</v>
      </c>
    </row>
    <row r="24" spans="1:7" x14ac:dyDescent="0.3">
      <c r="A24">
        <v>1</v>
      </c>
      <c r="B24" t="s">
        <v>45</v>
      </c>
      <c r="C24" t="s">
        <v>30</v>
      </c>
      <c r="D24">
        <v>2</v>
      </c>
      <c r="E24">
        <f>WeeklyPicks!E9</f>
        <v>0</v>
      </c>
      <c r="F24">
        <f>IF(E24="","",SUMIFS(RaceResults!$C:$C,RaceResults!$A:$A,A24,RaceResults!$D:$D,E24))</f>
        <v>0</v>
      </c>
      <c r="G24">
        <f>IF(E24="","",SUMIFS(RaceResults!$E:$E,RaceResults!$A:$A,A24,RaceResults!$D:$D,E24))</f>
        <v>0</v>
      </c>
    </row>
    <row r="25" spans="1:7" x14ac:dyDescent="0.3">
      <c r="A25">
        <v>1</v>
      </c>
      <c r="B25" t="s">
        <v>45</v>
      </c>
      <c r="C25" t="s">
        <v>30</v>
      </c>
      <c r="D25">
        <v>3</v>
      </c>
      <c r="E25">
        <f>WeeklyPicks!F9</f>
        <v>0</v>
      </c>
      <c r="F25">
        <f>IF(E25="","",SUMIFS(RaceResults!$C:$C,RaceResults!$A:$A,A25,RaceResults!$D:$D,E25))</f>
        <v>0</v>
      </c>
      <c r="G25">
        <f>IF(E25="","",SUMIFS(RaceResults!$E:$E,RaceResults!$A:$A,A25,RaceResults!$D:$D,E25))</f>
        <v>0</v>
      </c>
    </row>
    <row r="26" spans="1:7" x14ac:dyDescent="0.3">
      <c r="A26">
        <v>1</v>
      </c>
      <c r="B26" t="s">
        <v>45</v>
      </c>
      <c r="C26" t="s">
        <v>31</v>
      </c>
      <c r="D26">
        <v>1</v>
      </c>
      <c r="E26">
        <f>WeeklyPicks!D10</f>
        <v>0</v>
      </c>
      <c r="F26">
        <f>IF(E26="","",SUMIFS(RaceResults!$C:$C,RaceResults!$A:$A,A26,RaceResults!$D:$D,E26))</f>
        <v>0</v>
      </c>
      <c r="G26">
        <f>IF(E26="","",SUMIFS(RaceResults!$E:$E,RaceResults!$A:$A,A26,RaceResults!$D:$D,E26))</f>
        <v>0</v>
      </c>
    </row>
    <row r="27" spans="1:7" x14ac:dyDescent="0.3">
      <c r="A27">
        <v>1</v>
      </c>
      <c r="B27" t="s">
        <v>45</v>
      </c>
      <c r="C27" t="s">
        <v>31</v>
      </c>
      <c r="D27">
        <v>2</v>
      </c>
      <c r="E27">
        <f>WeeklyPicks!E10</f>
        <v>0</v>
      </c>
      <c r="F27">
        <f>IF(E27="","",SUMIFS(RaceResults!$C:$C,RaceResults!$A:$A,A27,RaceResults!$D:$D,E27))</f>
        <v>0</v>
      </c>
      <c r="G27">
        <f>IF(E27="","",SUMIFS(RaceResults!$E:$E,RaceResults!$A:$A,A27,RaceResults!$D:$D,E27))</f>
        <v>0</v>
      </c>
    </row>
    <row r="28" spans="1:7" x14ac:dyDescent="0.3">
      <c r="A28">
        <v>1</v>
      </c>
      <c r="B28" t="s">
        <v>45</v>
      </c>
      <c r="C28" t="s">
        <v>31</v>
      </c>
      <c r="D28">
        <v>3</v>
      </c>
      <c r="E28">
        <f>WeeklyPicks!F10</f>
        <v>0</v>
      </c>
      <c r="F28">
        <f>IF(E28="","",SUMIFS(RaceResults!$C:$C,RaceResults!$A:$A,A28,RaceResults!$D:$D,E28))</f>
        <v>0</v>
      </c>
      <c r="G28">
        <f>IF(E28="","",SUMIFS(RaceResults!$E:$E,RaceResults!$A:$A,A28,RaceResults!$D:$D,E28))</f>
        <v>0</v>
      </c>
    </row>
    <row r="29" spans="1:7" x14ac:dyDescent="0.3">
      <c r="A29">
        <v>1</v>
      </c>
      <c r="B29" t="s">
        <v>45</v>
      </c>
      <c r="C29" t="s">
        <v>32</v>
      </c>
      <c r="D29">
        <v>1</v>
      </c>
      <c r="E29">
        <f>WeeklyPicks!D11</f>
        <v>0</v>
      </c>
      <c r="F29">
        <f>IF(E29="","",SUMIFS(RaceResults!$C:$C,RaceResults!$A:$A,A29,RaceResults!$D:$D,E29))</f>
        <v>0</v>
      </c>
      <c r="G29">
        <f>IF(E29="","",SUMIFS(RaceResults!$E:$E,RaceResults!$A:$A,A29,RaceResults!$D:$D,E29))</f>
        <v>0</v>
      </c>
    </row>
    <row r="30" spans="1:7" x14ac:dyDescent="0.3">
      <c r="A30">
        <v>1</v>
      </c>
      <c r="B30" t="s">
        <v>45</v>
      </c>
      <c r="C30" t="s">
        <v>32</v>
      </c>
      <c r="D30">
        <v>2</v>
      </c>
      <c r="E30">
        <f>WeeklyPicks!E11</f>
        <v>0</v>
      </c>
      <c r="F30">
        <f>IF(E30="","",SUMIFS(RaceResults!$C:$C,RaceResults!$A:$A,A30,RaceResults!$D:$D,E30))</f>
        <v>0</v>
      </c>
      <c r="G30">
        <f>IF(E30="","",SUMIFS(RaceResults!$E:$E,RaceResults!$A:$A,A30,RaceResults!$D:$D,E30))</f>
        <v>0</v>
      </c>
    </row>
    <row r="31" spans="1:7" x14ac:dyDescent="0.3">
      <c r="A31">
        <v>1</v>
      </c>
      <c r="B31" t="s">
        <v>45</v>
      </c>
      <c r="C31" t="s">
        <v>32</v>
      </c>
      <c r="D31">
        <v>3</v>
      </c>
      <c r="E31">
        <f>WeeklyPicks!F11</f>
        <v>0</v>
      </c>
      <c r="F31">
        <f>IF(E31="","",SUMIFS(RaceResults!$C:$C,RaceResults!$A:$A,A31,RaceResults!$D:$D,E31))</f>
        <v>0</v>
      </c>
      <c r="G31">
        <f>IF(E31="","",SUMIFS(RaceResults!$E:$E,RaceResults!$A:$A,A31,RaceResults!$D:$D,E31))</f>
        <v>0</v>
      </c>
    </row>
    <row r="32" spans="1:7" x14ac:dyDescent="0.3">
      <c r="A32">
        <v>2</v>
      </c>
      <c r="B32" t="s">
        <v>50</v>
      </c>
      <c r="C32" t="s">
        <v>21</v>
      </c>
      <c r="D32">
        <v>1</v>
      </c>
      <c r="E32">
        <f>WeeklyPicks!D12</f>
        <v>0</v>
      </c>
      <c r="F32">
        <f>IF(E32="","",SUMIFS(RaceResults!$C:$C,RaceResults!$A:$A,A32,RaceResults!$D:$D,E32))</f>
        <v>0</v>
      </c>
      <c r="G32">
        <f>IF(E32="","",SUMIFS(RaceResults!$E:$E,RaceResults!$A:$A,A32,RaceResults!$D:$D,E32))</f>
        <v>0</v>
      </c>
    </row>
    <row r="33" spans="1:7" x14ac:dyDescent="0.3">
      <c r="A33">
        <v>2</v>
      </c>
      <c r="B33" t="s">
        <v>50</v>
      </c>
      <c r="C33" t="s">
        <v>21</v>
      </c>
      <c r="D33">
        <v>2</v>
      </c>
      <c r="E33">
        <f>WeeklyPicks!E12</f>
        <v>0</v>
      </c>
      <c r="F33">
        <f>IF(E33="","",SUMIFS(RaceResults!$C:$C,RaceResults!$A:$A,A33,RaceResults!$D:$D,E33))</f>
        <v>0</v>
      </c>
      <c r="G33">
        <f>IF(E33="","",SUMIFS(RaceResults!$E:$E,RaceResults!$A:$A,A33,RaceResults!$D:$D,E33))</f>
        <v>0</v>
      </c>
    </row>
    <row r="34" spans="1:7" x14ac:dyDescent="0.3">
      <c r="A34">
        <v>2</v>
      </c>
      <c r="B34" t="s">
        <v>50</v>
      </c>
      <c r="C34" t="s">
        <v>21</v>
      </c>
      <c r="D34">
        <v>3</v>
      </c>
      <c r="E34">
        <f>WeeklyPicks!F12</f>
        <v>0</v>
      </c>
      <c r="F34">
        <f>IF(E34="","",SUMIFS(RaceResults!$C:$C,RaceResults!$A:$A,A34,RaceResults!$D:$D,E34))</f>
        <v>0</v>
      </c>
      <c r="G34">
        <f>IF(E34="","",SUMIFS(RaceResults!$E:$E,RaceResults!$A:$A,A34,RaceResults!$D:$D,E34))</f>
        <v>0</v>
      </c>
    </row>
    <row r="35" spans="1:7" x14ac:dyDescent="0.3">
      <c r="A35">
        <v>2</v>
      </c>
      <c r="B35" t="s">
        <v>50</v>
      </c>
      <c r="C35" t="s">
        <v>22</v>
      </c>
      <c r="D35">
        <v>1</v>
      </c>
      <c r="E35">
        <f>WeeklyPicks!D13</f>
        <v>0</v>
      </c>
      <c r="F35">
        <f>IF(E35="","",SUMIFS(RaceResults!$C:$C,RaceResults!$A:$A,A35,RaceResults!$D:$D,E35))</f>
        <v>0</v>
      </c>
      <c r="G35">
        <f>IF(E35="","",SUMIFS(RaceResults!$E:$E,RaceResults!$A:$A,A35,RaceResults!$D:$D,E35))</f>
        <v>0</v>
      </c>
    </row>
    <row r="36" spans="1:7" x14ac:dyDescent="0.3">
      <c r="A36">
        <v>2</v>
      </c>
      <c r="B36" t="s">
        <v>50</v>
      </c>
      <c r="C36" t="s">
        <v>22</v>
      </c>
      <c r="D36">
        <v>2</v>
      </c>
      <c r="E36">
        <f>WeeklyPicks!E13</f>
        <v>0</v>
      </c>
      <c r="F36">
        <f>IF(E36="","",SUMIFS(RaceResults!$C:$C,RaceResults!$A:$A,A36,RaceResults!$D:$D,E36))</f>
        <v>0</v>
      </c>
      <c r="G36">
        <f>IF(E36="","",SUMIFS(RaceResults!$E:$E,RaceResults!$A:$A,A36,RaceResults!$D:$D,E36))</f>
        <v>0</v>
      </c>
    </row>
    <row r="37" spans="1:7" x14ac:dyDescent="0.3">
      <c r="A37">
        <v>2</v>
      </c>
      <c r="B37" t="s">
        <v>50</v>
      </c>
      <c r="C37" t="s">
        <v>22</v>
      </c>
      <c r="D37">
        <v>3</v>
      </c>
      <c r="E37">
        <f>WeeklyPicks!F13</f>
        <v>0</v>
      </c>
      <c r="F37">
        <f>IF(E37="","",SUMIFS(RaceResults!$C:$C,RaceResults!$A:$A,A37,RaceResults!$D:$D,E37))</f>
        <v>0</v>
      </c>
      <c r="G37">
        <f>IF(E37="","",SUMIFS(RaceResults!$E:$E,RaceResults!$A:$A,A37,RaceResults!$D:$D,E37))</f>
        <v>0</v>
      </c>
    </row>
    <row r="38" spans="1:7" x14ac:dyDescent="0.3">
      <c r="A38">
        <v>2</v>
      </c>
      <c r="B38" t="s">
        <v>50</v>
      </c>
      <c r="C38" t="s">
        <v>25</v>
      </c>
      <c r="D38">
        <v>1</v>
      </c>
      <c r="E38">
        <f>WeeklyPicks!D14</f>
        <v>0</v>
      </c>
      <c r="F38">
        <f>IF(E38="","",SUMIFS(RaceResults!$C:$C,RaceResults!$A:$A,A38,RaceResults!$D:$D,E38))</f>
        <v>0</v>
      </c>
      <c r="G38">
        <f>IF(E38="","",SUMIFS(RaceResults!$E:$E,RaceResults!$A:$A,A38,RaceResults!$D:$D,E38))</f>
        <v>0</v>
      </c>
    </row>
    <row r="39" spans="1:7" x14ac:dyDescent="0.3">
      <c r="A39">
        <v>2</v>
      </c>
      <c r="B39" t="s">
        <v>50</v>
      </c>
      <c r="C39" t="s">
        <v>25</v>
      </c>
      <c r="D39">
        <v>2</v>
      </c>
      <c r="E39">
        <f>WeeklyPicks!E14</f>
        <v>0</v>
      </c>
      <c r="F39">
        <f>IF(E39="","",SUMIFS(RaceResults!$C:$C,RaceResults!$A:$A,A39,RaceResults!$D:$D,E39))</f>
        <v>0</v>
      </c>
      <c r="G39">
        <f>IF(E39="","",SUMIFS(RaceResults!$E:$E,RaceResults!$A:$A,A39,RaceResults!$D:$D,E39))</f>
        <v>0</v>
      </c>
    </row>
    <row r="40" spans="1:7" x14ac:dyDescent="0.3">
      <c r="A40">
        <v>2</v>
      </c>
      <c r="B40" t="s">
        <v>50</v>
      </c>
      <c r="C40" t="s">
        <v>25</v>
      </c>
      <c r="D40">
        <v>3</v>
      </c>
      <c r="E40">
        <f>WeeklyPicks!F14</f>
        <v>0</v>
      </c>
      <c r="F40">
        <f>IF(E40="","",SUMIFS(RaceResults!$C:$C,RaceResults!$A:$A,A40,RaceResults!$D:$D,E40))</f>
        <v>0</v>
      </c>
      <c r="G40">
        <f>IF(E40="","",SUMIFS(RaceResults!$E:$E,RaceResults!$A:$A,A40,RaceResults!$D:$D,E40))</f>
        <v>0</v>
      </c>
    </row>
    <row r="41" spans="1:7" x14ac:dyDescent="0.3">
      <c r="A41">
        <v>2</v>
      </c>
      <c r="B41" t="s">
        <v>50</v>
      </c>
      <c r="C41" t="s">
        <v>26</v>
      </c>
      <c r="D41">
        <v>1</v>
      </c>
      <c r="E41">
        <f>WeeklyPicks!D15</f>
        <v>0</v>
      </c>
      <c r="F41">
        <f>IF(E41="","",SUMIFS(RaceResults!$C:$C,RaceResults!$A:$A,A41,RaceResults!$D:$D,E41))</f>
        <v>0</v>
      </c>
      <c r="G41">
        <f>IF(E41="","",SUMIFS(RaceResults!$E:$E,RaceResults!$A:$A,A41,RaceResults!$D:$D,E41))</f>
        <v>0</v>
      </c>
    </row>
    <row r="42" spans="1:7" x14ac:dyDescent="0.3">
      <c r="A42">
        <v>2</v>
      </c>
      <c r="B42" t="s">
        <v>50</v>
      </c>
      <c r="C42" t="s">
        <v>26</v>
      </c>
      <c r="D42">
        <v>2</v>
      </c>
      <c r="E42">
        <f>WeeklyPicks!E15</f>
        <v>0</v>
      </c>
      <c r="F42">
        <f>IF(E42="","",SUMIFS(RaceResults!$C:$C,RaceResults!$A:$A,A42,RaceResults!$D:$D,E42))</f>
        <v>0</v>
      </c>
      <c r="G42">
        <f>IF(E42="","",SUMIFS(RaceResults!$E:$E,RaceResults!$A:$A,A42,RaceResults!$D:$D,E42))</f>
        <v>0</v>
      </c>
    </row>
    <row r="43" spans="1:7" x14ac:dyDescent="0.3">
      <c r="A43">
        <v>2</v>
      </c>
      <c r="B43" t="s">
        <v>50</v>
      </c>
      <c r="C43" t="s">
        <v>26</v>
      </c>
      <c r="D43">
        <v>3</v>
      </c>
      <c r="E43">
        <f>WeeklyPicks!F15</f>
        <v>0</v>
      </c>
      <c r="F43">
        <f>IF(E43="","",SUMIFS(RaceResults!$C:$C,RaceResults!$A:$A,A43,RaceResults!$D:$D,E43))</f>
        <v>0</v>
      </c>
      <c r="G43">
        <f>IF(E43="","",SUMIFS(RaceResults!$E:$E,RaceResults!$A:$A,A43,RaceResults!$D:$D,E43))</f>
        <v>0</v>
      </c>
    </row>
    <row r="44" spans="1:7" x14ac:dyDescent="0.3">
      <c r="A44">
        <v>2</v>
      </c>
      <c r="B44" t="s">
        <v>50</v>
      </c>
      <c r="C44" t="s">
        <v>27</v>
      </c>
      <c r="D44">
        <v>1</v>
      </c>
      <c r="E44">
        <f>WeeklyPicks!D16</f>
        <v>0</v>
      </c>
      <c r="F44">
        <f>IF(E44="","",SUMIFS(RaceResults!$C:$C,RaceResults!$A:$A,A44,RaceResults!$D:$D,E44))</f>
        <v>0</v>
      </c>
      <c r="G44">
        <f>IF(E44="","",SUMIFS(RaceResults!$E:$E,RaceResults!$A:$A,A44,RaceResults!$D:$D,E44))</f>
        <v>0</v>
      </c>
    </row>
    <row r="45" spans="1:7" x14ac:dyDescent="0.3">
      <c r="A45">
        <v>2</v>
      </c>
      <c r="B45" t="s">
        <v>50</v>
      </c>
      <c r="C45" t="s">
        <v>27</v>
      </c>
      <c r="D45">
        <v>2</v>
      </c>
      <c r="E45">
        <f>WeeklyPicks!E16</f>
        <v>0</v>
      </c>
      <c r="F45">
        <f>IF(E45="","",SUMIFS(RaceResults!$C:$C,RaceResults!$A:$A,A45,RaceResults!$D:$D,E45))</f>
        <v>0</v>
      </c>
      <c r="G45">
        <f>IF(E45="","",SUMIFS(RaceResults!$E:$E,RaceResults!$A:$A,A45,RaceResults!$D:$D,E45))</f>
        <v>0</v>
      </c>
    </row>
    <row r="46" spans="1:7" x14ac:dyDescent="0.3">
      <c r="A46">
        <v>2</v>
      </c>
      <c r="B46" t="s">
        <v>50</v>
      </c>
      <c r="C46" t="s">
        <v>27</v>
      </c>
      <c r="D46">
        <v>3</v>
      </c>
      <c r="E46">
        <f>WeeklyPicks!F16</f>
        <v>0</v>
      </c>
      <c r="F46">
        <f>IF(E46="","",SUMIFS(RaceResults!$C:$C,RaceResults!$A:$A,A46,RaceResults!$D:$D,E46))</f>
        <v>0</v>
      </c>
      <c r="G46">
        <f>IF(E46="","",SUMIFS(RaceResults!$E:$E,RaceResults!$A:$A,A46,RaceResults!$D:$D,E46))</f>
        <v>0</v>
      </c>
    </row>
    <row r="47" spans="1:7" x14ac:dyDescent="0.3">
      <c r="A47">
        <v>2</v>
      </c>
      <c r="B47" t="s">
        <v>50</v>
      </c>
      <c r="C47" t="s">
        <v>28</v>
      </c>
      <c r="D47">
        <v>1</v>
      </c>
      <c r="E47">
        <f>WeeklyPicks!D17</f>
        <v>0</v>
      </c>
      <c r="F47">
        <f>IF(E47="","",SUMIFS(RaceResults!$C:$C,RaceResults!$A:$A,A47,RaceResults!$D:$D,E47))</f>
        <v>0</v>
      </c>
      <c r="G47">
        <f>IF(E47="","",SUMIFS(RaceResults!$E:$E,RaceResults!$A:$A,A47,RaceResults!$D:$D,E47))</f>
        <v>0</v>
      </c>
    </row>
    <row r="48" spans="1:7" x14ac:dyDescent="0.3">
      <c r="A48">
        <v>2</v>
      </c>
      <c r="B48" t="s">
        <v>50</v>
      </c>
      <c r="C48" t="s">
        <v>28</v>
      </c>
      <c r="D48">
        <v>2</v>
      </c>
      <c r="E48">
        <f>WeeklyPicks!E17</f>
        <v>0</v>
      </c>
      <c r="F48">
        <f>IF(E48="","",SUMIFS(RaceResults!$C:$C,RaceResults!$A:$A,A48,RaceResults!$D:$D,E48))</f>
        <v>0</v>
      </c>
      <c r="G48">
        <f>IF(E48="","",SUMIFS(RaceResults!$E:$E,RaceResults!$A:$A,A48,RaceResults!$D:$D,E48))</f>
        <v>0</v>
      </c>
    </row>
    <row r="49" spans="1:7" x14ac:dyDescent="0.3">
      <c r="A49">
        <v>2</v>
      </c>
      <c r="B49" t="s">
        <v>50</v>
      </c>
      <c r="C49" t="s">
        <v>28</v>
      </c>
      <c r="D49">
        <v>3</v>
      </c>
      <c r="E49">
        <f>WeeklyPicks!F17</f>
        <v>0</v>
      </c>
      <c r="F49">
        <f>IF(E49="","",SUMIFS(RaceResults!$C:$C,RaceResults!$A:$A,A49,RaceResults!$D:$D,E49))</f>
        <v>0</v>
      </c>
      <c r="G49">
        <f>IF(E49="","",SUMIFS(RaceResults!$E:$E,RaceResults!$A:$A,A49,RaceResults!$D:$D,E49))</f>
        <v>0</v>
      </c>
    </row>
    <row r="50" spans="1:7" x14ac:dyDescent="0.3">
      <c r="A50">
        <v>2</v>
      </c>
      <c r="B50" t="s">
        <v>50</v>
      </c>
      <c r="C50" t="s">
        <v>29</v>
      </c>
      <c r="D50">
        <v>1</v>
      </c>
      <c r="E50">
        <f>WeeklyPicks!D18</f>
        <v>0</v>
      </c>
      <c r="F50">
        <f>IF(E50="","",SUMIFS(RaceResults!$C:$C,RaceResults!$A:$A,A50,RaceResults!$D:$D,E50))</f>
        <v>0</v>
      </c>
      <c r="G50">
        <f>IF(E50="","",SUMIFS(RaceResults!$E:$E,RaceResults!$A:$A,A50,RaceResults!$D:$D,E50))</f>
        <v>0</v>
      </c>
    </row>
    <row r="51" spans="1:7" x14ac:dyDescent="0.3">
      <c r="A51">
        <v>2</v>
      </c>
      <c r="B51" t="s">
        <v>50</v>
      </c>
      <c r="C51" t="s">
        <v>29</v>
      </c>
      <c r="D51">
        <v>2</v>
      </c>
      <c r="E51">
        <f>WeeklyPicks!E18</f>
        <v>0</v>
      </c>
      <c r="F51">
        <f>IF(E51="","",SUMIFS(RaceResults!$C:$C,RaceResults!$A:$A,A51,RaceResults!$D:$D,E51))</f>
        <v>0</v>
      </c>
      <c r="G51">
        <f>IF(E51="","",SUMIFS(RaceResults!$E:$E,RaceResults!$A:$A,A51,RaceResults!$D:$D,E51))</f>
        <v>0</v>
      </c>
    </row>
    <row r="52" spans="1:7" x14ac:dyDescent="0.3">
      <c r="A52">
        <v>2</v>
      </c>
      <c r="B52" t="s">
        <v>50</v>
      </c>
      <c r="C52" t="s">
        <v>29</v>
      </c>
      <c r="D52">
        <v>3</v>
      </c>
      <c r="E52">
        <f>WeeklyPicks!F18</f>
        <v>0</v>
      </c>
      <c r="F52">
        <f>IF(E52="","",SUMIFS(RaceResults!$C:$C,RaceResults!$A:$A,A52,RaceResults!$D:$D,E52))</f>
        <v>0</v>
      </c>
      <c r="G52">
        <f>IF(E52="","",SUMIFS(RaceResults!$E:$E,RaceResults!$A:$A,A52,RaceResults!$D:$D,E52))</f>
        <v>0</v>
      </c>
    </row>
    <row r="53" spans="1:7" x14ac:dyDescent="0.3">
      <c r="A53">
        <v>2</v>
      </c>
      <c r="B53" t="s">
        <v>50</v>
      </c>
      <c r="C53" t="s">
        <v>30</v>
      </c>
      <c r="D53">
        <v>1</v>
      </c>
      <c r="E53">
        <f>WeeklyPicks!D19</f>
        <v>0</v>
      </c>
      <c r="F53">
        <f>IF(E53="","",SUMIFS(RaceResults!$C:$C,RaceResults!$A:$A,A53,RaceResults!$D:$D,E53))</f>
        <v>0</v>
      </c>
      <c r="G53">
        <f>IF(E53="","",SUMIFS(RaceResults!$E:$E,RaceResults!$A:$A,A53,RaceResults!$D:$D,E53))</f>
        <v>0</v>
      </c>
    </row>
    <row r="54" spans="1:7" x14ac:dyDescent="0.3">
      <c r="A54">
        <v>2</v>
      </c>
      <c r="B54" t="s">
        <v>50</v>
      </c>
      <c r="C54" t="s">
        <v>30</v>
      </c>
      <c r="D54">
        <v>2</v>
      </c>
      <c r="E54">
        <f>WeeklyPicks!E19</f>
        <v>0</v>
      </c>
      <c r="F54">
        <f>IF(E54="","",SUMIFS(RaceResults!$C:$C,RaceResults!$A:$A,A54,RaceResults!$D:$D,E54))</f>
        <v>0</v>
      </c>
      <c r="G54">
        <f>IF(E54="","",SUMIFS(RaceResults!$E:$E,RaceResults!$A:$A,A54,RaceResults!$D:$D,E54))</f>
        <v>0</v>
      </c>
    </row>
    <row r="55" spans="1:7" x14ac:dyDescent="0.3">
      <c r="A55">
        <v>2</v>
      </c>
      <c r="B55" t="s">
        <v>50</v>
      </c>
      <c r="C55" t="s">
        <v>30</v>
      </c>
      <c r="D55">
        <v>3</v>
      </c>
      <c r="E55">
        <f>WeeklyPicks!F19</f>
        <v>0</v>
      </c>
      <c r="F55">
        <f>IF(E55="","",SUMIFS(RaceResults!$C:$C,RaceResults!$A:$A,A55,RaceResults!$D:$D,E55))</f>
        <v>0</v>
      </c>
      <c r="G55">
        <f>IF(E55="","",SUMIFS(RaceResults!$E:$E,RaceResults!$A:$A,A55,RaceResults!$D:$D,E55))</f>
        <v>0</v>
      </c>
    </row>
    <row r="56" spans="1:7" x14ac:dyDescent="0.3">
      <c r="A56">
        <v>2</v>
      </c>
      <c r="B56" t="s">
        <v>50</v>
      </c>
      <c r="C56" t="s">
        <v>31</v>
      </c>
      <c r="D56">
        <v>1</v>
      </c>
      <c r="E56">
        <f>WeeklyPicks!D20</f>
        <v>0</v>
      </c>
      <c r="F56">
        <f>IF(E56="","",SUMIFS(RaceResults!$C:$C,RaceResults!$A:$A,A56,RaceResults!$D:$D,E56))</f>
        <v>0</v>
      </c>
      <c r="G56">
        <f>IF(E56="","",SUMIFS(RaceResults!$E:$E,RaceResults!$A:$A,A56,RaceResults!$D:$D,E56))</f>
        <v>0</v>
      </c>
    </row>
    <row r="57" spans="1:7" x14ac:dyDescent="0.3">
      <c r="A57">
        <v>2</v>
      </c>
      <c r="B57" t="s">
        <v>50</v>
      </c>
      <c r="C57" t="s">
        <v>31</v>
      </c>
      <c r="D57">
        <v>2</v>
      </c>
      <c r="E57">
        <f>WeeklyPicks!E20</f>
        <v>0</v>
      </c>
      <c r="F57">
        <f>IF(E57="","",SUMIFS(RaceResults!$C:$C,RaceResults!$A:$A,A57,RaceResults!$D:$D,E57))</f>
        <v>0</v>
      </c>
      <c r="G57">
        <f>IF(E57="","",SUMIFS(RaceResults!$E:$E,RaceResults!$A:$A,A57,RaceResults!$D:$D,E57))</f>
        <v>0</v>
      </c>
    </row>
    <row r="58" spans="1:7" x14ac:dyDescent="0.3">
      <c r="A58">
        <v>2</v>
      </c>
      <c r="B58" t="s">
        <v>50</v>
      </c>
      <c r="C58" t="s">
        <v>31</v>
      </c>
      <c r="D58">
        <v>3</v>
      </c>
      <c r="E58">
        <f>WeeklyPicks!F20</f>
        <v>0</v>
      </c>
      <c r="F58">
        <f>IF(E58="","",SUMIFS(RaceResults!$C:$C,RaceResults!$A:$A,A58,RaceResults!$D:$D,E58))</f>
        <v>0</v>
      </c>
      <c r="G58">
        <f>IF(E58="","",SUMIFS(RaceResults!$E:$E,RaceResults!$A:$A,A58,RaceResults!$D:$D,E58))</f>
        <v>0</v>
      </c>
    </row>
    <row r="59" spans="1:7" x14ac:dyDescent="0.3">
      <c r="A59">
        <v>2</v>
      </c>
      <c r="B59" t="s">
        <v>50</v>
      </c>
      <c r="C59" t="s">
        <v>32</v>
      </c>
      <c r="D59">
        <v>1</v>
      </c>
      <c r="E59">
        <f>WeeklyPicks!D21</f>
        <v>0</v>
      </c>
      <c r="F59">
        <f>IF(E59="","",SUMIFS(RaceResults!$C:$C,RaceResults!$A:$A,A59,RaceResults!$D:$D,E59))</f>
        <v>0</v>
      </c>
      <c r="G59">
        <f>IF(E59="","",SUMIFS(RaceResults!$E:$E,RaceResults!$A:$A,A59,RaceResults!$D:$D,E59))</f>
        <v>0</v>
      </c>
    </row>
    <row r="60" spans="1:7" x14ac:dyDescent="0.3">
      <c r="A60">
        <v>2</v>
      </c>
      <c r="B60" t="s">
        <v>50</v>
      </c>
      <c r="C60" t="s">
        <v>32</v>
      </c>
      <c r="D60">
        <v>2</v>
      </c>
      <c r="E60">
        <f>WeeklyPicks!E21</f>
        <v>0</v>
      </c>
      <c r="F60">
        <f>IF(E60="","",SUMIFS(RaceResults!$C:$C,RaceResults!$A:$A,A60,RaceResults!$D:$D,E60))</f>
        <v>0</v>
      </c>
      <c r="G60">
        <f>IF(E60="","",SUMIFS(RaceResults!$E:$E,RaceResults!$A:$A,A60,RaceResults!$D:$D,E60))</f>
        <v>0</v>
      </c>
    </row>
    <row r="61" spans="1:7" x14ac:dyDescent="0.3">
      <c r="A61">
        <v>2</v>
      </c>
      <c r="B61" t="s">
        <v>50</v>
      </c>
      <c r="C61" t="s">
        <v>32</v>
      </c>
      <c r="D61">
        <v>3</v>
      </c>
      <c r="E61">
        <f>WeeklyPicks!F21</f>
        <v>0</v>
      </c>
      <c r="F61">
        <f>IF(E61="","",SUMIFS(RaceResults!$C:$C,RaceResults!$A:$A,A61,RaceResults!$D:$D,E61))</f>
        <v>0</v>
      </c>
      <c r="G61">
        <f>IF(E61="","",SUMIFS(RaceResults!$E:$E,RaceResults!$A:$A,A61,RaceResults!$D:$D,E61))</f>
        <v>0</v>
      </c>
    </row>
    <row r="62" spans="1:7" x14ac:dyDescent="0.3">
      <c r="A62">
        <v>3</v>
      </c>
      <c r="B62" t="s">
        <v>52</v>
      </c>
      <c r="C62" t="s">
        <v>21</v>
      </c>
      <c r="D62">
        <v>1</v>
      </c>
      <c r="E62">
        <f>WeeklyPicks!D22</f>
        <v>97</v>
      </c>
      <c r="F62">
        <f>IF(E62="","",SUMIFS(RaceResults!$C:$C,RaceResults!$A:$A,A62,RaceResults!$D:$D,E62))</f>
        <v>2</v>
      </c>
      <c r="G62">
        <f>IF(E62="","",SUMIFS(RaceResults!$E:$E,RaceResults!$A:$A,A62,RaceResults!$D:$D,E62))</f>
        <v>35</v>
      </c>
    </row>
    <row r="63" spans="1:7" x14ac:dyDescent="0.3">
      <c r="A63">
        <v>3</v>
      </c>
      <c r="B63" t="s">
        <v>52</v>
      </c>
      <c r="C63" t="s">
        <v>21</v>
      </c>
      <c r="D63">
        <v>2</v>
      </c>
      <c r="E63">
        <f>WeeklyPicks!E22</f>
        <v>20</v>
      </c>
      <c r="F63">
        <f>IF(E63="","",SUMIFS(RaceResults!$C:$C,RaceResults!$A:$A,A63,RaceResults!$D:$D,E63))</f>
        <v>3</v>
      </c>
      <c r="G63">
        <f>IF(E63="","",SUMIFS(RaceResults!$E:$E,RaceResults!$A:$A,A63,RaceResults!$D:$D,E63))</f>
        <v>34</v>
      </c>
    </row>
    <row r="64" spans="1:7" x14ac:dyDescent="0.3">
      <c r="A64">
        <v>3</v>
      </c>
      <c r="B64" t="s">
        <v>52</v>
      </c>
      <c r="C64" t="s">
        <v>21</v>
      </c>
      <c r="D64">
        <v>3</v>
      </c>
      <c r="E64">
        <f>WeeklyPicks!F22</f>
        <v>9</v>
      </c>
      <c r="F64">
        <f>IF(E64="","",SUMIFS(RaceResults!$C:$C,RaceResults!$A:$A,A64,RaceResults!$D:$D,E64))</f>
        <v>7</v>
      </c>
      <c r="G64">
        <f>IF(E64="","",SUMIFS(RaceResults!$E:$E,RaceResults!$A:$A,A64,RaceResults!$D:$D,E64))</f>
        <v>30</v>
      </c>
    </row>
    <row r="65" spans="1:7" x14ac:dyDescent="0.3">
      <c r="A65">
        <v>3</v>
      </c>
      <c r="B65" t="s">
        <v>52</v>
      </c>
      <c r="C65" t="s">
        <v>22</v>
      </c>
      <c r="D65">
        <v>1</v>
      </c>
      <c r="E65">
        <f>WeeklyPicks!D23</f>
        <v>45</v>
      </c>
      <c r="F65">
        <f>IF(E65="","",SUMIFS(RaceResults!$C:$C,RaceResults!$A:$A,A65,RaceResults!$D:$D,E65))</f>
        <v>1</v>
      </c>
      <c r="G65">
        <f>IF(E65="","",SUMIFS(RaceResults!$E:$E,RaceResults!$A:$A,A65,RaceResults!$D:$D,E65))</f>
        <v>55</v>
      </c>
    </row>
    <row r="66" spans="1:7" x14ac:dyDescent="0.3">
      <c r="A66">
        <v>3</v>
      </c>
      <c r="B66" t="s">
        <v>52</v>
      </c>
      <c r="C66" t="s">
        <v>22</v>
      </c>
      <c r="D66">
        <v>2</v>
      </c>
      <c r="E66">
        <f>WeeklyPicks!E23</f>
        <v>12</v>
      </c>
      <c r="F66">
        <f>IF(E66="","",SUMIFS(RaceResults!$C:$C,RaceResults!$A:$A,A66,RaceResults!$D:$D,E66))</f>
        <v>8</v>
      </c>
      <c r="G66">
        <f>IF(E66="","",SUMIFS(RaceResults!$E:$E,RaceResults!$A:$A,A66,RaceResults!$D:$D,E66))</f>
        <v>29</v>
      </c>
    </row>
    <row r="67" spans="1:7" x14ac:dyDescent="0.3">
      <c r="A67">
        <v>3</v>
      </c>
      <c r="B67" t="s">
        <v>52</v>
      </c>
      <c r="C67" t="s">
        <v>22</v>
      </c>
      <c r="D67">
        <v>3</v>
      </c>
      <c r="E67">
        <f>WeeklyPicks!F23</f>
        <v>11</v>
      </c>
      <c r="F67">
        <f>IF(E67="","",SUMIFS(RaceResults!$C:$C,RaceResults!$A:$A,A67,RaceResults!$D:$D,E67))</f>
        <v>10</v>
      </c>
      <c r="G67">
        <f>IF(E67="","",SUMIFS(RaceResults!$E:$E,RaceResults!$A:$A,A67,RaceResults!$D:$D,E67))</f>
        <v>27</v>
      </c>
    </row>
    <row r="68" spans="1:7" x14ac:dyDescent="0.3">
      <c r="A68">
        <v>3</v>
      </c>
      <c r="B68" t="s">
        <v>52</v>
      </c>
      <c r="C68" t="s">
        <v>25</v>
      </c>
      <c r="D68">
        <v>1</v>
      </c>
      <c r="E68">
        <f>WeeklyPicks!D24</f>
        <v>19</v>
      </c>
      <c r="F68">
        <f>IF(E68="","",SUMIFS(RaceResults!$C:$C,RaceResults!$A:$A,A68,RaceResults!$D:$D,E68))</f>
        <v>37</v>
      </c>
      <c r="G68">
        <f>IF(E68="","",SUMIFS(RaceResults!$E:$E,RaceResults!$A:$A,A68,RaceResults!$D:$D,E68))</f>
        <v>1</v>
      </c>
    </row>
    <row r="69" spans="1:7" x14ac:dyDescent="0.3">
      <c r="A69">
        <v>3</v>
      </c>
      <c r="B69" t="s">
        <v>52</v>
      </c>
      <c r="C69" t="s">
        <v>25</v>
      </c>
      <c r="D69">
        <v>2</v>
      </c>
      <c r="E69">
        <f>WeeklyPicks!E24</f>
        <v>20</v>
      </c>
      <c r="F69">
        <f>IF(E69="","",SUMIFS(RaceResults!$C:$C,RaceResults!$A:$A,A69,RaceResults!$D:$D,E69))</f>
        <v>3</v>
      </c>
      <c r="G69">
        <f>IF(E69="","",SUMIFS(RaceResults!$E:$E,RaceResults!$A:$A,A69,RaceResults!$D:$D,E69))</f>
        <v>34</v>
      </c>
    </row>
    <row r="70" spans="1:7" x14ac:dyDescent="0.3">
      <c r="A70">
        <v>3</v>
      </c>
      <c r="B70" t="s">
        <v>52</v>
      </c>
      <c r="C70" t="s">
        <v>25</v>
      </c>
      <c r="D70">
        <v>3</v>
      </c>
      <c r="E70">
        <f>WeeklyPicks!F24</f>
        <v>24</v>
      </c>
      <c r="F70">
        <f>IF(E70="","",SUMIFS(RaceResults!$C:$C,RaceResults!$A:$A,A70,RaceResults!$D:$D,E70))</f>
        <v>13</v>
      </c>
      <c r="G70">
        <f>IF(E70="","",SUMIFS(RaceResults!$E:$E,RaceResults!$A:$A,A70,RaceResults!$D:$D,E70))</f>
        <v>24</v>
      </c>
    </row>
    <row r="71" spans="1:7" x14ac:dyDescent="0.3">
      <c r="A71">
        <v>3</v>
      </c>
      <c r="B71" t="s">
        <v>52</v>
      </c>
      <c r="C71" t="s">
        <v>26</v>
      </c>
      <c r="D71">
        <v>1</v>
      </c>
      <c r="E71">
        <f>WeeklyPicks!D25</f>
        <v>97</v>
      </c>
      <c r="F71">
        <f>IF(E71="","",SUMIFS(RaceResults!$C:$C,RaceResults!$A:$A,A71,RaceResults!$D:$D,E71))</f>
        <v>2</v>
      </c>
      <c r="G71">
        <f>IF(E71="","",SUMIFS(RaceResults!$E:$E,RaceResults!$A:$A,A71,RaceResults!$D:$D,E71))</f>
        <v>35</v>
      </c>
    </row>
    <row r="72" spans="1:7" x14ac:dyDescent="0.3">
      <c r="A72">
        <v>3</v>
      </c>
      <c r="B72" t="s">
        <v>52</v>
      </c>
      <c r="C72" t="s">
        <v>26</v>
      </c>
      <c r="D72">
        <v>2</v>
      </c>
      <c r="E72">
        <f>WeeklyPicks!E25</f>
        <v>19</v>
      </c>
      <c r="F72">
        <f>IF(E72="","",SUMIFS(RaceResults!$C:$C,RaceResults!$A:$A,A72,RaceResults!$D:$D,E72))</f>
        <v>37</v>
      </c>
      <c r="G72">
        <f>IF(E72="","",SUMIFS(RaceResults!$E:$E,RaceResults!$A:$A,A72,RaceResults!$D:$D,E72))</f>
        <v>1</v>
      </c>
    </row>
    <row r="73" spans="1:7" x14ac:dyDescent="0.3">
      <c r="A73">
        <v>3</v>
      </c>
      <c r="B73" t="s">
        <v>52</v>
      </c>
      <c r="C73" t="s">
        <v>26</v>
      </c>
      <c r="D73">
        <v>3</v>
      </c>
      <c r="E73">
        <f>WeeklyPicks!F25</f>
        <v>11</v>
      </c>
      <c r="F73">
        <f>IF(E73="","",SUMIFS(RaceResults!$C:$C,RaceResults!$A:$A,A73,RaceResults!$D:$D,E73))</f>
        <v>10</v>
      </c>
      <c r="G73">
        <f>IF(E73="","",SUMIFS(RaceResults!$E:$E,RaceResults!$A:$A,A73,RaceResults!$D:$D,E73))</f>
        <v>27</v>
      </c>
    </row>
    <row r="74" spans="1:7" x14ac:dyDescent="0.3">
      <c r="A74">
        <v>3</v>
      </c>
      <c r="B74" t="s">
        <v>52</v>
      </c>
      <c r="C74" t="s">
        <v>27</v>
      </c>
      <c r="D74">
        <v>1</v>
      </c>
      <c r="E74">
        <f>WeeklyPicks!D26</f>
        <v>0</v>
      </c>
      <c r="F74">
        <f>IF(E74="","",SUMIFS(RaceResults!$C:$C,RaceResults!$A:$A,A74,RaceResults!$D:$D,E74))</f>
        <v>0</v>
      </c>
      <c r="G74">
        <f>IF(E74="","",SUMIFS(RaceResults!$E:$E,RaceResults!$A:$A,A74,RaceResults!$D:$D,E74))</f>
        <v>0</v>
      </c>
    </row>
    <row r="75" spans="1:7" x14ac:dyDescent="0.3">
      <c r="A75">
        <v>3</v>
      </c>
      <c r="B75" t="s">
        <v>52</v>
      </c>
      <c r="C75" t="s">
        <v>27</v>
      </c>
      <c r="D75">
        <v>2</v>
      </c>
      <c r="E75">
        <f>WeeklyPicks!E26</f>
        <v>0</v>
      </c>
      <c r="F75">
        <f>IF(E75="","",SUMIFS(RaceResults!$C:$C,RaceResults!$A:$A,A75,RaceResults!$D:$D,E75))</f>
        <v>0</v>
      </c>
      <c r="G75">
        <f>IF(E75="","",SUMIFS(RaceResults!$E:$E,RaceResults!$A:$A,A75,RaceResults!$D:$D,E75))</f>
        <v>0</v>
      </c>
    </row>
    <row r="76" spans="1:7" x14ac:dyDescent="0.3">
      <c r="A76">
        <v>3</v>
      </c>
      <c r="B76" t="s">
        <v>52</v>
      </c>
      <c r="C76" t="s">
        <v>27</v>
      </c>
      <c r="D76">
        <v>3</v>
      </c>
      <c r="E76">
        <f>WeeklyPicks!F26</f>
        <v>0</v>
      </c>
      <c r="F76">
        <f>IF(E76="","",SUMIFS(RaceResults!$C:$C,RaceResults!$A:$A,A76,RaceResults!$D:$D,E76))</f>
        <v>0</v>
      </c>
      <c r="G76">
        <f>IF(E76="","",SUMIFS(RaceResults!$E:$E,RaceResults!$A:$A,A76,RaceResults!$D:$D,E76))</f>
        <v>0</v>
      </c>
    </row>
    <row r="77" spans="1:7" x14ac:dyDescent="0.3">
      <c r="A77">
        <v>3</v>
      </c>
      <c r="B77" t="s">
        <v>52</v>
      </c>
      <c r="C77" t="s">
        <v>28</v>
      </c>
      <c r="D77">
        <v>1</v>
      </c>
      <c r="E77">
        <f>WeeklyPicks!D27</f>
        <v>0</v>
      </c>
      <c r="F77">
        <f>IF(E77="","",SUMIFS(RaceResults!$C:$C,RaceResults!$A:$A,A77,RaceResults!$D:$D,E77))</f>
        <v>0</v>
      </c>
      <c r="G77">
        <f>IF(E77="","",SUMIFS(RaceResults!$E:$E,RaceResults!$A:$A,A77,RaceResults!$D:$D,E77))</f>
        <v>0</v>
      </c>
    </row>
    <row r="78" spans="1:7" x14ac:dyDescent="0.3">
      <c r="A78">
        <v>3</v>
      </c>
      <c r="B78" t="s">
        <v>52</v>
      </c>
      <c r="C78" t="s">
        <v>28</v>
      </c>
      <c r="D78">
        <v>2</v>
      </c>
      <c r="E78">
        <f>WeeklyPicks!E27</f>
        <v>0</v>
      </c>
      <c r="F78">
        <f>IF(E78="","",SUMIFS(RaceResults!$C:$C,RaceResults!$A:$A,A78,RaceResults!$D:$D,E78))</f>
        <v>0</v>
      </c>
      <c r="G78">
        <f>IF(E78="","",SUMIFS(RaceResults!$E:$E,RaceResults!$A:$A,A78,RaceResults!$D:$D,E78))</f>
        <v>0</v>
      </c>
    </row>
    <row r="79" spans="1:7" x14ac:dyDescent="0.3">
      <c r="A79">
        <v>3</v>
      </c>
      <c r="B79" t="s">
        <v>52</v>
      </c>
      <c r="C79" t="s">
        <v>28</v>
      </c>
      <c r="D79">
        <v>3</v>
      </c>
      <c r="E79">
        <f>WeeklyPicks!F27</f>
        <v>0</v>
      </c>
      <c r="F79">
        <f>IF(E79="","",SUMIFS(RaceResults!$C:$C,RaceResults!$A:$A,A79,RaceResults!$D:$D,E79))</f>
        <v>0</v>
      </c>
      <c r="G79">
        <f>IF(E79="","",SUMIFS(RaceResults!$E:$E,RaceResults!$A:$A,A79,RaceResults!$D:$D,E79))</f>
        <v>0</v>
      </c>
    </row>
    <row r="80" spans="1:7" x14ac:dyDescent="0.3">
      <c r="A80">
        <v>3</v>
      </c>
      <c r="B80" t="s">
        <v>52</v>
      </c>
      <c r="C80" t="s">
        <v>29</v>
      </c>
      <c r="D80">
        <v>1</v>
      </c>
      <c r="E80">
        <f>WeeklyPicks!D28</f>
        <v>0</v>
      </c>
      <c r="F80">
        <f>IF(E80="","",SUMIFS(RaceResults!$C:$C,RaceResults!$A:$A,A80,RaceResults!$D:$D,E80))</f>
        <v>0</v>
      </c>
      <c r="G80">
        <f>IF(E80="","",SUMIFS(RaceResults!$E:$E,RaceResults!$A:$A,A80,RaceResults!$D:$D,E80))</f>
        <v>0</v>
      </c>
    </row>
    <row r="81" spans="1:7" x14ac:dyDescent="0.3">
      <c r="A81">
        <v>3</v>
      </c>
      <c r="B81" t="s">
        <v>52</v>
      </c>
      <c r="C81" t="s">
        <v>29</v>
      </c>
      <c r="D81">
        <v>2</v>
      </c>
      <c r="E81">
        <f>WeeklyPicks!E28</f>
        <v>0</v>
      </c>
      <c r="F81">
        <f>IF(E81="","",SUMIFS(RaceResults!$C:$C,RaceResults!$A:$A,A81,RaceResults!$D:$D,E81))</f>
        <v>0</v>
      </c>
      <c r="G81">
        <f>IF(E81="","",SUMIFS(RaceResults!$E:$E,RaceResults!$A:$A,A81,RaceResults!$D:$D,E81))</f>
        <v>0</v>
      </c>
    </row>
    <row r="82" spans="1:7" x14ac:dyDescent="0.3">
      <c r="A82">
        <v>3</v>
      </c>
      <c r="B82" t="s">
        <v>52</v>
      </c>
      <c r="C82" t="s">
        <v>29</v>
      </c>
      <c r="D82">
        <v>3</v>
      </c>
      <c r="E82">
        <f>WeeklyPicks!F28</f>
        <v>0</v>
      </c>
      <c r="F82">
        <f>IF(E82="","",SUMIFS(RaceResults!$C:$C,RaceResults!$A:$A,A82,RaceResults!$D:$D,E82))</f>
        <v>0</v>
      </c>
      <c r="G82">
        <f>IF(E82="","",SUMIFS(RaceResults!$E:$E,RaceResults!$A:$A,A82,RaceResults!$D:$D,E82))</f>
        <v>0</v>
      </c>
    </row>
    <row r="83" spans="1:7" x14ac:dyDescent="0.3">
      <c r="A83">
        <v>3</v>
      </c>
      <c r="B83" t="s">
        <v>52</v>
      </c>
      <c r="C83" t="s">
        <v>30</v>
      </c>
      <c r="D83">
        <v>1</v>
      </c>
      <c r="E83">
        <f>WeeklyPicks!D29</f>
        <v>0</v>
      </c>
      <c r="F83">
        <f>IF(E83="","",SUMIFS(RaceResults!$C:$C,RaceResults!$A:$A,A83,RaceResults!$D:$D,E83))</f>
        <v>0</v>
      </c>
      <c r="G83">
        <f>IF(E83="","",SUMIFS(RaceResults!$E:$E,RaceResults!$A:$A,A83,RaceResults!$D:$D,E83))</f>
        <v>0</v>
      </c>
    </row>
    <row r="84" spans="1:7" x14ac:dyDescent="0.3">
      <c r="A84">
        <v>3</v>
      </c>
      <c r="B84" t="s">
        <v>52</v>
      </c>
      <c r="C84" t="s">
        <v>30</v>
      </c>
      <c r="D84">
        <v>2</v>
      </c>
      <c r="E84">
        <f>WeeklyPicks!E29</f>
        <v>0</v>
      </c>
      <c r="F84">
        <f>IF(E84="","",SUMIFS(RaceResults!$C:$C,RaceResults!$A:$A,A84,RaceResults!$D:$D,E84))</f>
        <v>0</v>
      </c>
      <c r="G84">
        <f>IF(E84="","",SUMIFS(RaceResults!$E:$E,RaceResults!$A:$A,A84,RaceResults!$D:$D,E84))</f>
        <v>0</v>
      </c>
    </row>
    <row r="85" spans="1:7" x14ac:dyDescent="0.3">
      <c r="A85">
        <v>3</v>
      </c>
      <c r="B85" t="s">
        <v>52</v>
      </c>
      <c r="C85" t="s">
        <v>30</v>
      </c>
      <c r="D85">
        <v>3</v>
      </c>
      <c r="E85">
        <f>WeeklyPicks!F29</f>
        <v>0</v>
      </c>
      <c r="F85">
        <f>IF(E85="","",SUMIFS(RaceResults!$C:$C,RaceResults!$A:$A,A85,RaceResults!$D:$D,E85))</f>
        <v>0</v>
      </c>
      <c r="G85">
        <f>IF(E85="","",SUMIFS(RaceResults!$E:$E,RaceResults!$A:$A,A85,RaceResults!$D:$D,E85))</f>
        <v>0</v>
      </c>
    </row>
    <row r="86" spans="1:7" x14ac:dyDescent="0.3">
      <c r="A86">
        <v>3</v>
      </c>
      <c r="B86" t="s">
        <v>52</v>
      </c>
      <c r="C86" t="s">
        <v>31</v>
      </c>
      <c r="D86">
        <v>1</v>
      </c>
      <c r="E86">
        <f>WeeklyPicks!D30</f>
        <v>0</v>
      </c>
      <c r="F86">
        <f>IF(E86="","",SUMIFS(RaceResults!$C:$C,RaceResults!$A:$A,A86,RaceResults!$D:$D,E86))</f>
        <v>0</v>
      </c>
      <c r="G86">
        <f>IF(E86="","",SUMIFS(RaceResults!$E:$E,RaceResults!$A:$A,A86,RaceResults!$D:$D,E86))</f>
        <v>0</v>
      </c>
    </row>
    <row r="87" spans="1:7" x14ac:dyDescent="0.3">
      <c r="A87">
        <v>3</v>
      </c>
      <c r="B87" t="s">
        <v>52</v>
      </c>
      <c r="C87" t="s">
        <v>31</v>
      </c>
      <c r="D87">
        <v>2</v>
      </c>
      <c r="E87">
        <f>WeeklyPicks!E30</f>
        <v>0</v>
      </c>
      <c r="F87">
        <f>IF(E87="","",SUMIFS(RaceResults!$C:$C,RaceResults!$A:$A,A87,RaceResults!$D:$D,E87))</f>
        <v>0</v>
      </c>
      <c r="G87">
        <f>IF(E87="","",SUMIFS(RaceResults!$E:$E,RaceResults!$A:$A,A87,RaceResults!$D:$D,E87))</f>
        <v>0</v>
      </c>
    </row>
    <row r="88" spans="1:7" x14ac:dyDescent="0.3">
      <c r="A88">
        <v>3</v>
      </c>
      <c r="B88" t="s">
        <v>52</v>
      </c>
      <c r="C88" t="s">
        <v>31</v>
      </c>
      <c r="D88">
        <v>3</v>
      </c>
      <c r="E88">
        <f>WeeklyPicks!F30</f>
        <v>0</v>
      </c>
      <c r="F88">
        <f>IF(E88="","",SUMIFS(RaceResults!$C:$C,RaceResults!$A:$A,A88,RaceResults!$D:$D,E88))</f>
        <v>0</v>
      </c>
      <c r="G88">
        <f>IF(E88="","",SUMIFS(RaceResults!$E:$E,RaceResults!$A:$A,A88,RaceResults!$D:$D,E88))</f>
        <v>0</v>
      </c>
    </row>
    <row r="89" spans="1:7" x14ac:dyDescent="0.3">
      <c r="A89">
        <v>3</v>
      </c>
      <c r="B89" t="s">
        <v>52</v>
      </c>
      <c r="C89" t="s">
        <v>32</v>
      </c>
      <c r="D89">
        <v>1</v>
      </c>
      <c r="E89">
        <f>WeeklyPicks!D31</f>
        <v>0</v>
      </c>
      <c r="F89">
        <f>IF(E89="","",SUMIFS(RaceResults!$C:$C,RaceResults!$A:$A,A89,RaceResults!$D:$D,E89))</f>
        <v>0</v>
      </c>
      <c r="G89">
        <f>IF(E89="","",SUMIFS(RaceResults!$E:$E,RaceResults!$A:$A,A89,RaceResults!$D:$D,E89))</f>
        <v>0</v>
      </c>
    </row>
    <row r="90" spans="1:7" x14ac:dyDescent="0.3">
      <c r="A90">
        <v>3</v>
      </c>
      <c r="B90" t="s">
        <v>52</v>
      </c>
      <c r="C90" t="s">
        <v>32</v>
      </c>
      <c r="D90">
        <v>2</v>
      </c>
      <c r="E90">
        <f>WeeklyPicks!E31</f>
        <v>0</v>
      </c>
      <c r="F90">
        <f>IF(E90="","",SUMIFS(RaceResults!$C:$C,RaceResults!$A:$A,A90,RaceResults!$D:$D,E90))</f>
        <v>0</v>
      </c>
      <c r="G90">
        <f>IF(E90="","",SUMIFS(RaceResults!$E:$E,RaceResults!$A:$A,A90,RaceResults!$D:$D,E90))</f>
        <v>0</v>
      </c>
    </row>
    <row r="91" spans="1:7" x14ac:dyDescent="0.3">
      <c r="A91">
        <v>3</v>
      </c>
      <c r="B91" t="s">
        <v>52</v>
      </c>
      <c r="C91" t="s">
        <v>32</v>
      </c>
      <c r="D91">
        <v>3</v>
      </c>
      <c r="E91">
        <f>WeeklyPicks!F31</f>
        <v>0</v>
      </c>
      <c r="F91">
        <f>IF(E91="","",SUMIFS(RaceResults!$C:$C,RaceResults!$A:$A,A91,RaceResults!$D:$D,E91))</f>
        <v>0</v>
      </c>
      <c r="G91">
        <f>IF(E91="","",SUMIFS(RaceResults!$E:$E,RaceResults!$A:$A,A91,RaceResults!$D:$D,E91))</f>
        <v>0</v>
      </c>
    </row>
    <row r="92" spans="1:7" x14ac:dyDescent="0.3">
      <c r="A92">
        <v>4</v>
      </c>
      <c r="B92" t="s">
        <v>54</v>
      </c>
      <c r="C92" t="s">
        <v>21</v>
      </c>
      <c r="D92">
        <v>1</v>
      </c>
      <c r="E92">
        <f>WeeklyPicks!D32</f>
        <v>5</v>
      </c>
      <c r="F92">
        <f>IF(E92="","",SUMIFS(RaceResults!$C:$C,RaceResults!$A:$A,A92,RaceResults!$D:$D,E92))</f>
        <v>3</v>
      </c>
      <c r="G92">
        <f>IF(E92="","",SUMIFS(RaceResults!$E:$E,RaceResults!$A:$A,A92,RaceResults!$D:$D,E92))</f>
        <v>34</v>
      </c>
    </row>
    <row r="93" spans="1:7" x14ac:dyDescent="0.3">
      <c r="A93">
        <v>4</v>
      </c>
      <c r="B93" t="s">
        <v>54</v>
      </c>
      <c r="C93" t="s">
        <v>21</v>
      </c>
      <c r="D93">
        <v>2</v>
      </c>
      <c r="E93">
        <f>WeeklyPicks!E32</f>
        <v>11</v>
      </c>
      <c r="F93">
        <f>IF(E93="","",SUMIFS(RaceResults!$C:$C,RaceResults!$A:$A,A93,RaceResults!$D:$D,E93))</f>
        <v>5</v>
      </c>
      <c r="G93">
        <f>IF(E93="","",SUMIFS(RaceResults!$E:$E,RaceResults!$A:$A,A93,RaceResults!$D:$D,E93))</f>
        <v>32</v>
      </c>
    </row>
    <row r="94" spans="1:7" x14ac:dyDescent="0.3">
      <c r="A94">
        <v>4</v>
      </c>
      <c r="B94" t="s">
        <v>54</v>
      </c>
      <c r="C94" t="s">
        <v>21</v>
      </c>
      <c r="D94">
        <v>3</v>
      </c>
      <c r="E94">
        <f>WeeklyPicks!F32</f>
        <v>45</v>
      </c>
      <c r="F94">
        <f>IF(E94="","",SUMIFS(RaceResults!$C:$C,RaceResults!$A:$A,A94,RaceResults!$D:$D,E94))</f>
        <v>8</v>
      </c>
      <c r="G94">
        <f>IF(E94="","",SUMIFS(RaceResults!$E:$E,RaceResults!$A:$A,A94,RaceResults!$D:$D,E94))</f>
        <v>29</v>
      </c>
    </row>
    <row r="95" spans="1:7" x14ac:dyDescent="0.3">
      <c r="A95">
        <v>4</v>
      </c>
      <c r="B95" t="s">
        <v>54</v>
      </c>
      <c r="C95" t="s">
        <v>22</v>
      </c>
      <c r="D95">
        <v>1</v>
      </c>
      <c r="E95">
        <f>WeeklyPicks!D33</f>
        <v>7</v>
      </c>
      <c r="F95">
        <f>IF(E95="","",SUMIFS(RaceResults!$C:$C,RaceResults!$A:$A,A95,RaceResults!$D:$D,E95))</f>
        <v>30</v>
      </c>
      <c r="G95">
        <f>IF(E95="","",SUMIFS(RaceResults!$E:$E,RaceResults!$A:$A,A95,RaceResults!$D:$D,E95))</f>
        <v>7</v>
      </c>
    </row>
    <row r="96" spans="1:7" x14ac:dyDescent="0.3">
      <c r="A96">
        <v>4</v>
      </c>
      <c r="B96" t="s">
        <v>54</v>
      </c>
      <c r="C96" t="s">
        <v>22</v>
      </c>
      <c r="D96">
        <v>2</v>
      </c>
      <c r="E96">
        <f>WeeklyPicks!E33</f>
        <v>12</v>
      </c>
      <c r="F96">
        <f>IF(E96="","",SUMIFS(RaceResults!$C:$C,RaceResults!$A:$A,A96,RaceResults!$D:$D,E96))</f>
        <v>1</v>
      </c>
      <c r="G96">
        <f>IF(E96="","",SUMIFS(RaceResults!$E:$E,RaceResults!$A:$A,A96,RaceResults!$D:$D,E96))</f>
        <v>55</v>
      </c>
    </row>
    <row r="97" spans="1:7" x14ac:dyDescent="0.3">
      <c r="A97">
        <v>4</v>
      </c>
      <c r="B97" t="s">
        <v>54</v>
      </c>
      <c r="C97" t="s">
        <v>22</v>
      </c>
      <c r="D97">
        <v>3</v>
      </c>
      <c r="E97">
        <f>WeeklyPicks!F33</f>
        <v>1</v>
      </c>
      <c r="F97">
        <f>IF(E97="","",SUMIFS(RaceResults!$C:$C,RaceResults!$A:$A,A97,RaceResults!$D:$D,E97))</f>
        <v>28</v>
      </c>
      <c r="G97">
        <f>IF(E97="","",SUMIFS(RaceResults!$E:$E,RaceResults!$A:$A,A97,RaceResults!$D:$D,E97))</f>
        <v>9</v>
      </c>
    </row>
    <row r="98" spans="1:7" x14ac:dyDescent="0.3">
      <c r="A98">
        <v>4</v>
      </c>
      <c r="B98" t="s">
        <v>54</v>
      </c>
      <c r="C98" t="s">
        <v>25</v>
      </c>
      <c r="D98">
        <v>1</v>
      </c>
      <c r="E98">
        <f>WeeklyPicks!D34</f>
        <v>21</v>
      </c>
      <c r="F98">
        <f>IF(E98="","",SUMIFS(RaceResults!$C:$C,RaceResults!$A:$A,A98,RaceResults!$D:$D,E98))</f>
        <v>32</v>
      </c>
      <c r="G98">
        <f>IF(E98="","",SUMIFS(RaceResults!$E:$E,RaceResults!$A:$A,A98,RaceResults!$D:$D,E98))</f>
        <v>5</v>
      </c>
    </row>
    <row r="99" spans="1:7" x14ac:dyDescent="0.3">
      <c r="A99">
        <v>4</v>
      </c>
      <c r="B99" t="s">
        <v>54</v>
      </c>
      <c r="C99" t="s">
        <v>25</v>
      </c>
      <c r="D99">
        <v>2</v>
      </c>
      <c r="E99">
        <f>WeeklyPicks!E34</f>
        <v>22</v>
      </c>
      <c r="F99">
        <f>IF(E99="","",SUMIFS(RaceResults!$C:$C,RaceResults!$A:$A,A99,RaceResults!$D:$D,E99))</f>
        <v>31</v>
      </c>
      <c r="G99">
        <f>IF(E99="","",SUMIFS(RaceResults!$E:$E,RaceResults!$A:$A,A99,RaceResults!$D:$D,E99))</f>
        <v>6</v>
      </c>
    </row>
    <row r="100" spans="1:7" x14ac:dyDescent="0.3">
      <c r="A100">
        <v>4</v>
      </c>
      <c r="B100" t="s">
        <v>54</v>
      </c>
      <c r="C100" t="s">
        <v>25</v>
      </c>
      <c r="D100">
        <v>3</v>
      </c>
      <c r="E100">
        <f>WeeklyPicks!F34</f>
        <v>24</v>
      </c>
      <c r="F100">
        <f>IF(E100="","",SUMIFS(RaceResults!$C:$C,RaceResults!$A:$A,A100,RaceResults!$D:$D,E100))</f>
        <v>7</v>
      </c>
      <c r="G100">
        <f>IF(E100="","",SUMIFS(RaceResults!$E:$E,RaceResults!$A:$A,A100,RaceResults!$D:$D,E100))</f>
        <v>30</v>
      </c>
    </row>
    <row r="101" spans="1:7" x14ac:dyDescent="0.3">
      <c r="A101">
        <v>4</v>
      </c>
      <c r="B101" t="s">
        <v>54</v>
      </c>
      <c r="C101" t="s">
        <v>26</v>
      </c>
      <c r="D101">
        <v>1</v>
      </c>
      <c r="E101">
        <f>WeeklyPicks!D35</f>
        <v>5</v>
      </c>
      <c r="F101">
        <f>IF(E101="","",SUMIFS(RaceResults!$C:$C,RaceResults!$A:$A,A101,RaceResults!$D:$D,E101))</f>
        <v>3</v>
      </c>
      <c r="G101">
        <f>IF(E101="","",SUMIFS(RaceResults!$E:$E,RaceResults!$A:$A,A101,RaceResults!$D:$D,E101))</f>
        <v>34</v>
      </c>
    </row>
    <row r="102" spans="1:7" x14ac:dyDescent="0.3">
      <c r="A102">
        <v>4</v>
      </c>
      <c r="B102" t="s">
        <v>54</v>
      </c>
      <c r="C102" t="s">
        <v>26</v>
      </c>
      <c r="D102">
        <v>2</v>
      </c>
      <c r="E102">
        <f>WeeklyPicks!E35</f>
        <v>12</v>
      </c>
      <c r="F102">
        <f>IF(E102="","",SUMIFS(RaceResults!$C:$C,RaceResults!$A:$A,A102,RaceResults!$D:$D,E102))</f>
        <v>1</v>
      </c>
      <c r="G102">
        <f>IF(E102="","",SUMIFS(RaceResults!$E:$E,RaceResults!$A:$A,A102,RaceResults!$D:$D,E102))</f>
        <v>55</v>
      </c>
    </row>
    <row r="103" spans="1:7" x14ac:dyDescent="0.3">
      <c r="A103">
        <v>4</v>
      </c>
      <c r="B103" t="s">
        <v>54</v>
      </c>
      <c r="C103" t="s">
        <v>26</v>
      </c>
      <c r="D103">
        <v>3</v>
      </c>
      <c r="E103">
        <f>WeeklyPicks!F35</f>
        <v>2</v>
      </c>
      <c r="F103">
        <f>IF(E103="","",SUMIFS(RaceResults!$C:$C,RaceResults!$A:$A,A103,RaceResults!$D:$D,E103))</f>
        <v>34</v>
      </c>
      <c r="G103">
        <f>IF(E103="","",SUMIFS(RaceResults!$E:$E,RaceResults!$A:$A,A103,RaceResults!$D:$D,E103))</f>
        <v>3</v>
      </c>
    </row>
    <row r="104" spans="1:7" x14ac:dyDescent="0.3">
      <c r="A104">
        <v>4</v>
      </c>
      <c r="B104" t="s">
        <v>54</v>
      </c>
      <c r="C104" t="s">
        <v>27</v>
      </c>
      <c r="D104">
        <v>1</v>
      </c>
      <c r="E104">
        <f>WeeklyPicks!D36</f>
        <v>45</v>
      </c>
      <c r="F104">
        <f>IF(E104="","",SUMIFS(RaceResults!$C:$C,RaceResults!$A:$A,A104,RaceResults!$D:$D,E104))</f>
        <v>8</v>
      </c>
      <c r="G104">
        <f>IF(E104="","",SUMIFS(RaceResults!$E:$E,RaceResults!$A:$A,A104,RaceResults!$D:$D,E104))</f>
        <v>29</v>
      </c>
    </row>
    <row r="105" spans="1:7" x14ac:dyDescent="0.3">
      <c r="A105">
        <v>4</v>
      </c>
      <c r="B105" t="s">
        <v>54</v>
      </c>
      <c r="C105" t="s">
        <v>27</v>
      </c>
      <c r="D105">
        <v>2</v>
      </c>
      <c r="E105">
        <f>WeeklyPicks!E36</f>
        <v>12</v>
      </c>
      <c r="F105">
        <f>IF(E105="","",SUMIFS(RaceResults!$C:$C,RaceResults!$A:$A,A105,RaceResults!$D:$D,E105))</f>
        <v>1</v>
      </c>
      <c r="G105">
        <f>IF(E105="","",SUMIFS(RaceResults!$E:$E,RaceResults!$A:$A,A105,RaceResults!$D:$D,E105))</f>
        <v>55</v>
      </c>
    </row>
    <row r="106" spans="1:7" x14ac:dyDescent="0.3">
      <c r="A106">
        <v>4</v>
      </c>
      <c r="B106" t="s">
        <v>54</v>
      </c>
      <c r="C106" t="s">
        <v>27</v>
      </c>
      <c r="D106">
        <v>3</v>
      </c>
      <c r="E106">
        <f>WeeklyPicks!F36</f>
        <v>19</v>
      </c>
      <c r="F106">
        <f>IF(E106="","",SUMIFS(RaceResults!$C:$C,RaceResults!$A:$A,A106,RaceResults!$D:$D,E106))</f>
        <v>37</v>
      </c>
      <c r="G106">
        <f>IF(E106="","",SUMIFS(RaceResults!$E:$E,RaceResults!$A:$A,A106,RaceResults!$D:$D,E106))</f>
        <v>1</v>
      </c>
    </row>
    <row r="107" spans="1:7" x14ac:dyDescent="0.3">
      <c r="A107">
        <v>4</v>
      </c>
      <c r="B107" t="s">
        <v>54</v>
      </c>
      <c r="C107" t="s">
        <v>28</v>
      </c>
      <c r="D107">
        <v>1</v>
      </c>
      <c r="E107">
        <f>WeeklyPicks!D37</f>
        <v>0</v>
      </c>
      <c r="F107">
        <f>IF(E107="","",SUMIFS(RaceResults!$C:$C,RaceResults!$A:$A,A107,RaceResults!$D:$D,E107))</f>
        <v>0</v>
      </c>
      <c r="G107">
        <f>IF(E107="","",SUMIFS(RaceResults!$E:$E,RaceResults!$A:$A,A107,RaceResults!$D:$D,E107))</f>
        <v>0</v>
      </c>
    </row>
    <row r="108" spans="1:7" x14ac:dyDescent="0.3">
      <c r="A108">
        <v>4</v>
      </c>
      <c r="B108" t="s">
        <v>54</v>
      </c>
      <c r="C108" t="s">
        <v>28</v>
      </c>
      <c r="D108">
        <v>2</v>
      </c>
      <c r="E108">
        <f>WeeklyPicks!E37</f>
        <v>0</v>
      </c>
      <c r="F108">
        <f>IF(E108="","",SUMIFS(RaceResults!$C:$C,RaceResults!$A:$A,A108,RaceResults!$D:$D,E108))</f>
        <v>0</v>
      </c>
      <c r="G108">
        <f>IF(E108="","",SUMIFS(RaceResults!$E:$E,RaceResults!$A:$A,A108,RaceResults!$D:$D,E108))</f>
        <v>0</v>
      </c>
    </row>
    <row r="109" spans="1:7" x14ac:dyDescent="0.3">
      <c r="A109">
        <v>4</v>
      </c>
      <c r="B109" t="s">
        <v>54</v>
      </c>
      <c r="C109" t="s">
        <v>28</v>
      </c>
      <c r="D109">
        <v>3</v>
      </c>
      <c r="E109">
        <f>WeeklyPicks!F37</f>
        <v>0</v>
      </c>
      <c r="F109">
        <f>IF(E109="","",SUMIFS(RaceResults!$C:$C,RaceResults!$A:$A,A109,RaceResults!$D:$D,E109))</f>
        <v>0</v>
      </c>
      <c r="G109">
        <f>IF(E109="","",SUMIFS(RaceResults!$E:$E,RaceResults!$A:$A,A109,RaceResults!$D:$D,E109))</f>
        <v>0</v>
      </c>
    </row>
    <row r="110" spans="1:7" x14ac:dyDescent="0.3">
      <c r="A110">
        <v>4</v>
      </c>
      <c r="B110" t="s">
        <v>54</v>
      </c>
      <c r="C110" t="s">
        <v>29</v>
      </c>
      <c r="D110">
        <v>1</v>
      </c>
      <c r="E110">
        <f>WeeklyPicks!D38</f>
        <v>0</v>
      </c>
      <c r="F110">
        <f>IF(E110="","",SUMIFS(RaceResults!$C:$C,RaceResults!$A:$A,A110,RaceResults!$D:$D,E110))</f>
        <v>0</v>
      </c>
      <c r="G110">
        <f>IF(E110="","",SUMIFS(RaceResults!$E:$E,RaceResults!$A:$A,A110,RaceResults!$D:$D,E110))</f>
        <v>0</v>
      </c>
    </row>
    <row r="111" spans="1:7" x14ac:dyDescent="0.3">
      <c r="A111">
        <v>4</v>
      </c>
      <c r="B111" t="s">
        <v>54</v>
      </c>
      <c r="C111" t="s">
        <v>29</v>
      </c>
      <c r="D111">
        <v>2</v>
      </c>
      <c r="E111">
        <f>WeeklyPicks!E38</f>
        <v>0</v>
      </c>
      <c r="F111">
        <f>IF(E111="","",SUMIFS(RaceResults!$C:$C,RaceResults!$A:$A,A111,RaceResults!$D:$D,E111))</f>
        <v>0</v>
      </c>
      <c r="G111">
        <f>IF(E111="","",SUMIFS(RaceResults!$E:$E,RaceResults!$A:$A,A111,RaceResults!$D:$D,E111))</f>
        <v>0</v>
      </c>
    </row>
    <row r="112" spans="1:7" x14ac:dyDescent="0.3">
      <c r="A112">
        <v>4</v>
      </c>
      <c r="B112" t="s">
        <v>54</v>
      </c>
      <c r="C112" t="s">
        <v>29</v>
      </c>
      <c r="D112">
        <v>3</v>
      </c>
      <c r="E112">
        <f>WeeklyPicks!F38</f>
        <v>0</v>
      </c>
      <c r="F112">
        <f>IF(E112="","",SUMIFS(RaceResults!$C:$C,RaceResults!$A:$A,A112,RaceResults!$D:$D,E112))</f>
        <v>0</v>
      </c>
      <c r="G112">
        <f>IF(E112="","",SUMIFS(RaceResults!$E:$E,RaceResults!$A:$A,A112,RaceResults!$D:$D,E112))</f>
        <v>0</v>
      </c>
    </row>
    <row r="113" spans="1:7" x14ac:dyDescent="0.3">
      <c r="A113">
        <v>4</v>
      </c>
      <c r="B113" t="s">
        <v>54</v>
      </c>
      <c r="C113" t="s">
        <v>30</v>
      </c>
      <c r="D113">
        <v>1</v>
      </c>
      <c r="E113">
        <f>WeeklyPicks!D39</f>
        <v>0</v>
      </c>
      <c r="F113">
        <f>IF(E113="","",SUMIFS(RaceResults!$C:$C,RaceResults!$A:$A,A113,RaceResults!$D:$D,E113))</f>
        <v>0</v>
      </c>
      <c r="G113">
        <f>IF(E113="","",SUMIFS(RaceResults!$E:$E,RaceResults!$A:$A,A113,RaceResults!$D:$D,E113))</f>
        <v>0</v>
      </c>
    </row>
    <row r="114" spans="1:7" x14ac:dyDescent="0.3">
      <c r="A114">
        <v>4</v>
      </c>
      <c r="B114" t="s">
        <v>54</v>
      </c>
      <c r="C114" t="s">
        <v>30</v>
      </c>
      <c r="D114">
        <v>2</v>
      </c>
      <c r="E114">
        <f>WeeklyPicks!E39</f>
        <v>0</v>
      </c>
      <c r="F114">
        <f>IF(E114="","",SUMIFS(RaceResults!$C:$C,RaceResults!$A:$A,A114,RaceResults!$D:$D,E114))</f>
        <v>0</v>
      </c>
      <c r="G114">
        <f>IF(E114="","",SUMIFS(RaceResults!$E:$E,RaceResults!$A:$A,A114,RaceResults!$D:$D,E114))</f>
        <v>0</v>
      </c>
    </row>
    <row r="115" spans="1:7" x14ac:dyDescent="0.3">
      <c r="A115">
        <v>4</v>
      </c>
      <c r="B115" t="s">
        <v>54</v>
      </c>
      <c r="C115" t="s">
        <v>30</v>
      </c>
      <c r="D115">
        <v>3</v>
      </c>
      <c r="E115">
        <f>WeeklyPicks!F39</f>
        <v>0</v>
      </c>
      <c r="F115">
        <f>IF(E115="","",SUMIFS(RaceResults!$C:$C,RaceResults!$A:$A,A115,RaceResults!$D:$D,E115))</f>
        <v>0</v>
      </c>
      <c r="G115">
        <f>IF(E115="","",SUMIFS(RaceResults!$E:$E,RaceResults!$A:$A,A115,RaceResults!$D:$D,E115))</f>
        <v>0</v>
      </c>
    </row>
    <row r="116" spans="1:7" x14ac:dyDescent="0.3">
      <c r="A116">
        <v>4</v>
      </c>
      <c r="B116" t="s">
        <v>54</v>
      </c>
      <c r="C116" t="s">
        <v>31</v>
      </c>
      <c r="D116">
        <v>1</v>
      </c>
      <c r="E116">
        <f>WeeklyPicks!D40</f>
        <v>0</v>
      </c>
      <c r="F116">
        <f>IF(E116="","",SUMIFS(RaceResults!$C:$C,RaceResults!$A:$A,A116,RaceResults!$D:$D,E116))</f>
        <v>0</v>
      </c>
      <c r="G116">
        <f>IF(E116="","",SUMIFS(RaceResults!$E:$E,RaceResults!$A:$A,A116,RaceResults!$D:$D,E116))</f>
        <v>0</v>
      </c>
    </row>
    <row r="117" spans="1:7" x14ac:dyDescent="0.3">
      <c r="A117">
        <v>4</v>
      </c>
      <c r="B117" t="s">
        <v>54</v>
      </c>
      <c r="C117" t="s">
        <v>31</v>
      </c>
      <c r="D117">
        <v>2</v>
      </c>
      <c r="E117">
        <f>WeeklyPicks!E40</f>
        <v>0</v>
      </c>
      <c r="F117">
        <f>IF(E117="","",SUMIFS(RaceResults!$C:$C,RaceResults!$A:$A,A117,RaceResults!$D:$D,E117))</f>
        <v>0</v>
      </c>
      <c r="G117">
        <f>IF(E117="","",SUMIFS(RaceResults!$E:$E,RaceResults!$A:$A,A117,RaceResults!$D:$D,E117))</f>
        <v>0</v>
      </c>
    </row>
    <row r="118" spans="1:7" x14ac:dyDescent="0.3">
      <c r="A118">
        <v>4</v>
      </c>
      <c r="B118" t="s">
        <v>54</v>
      </c>
      <c r="C118" t="s">
        <v>31</v>
      </c>
      <c r="D118">
        <v>3</v>
      </c>
      <c r="E118">
        <f>WeeklyPicks!F40</f>
        <v>0</v>
      </c>
      <c r="F118">
        <f>IF(E118="","",SUMIFS(RaceResults!$C:$C,RaceResults!$A:$A,A118,RaceResults!$D:$D,E118))</f>
        <v>0</v>
      </c>
      <c r="G118">
        <f>IF(E118="","",SUMIFS(RaceResults!$E:$E,RaceResults!$A:$A,A118,RaceResults!$D:$D,E118))</f>
        <v>0</v>
      </c>
    </row>
    <row r="119" spans="1:7" x14ac:dyDescent="0.3">
      <c r="A119">
        <v>4</v>
      </c>
      <c r="B119" t="s">
        <v>54</v>
      </c>
      <c r="C119" t="s">
        <v>32</v>
      </c>
      <c r="D119">
        <v>1</v>
      </c>
      <c r="E119">
        <f>WeeklyPicks!D41</f>
        <v>0</v>
      </c>
      <c r="F119">
        <f>IF(E119="","",SUMIFS(RaceResults!$C:$C,RaceResults!$A:$A,A119,RaceResults!$D:$D,E119))</f>
        <v>0</v>
      </c>
      <c r="G119">
        <f>IF(E119="","",SUMIFS(RaceResults!$E:$E,RaceResults!$A:$A,A119,RaceResults!$D:$D,E119))</f>
        <v>0</v>
      </c>
    </row>
    <row r="120" spans="1:7" x14ac:dyDescent="0.3">
      <c r="A120">
        <v>4</v>
      </c>
      <c r="B120" t="s">
        <v>54</v>
      </c>
      <c r="C120" t="s">
        <v>32</v>
      </c>
      <c r="D120">
        <v>2</v>
      </c>
      <c r="E120">
        <f>WeeklyPicks!E41</f>
        <v>0</v>
      </c>
      <c r="F120">
        <f>IF(E120="","",SUMIFS(RaceResults!$C:$C,RaceResults!$A:$A,A120,RaceResults!$D:$D,E120))</f>
        <v>0</v>
      </c>
      <c r="G120">
        <f>IF(E120="","",SUMIFS(RaceResults!$E:$E,RaceResults!$A:$A,A120,RaceResults!$D:$D,E120))</f>
        <v>0</v>
      </c>
    </row>
    <row r="121" spans="1:7" x14ac:dyDescent="0.3">
      <c r="A121">
        <v>4</v>
      </c>
      <c r="B121" t="s">
        <v>54</v>
      </c>
      <c r="C121" t="s">
        <v>32</v>
      </c>
      <c r="D121">
        <v>3</v>
      </c>
      <c r="E121">
        <f>WeeklyPicks!F41</f>
        <v>0</v>
      </c>
      <c r="F121">
        <f>IF(E121="","",SUMIFS(RaceResults!$C:$C,RaceResults!$A:$A,A121,RaceResults!$D:$D,E121))</f>
        <v>0</v>
      </c>
      <c r="G121">
        <f>IF(E121="","",SUMIFS(RaceResults!$E:$E,RaceResults!$A:$A,A121,RaceResults!$D:$D,E121))</f>
        <v>0</v>
      </c>
    </row>
    <row r="122" spans="1:7" x14ac:dyDescent="0.3">
      <c r="A122">
        <v>5</v>
      </c>
      <c r="B122" t="s">
        <v>57</v>
      </c>
      <c r="C122" t="s">
        <v>21</v>
      </c>
      <c r="D122">
        <v>1</v>
      </c>
      <c r="E122">
        <f>WeeklyPicks!D42</f>
        <v>5</v>
      </c>
      <c r="F122">
        <f>IF(E122="","",SUMIFS(RaceResults!$C:$C,RaceResults!$A:$A,A122,RaceResults!$D:$D,E122))</f>
        <v>7</v>
      </c>
      <c r="G122">
        <f>IF(E122="","",SUMIFS(RaceResults!$E:$E,RaceResults!$A:$A,A122,RaceResults!$D:$D,E122))</f>
        <v>30</v>
      </c>
    </row>
    <row r="123" spans="1:7" x14ac:dyDescent="0.3">
      <c r="A123">
        <v>5</v>
      </c>
      <c r="B123" t="s">
        <v>57</v>
      </c>
      <c r="C123" t="s">
        <v>21</v>
      </c>
      <c r="D123">
        <v>2</v>
      </c>
      <c r="E123">
        <f>WeeklyPicks!E42</f>
        <v>45</v>
      </c>
      <c r="F123">
        <f>IF(E123="","",SUMIFS(RaceResults!$C:$C,RaceResults!$A:$A,A123,RaceResults!$D:$D,E123))</f>
        <v>13</v>
      </c>
      <c r="G123">
        <f>IF(E123="","",SUMIFS(RaceResults!$E:$E,RaceResults!$A:$A,A123,RaceResults!$D:$D,E123))</f>
        <v>24</v>
      </c>
    </row>
    <row r="124" spans="1:7" x14ac:dyDescent="0.3">
      <c r="A124">
        <v>5</v>
      </c>
      <c r="B124" t="s">
        <v>57</v>
      </c>
      <c r="C124" t="s">
        <v>21</v>
      </c>
      <c r="D124">
        <v>3</v>
      </c>
      <c r="E124">
        <f>WeeklyPicks!F42</f>
        <v>23</v>
      </c>
      <c r="F124">
        <f>IF(E124="","",SUMIFS(RaceResults!$C:$C,RaceResults!$A:$A,A124,RaceResults!$D:$D,E124))</f>
        <v>9</v>
      </c>
      <c r="G124">
        <f>IF(E124="","",SUMIFS(RaceResults!$E:$E,RaceResults!$A:$A,A124,RaceResults!$D:$D,E124))</f>
        <v>28</v>
      </c>
    </row>
    <row r="125" spans="1:7" x14ac:dyDescent="0.3">
      <c r="A125">
        <v>5</v>
      </c>
      <c r="B125" t="s">
        <v>57</v>
      </c>
      <c r="C125" t="s">
        <v>22</v>
      </c>
      <c r="D125">
        <v>1</v>
      </c>
      <c r="E125">
        <f>WeeklyPicks!D43</f>
        <v>11</v>
      </c>
      <c r="F125">
        <f>IF(E125="","",SUMIFS(RaceResults!$C:$C,RaceResults!$A:$A,A125,RaceResults!$D:$D,E125))</f>
        <v>1</v>
      </c>
      <c r="G125">
        <f>IF(E125="","",SUMIFS(RaceResults!$E:$E,RaceResults!$A:$A,A125,RaceResults!$D:$D,E125))</f>
        <v>55</v>
      </c>
    </row>
    <row r="126" spans="1:7" x14ac:dyDescent="0.3">
      <c r="A126">
        <v>5</v>
      </c>
      <c r="B126" t="s">
        <v>57</v>
      </c>
      <c r="C126" t="s">
        <v>22</v>
      </c>
      <c r="D126">
        <v>2</v>
      </c>
      <c r="E126">
        <f>WeeklyPicks!E43</f>
        <v>12</v>
      </c>
      <c r="F126">
        <f>IF(E126="","",SUMIFS(RaceResults!$C:$C,RaceResults!$A:$A,A126,RaceResults!$D:$D,E126))</f>
        <v>16</v>
      </c>
      <c r="G126">
        <f>IF(E126="","",SUMIFS(RaceResults!$E:$E,RaceResults!$A:$A,A126,RaceResults!$D:$D,E126))</f>
        <v>21</v>
      </c>
    </row>
    <row r="127" spans="1:7" x14ac:dyDescent="0.3">
      <c r="A127">
        <v>5</v>
      </c>
      <c r="B127" t="s">
        <v>57</v>
      </c>
      <c r="C127" t="s">
        <v>22</v>
      </c>
      <c r="D127">
        <v>3</v>
      </c>
      <c r="E127">
        <f>WeeklyPicks!F43</f>
        <v>9</v>
      </c>
      <c r="F127">
        <f>IF(E127="","",SUMIFS(RaceResults!$C:$C,RaceResults!$A:$A,A127,RaceResults!$D:$D,E127))</f>
        <v>2</v>
      </c>
      <c r="G127">
        <f>IF(E127="","",SUMIFS(RaceResults!$E:$E,RaceResults!$A:$A,A127,RaceResults!$D:$D,E127))</f>
        <v>35</v>
      </c>
    </row>
    <row r="128" spans="1:7" x14ac:dyDescent="0.3">
      <c r="A128">
        <v>5</v>
      </c>
      <c r="B128" t="s">
        <v>57</v>
      </c>
      <c r="C128" t="s">
        <v>25</v>
      </c>
      <c r="D128">
        <v>1</v>
      </c>
      <c r="E128">
        <f>WeeklyPicks!D44</f>
        <v>20</v>
      </c>
      <c r="F128">
        <f>IF(E128="","",SUMIFS(RaceResults!$C:$C,RaceResults!$A:$A,A128,RaceResults!$D:$D,E128))</f>
        <v>4</v>
      </c>
      <c r="G128">
        <f>IF(E128="","",SUMIFS(RaceResults!$E:$E,RaceResults!$A:$A,A128,RaceResults!$D:$D,E128))</f>
        <v>33</v>
      </c>
    </row>
    <row r="129" spans="1:7" x14ac:dyDescent="0.3">
      <c r="A129">
        <v>5</v>
      </c>
      <c r="B129" t="s">
        <v>57</v>
      </c>
      <c r="C129" t="s">
        <v>25</v>
      </c>
      <c r="D129">
        <v>2</v>
      </c>
      <c r="E129">
        <f>WeeklyPicks!E44</f>
        <v>23</v>
      </c>
      <c r="F129">
        <f>IF(E129="","",SUMIFS(RaceResults!$C:$C,RaceResults!$A:$A,A129,RaceResults!$D:$D,E129))</f>
        <v>9</v>
      </c>
      <c r="G129">
        <f>IF(E129="","",SUMIFS(RaceResults!$E:$E,RaceResults!$A:$A,A129,RaceResults!$D:$D,E129))</f>
        <v>28</v>
      </c>
    </row>
    <row r="130" spans="1:7" x14ac:dyDescent="0.3">
      <c r="A130">
        <v>5</v>
      </c>
      <c r="B130" t="s">
        <v>57</v>
      </c>
      <c r="C130" t="s">
        <v>25</v>
      </c>
      <c r="D130">
        <v>3</v>
      </c>
      <c r="E130">
        <f>WeeklyPicks!F44</f>
        <v>24</v>
      </c>
      <c r="F130">
        <f>IF(E130="","",SUMIFS(RaceResults!$C:$C,RaceResults!$A:$A,A130,RaceResults!$D:$D,E130))</f>
        <v>3</v>
      </c>
      <c r="G130">
        <f>IF(E130="","",SUMIFS(RaceResults!$E:$E,RaceResults!$A:$A,A130,RaceResults!$D:$D,E130))</f>
        <v>34</v>
      </c>
    </row>
    <row r="131" spans="1:7" x14ac:dyDescent="0.3">
      <c r="A131">
        <v>5</v>
      </c>
      <c r="B131" t="s">
        <v>57</v>
      </c>
      <c r="C131" t="s">
        <v>26</v>
      </c>
      <c r="D131">
        <v>1</v>
      </c>
      <c r="E131">
        <f>WeeklyPicks!D45</f>
        <v>11</v>
      </c>
      <c r="F131">
        <f>IF(E131="","",SUMIFS(RaceResults!$C:$C,RaceResults!$A:$A,A131,RaceResults!$D:$D,E131))</f>
        <v>1</v>
      </c>
      <c r="G131">
        <f>IF(E131="","",SUMIFS(RaceResults!$E:$E,RaceResults!$A:$A,A131,RaceResults!$D:$D,E131))</f>
        <v>55</v>
      </c>
    </row>
    <row r="132" spans="1:7" x14ac:dyDescent="0.3">
      <c r="A132">
        <v>5</v>
      </c>
      <c r="B132" t="s">
        <v>57</v>
      </c>
      <c r="C132" t="s">
        <v>26</v>
      </c>
      <c r="D132">
        <v>2</v>
      </c>
      <c r="E132">
        <f>WeeklyPicks!E45</f>
        <v>12</v>
      </c>
      <c r="F132">
        <f>IF(E132="","",SUMIFS(RaceResults!$C:$C,RaceResults!$A:$A,A132,RaceResults!$D:$D,E132))</f>
        <v>16</v>
      </c>
      <c r="G132">
        <f>IF(E132="","",SUMIFS(RaceResults!$E:$E,RaceResults!$A:$A,A132,RaceResults!$D:$D,E132))</f>
        <v>21</v>
      </c>
    </row>
    <row r="133" spans="1:7" x14ac:dyDescent="0.3">
      <c r="A133">
        <v>5</v>
      </c>
      <c r="B133" t="s">
        <v>57</v>
      </c>
      <c r="C133" t="s">
        <v>26</v>
      </c>
      <c r="D133">
        <v>3</v>
      </c>
      <c r="E133">
        <f>WeeklyPicks!F45</f>
        <v>5</v>
      </c>
      <c r="F133">
        <f>IF(E133="","",SUMIFS(RaceResults!$C:$C,RaceResults!$A:$A,A133,RaceResults!$D:$D,E133))</f>
        <v>7</v>
      </c>
      <c r="G133">
        <f>IF(E133="","",SUMIFS(RaceResults!$E:$E,RaceResults!$A:$A,A133,RaceResults!$D:$D,E133))</f>
        <v>30</v>
      </c>
    </row>
    <row r="134" spans="1:7" x14ac:dyDescent="0.3">
      <c r="A134">
        <v>5</v>
      </c>
      <c r="B134" t="s">
        <v>57</v>
      </c>
      <c r="C134" t="s">
        <v>27</v>
      </c>
      <c r="D134">
        <v>1</v>
      </c>
      <c r="E134">
        <f>WeeklyPicks!D46</f>
        <v>5</v>
      </c>
      <c r="F134">
        <f>IF(E134="","",SUMIFS(RaceResults!$C:$C,RaceResults!$A:$A,A134,RaceResults!$D:$D,E134))</f>
        <v>7</v>
      </c>
      <c r="G134">
        <f>IF(E134="","",SUMIFS(RaceResults!$E:$E,RaceResults!$A:$A,A134,RaceResults!$D:$D,E134))</f>
        <v>30</v>
      </c>
    </row>
    <row r="135" spans="1:7" x14ac:dyDescent="0.3">
      <c r="A135">
        <v>5</v>
      </c>
      <c r="B135" t="s">
        <v>57</v>
      </c>
      <c r="C135" t="s">
        <v>27</v>
      </c>
      <c r="D135">
        <v>2</v>
      </c>
      <c r="E135">
        <f>WeeklyPicks!E46</f>
        <v>11</v>
      </c>
      <c r="F135">
        <f>IF(E135="","",SUMIFS(RaceResults!$C:$C,RaceResults!$A:$A,A135,RaceResults!$D:$D,E135))</f>
        <v>1</v>
      </c>
      <c r="G135">
        <f>IF(E135="","",SUMIFS(RaceResults!$E:$E,RaceResults!$A:$A,A135,RaceResults!$D:$D,E135))</f>
        <v>55</v>
      </c>
    </row>
    <row r="136" spans="1:7" x14ac:dyDescent="0.3">
      <c r="A136">
        <v>5</v>
      </c>
      <c r="B136" t="s">
        <v>57</v>
      </c>
      <c r="C136" t="s">
        <v>27</v>
      </c>
      <c r="D136">
        <v>3</v>
      </c>
      <c r="E136">
        <f>WeeklyPicks!F46</f>
        <v>20</v>
      </c>
      <c r="F136">
        <f>IF(E136="","",SUMIFS(RaceResults!$C:$C,RaceResults!$A:$A,A136,RaceResults!$D:$D,E136))</f>
        <v>4</v>
      </c>
      <c r="G136">
        <f>IF(E136="","",SUMIFS(RaceResults!$E:$E,RaceResults!$A:$A,A136,RaceResults!$D:$D,E136))</f>
        <v>33</v>
      </c>
    </row>
    <row r="137" spans="1:7" x14ac:dyDescent="0.3">
      <c r="A137">
        <v>5</v>
      </c>
      <c r="B137" t="s">
        <v>57</v>
      </c>
      <c r="C137" t="s">
        <v>28</v>
      </c>
      <c r="D137">
        <v>1</v>
      </c>
      <c r="E137">
        <f>WeeklyPicks!D47</f>
        <v>20</v>
      </c>
      <c r="F137">
        <f>IF(E137="","",SUMIFS(RaceResults!$C:$C,RaceResults!$A:$A,A137,RaceResults!$D:$D,E137))</f>
        <v>4</v>
      </c>
      <c r="G137">
        <f>IF(E137="","",SUMIFS(RaceResults!$E:$E,RaceResults!$A:$A,A137,RaceResults!$D:$D,E137))</f>
        <v>33</v>
      </c>
    </row>
    <row r="138" spans="1:7" x14ac:dyDescent="0.3">
      <c r="A138">
        <v>5</v>
      </c>
      <c r="B138" t="s">
        <v>57</v>
      </c>
      <c r="C138" t="s">
        <v>28</v>
      </c>
      <c r="D138">
        <v>2</v>
      </c>
      <c r="E138">
        <f>WeeklyPicks!E47</f>
        <v>45</v>
      </c>
      <c r="F138">
        <f>IF(E138="","",SUMIFS(RaceResults!$C:$C,RaceResults!$A:$A,A138,RaceResults!$D:$D,E138))</f>
        <v>13</v>
      </c>
      <c r="G138">
        <f>IF(E138="","",SUMIFS(RaceResults!$E:$E,RaceResults!$A:$A,A138,RaceResults!$D:$D,E138))</f>
        <v>24</v>
      </c>
    </row>
    <row r="139" spans="1:7" x14ac:dyDescent="0.3">
      <c r="A139">
        <v>5</v>
      </c>
      <c r="B139" t="s">
        <v>57</v>
      </c>
      <c r="C139" t="s">
        <v>28</v>
      </c>
      <c r="D139">
        <v>3</v>
      </c>
      <c r="E139">
        <f>WeeklyPicks!F47</f>
        <v>11</v>
      </c>
      <c r="F139">
        <f>IF(E139="","",SUMIFS(RaceResults!$C:$C,RaceResults!$A:$A,A139,RaceResults!$D:$D,E139))</f>
        <v>1</v>
      </c>
      <c r="G139">
        <f>IF(E139="","",SUMIFS(RaceResults!$E:$E,RaceResults!$A:$A,A139,RaceResults!$D:$D,E139))</f>
        <v>55</v>
      </c>
    </row>
    <row r="140" spans="1:7" x14ac:dyDescent="0.3">
      <c r="A140">
        <v>5</v>
      </c>
      <c r="B140" t="s">
        <v>57</v>
      </c>
      <c r="C140" t="s">
        <v>29</v>
      </c>
      <c r="D140">
        <v>1</v>
      </c>
      <c r="E140">
        <f>WeeklyPicks!D48</f>
        <v>0</v>
      </c>
      <c r="F140">
        <f>IF(E140="","",SUMIFS(RaceResults!$C:$C,RaceResults!$A:$A,A140,RaceResults!$D:$D,E140))</f>
        <v>0</v>
      </c>
      <c r="G140">
        <f>IF(E140="","",SUMIFS(RaceResults!$E:$E,RaceResults!$A:$A,A140,RaceResults!$D:$D,E140))</f>
        <v>0</v>
      </c>
    </row>
    <row r="141" spans="1:7" x14ac:dyDescent="0.3">
      <c r="A141">
        <v>5</v>
      </c>
      <c r="B141" t="s">
        <v>57</v>
      </c>
      <c r="C141" t="s">
        <v>29</v>
      </c>
      <c r="D141">
        <v>2</v>
      </c>
      <c r="E141">
        <f>WeeklyPicks!E48</f>
        <v>0</v>
      </c>
      <c r="F141">
        <f>IF(E141="","",SUMIFS(RaceResults!$C:$C,RaceResults!$A:$A,A141,RaceResults!$D:$D,E141))</f>
        <v>0</v>
      </c>
      <c r="G141">
        <f>IF(E141="","",SUMIFS(RaceResults!$E:$E,RaceResults!$A:$A,A141,RaceResults!$D:$D,E141))</f>
        <v>0</v>
      </c>
    </row>
    <row r="142" spans="1:7" x14ac:dyDescent="0.3">
      <c r="A142">
        <v>5</v>
      </c>
      <c r="B142" t="s">
        <v>57</v>
      </c>
      <c r="C142" t="s">
        <v>29</v>
      </c>
      <c r="D142">
        <v>3</v>
      </c>
      <c r="E142">
        <f>WeeklyPicks!F48</f>
        <v>0</v>
      </c>
      <c r="F142">
        <f>IF(E142="","",SUMIFS(RaceResults!$C:$C,RaceResults!$A:$A,A142,RaceResults!$D:$D,E142))</f>
        <v>0</v>
      </c>
      <c r="G142">
        <f>IF(E142="","",SUMIFS(RaceResults!$E:$E,RaceResults!$A:$A,A142,RaceResults!$D:$D,E142))</f>
        <v>0</v>
      </c>
    </row>
    <row r="143" spans="1:7" x14ac:dyDescent="0.3">
      <c r="A143">
        <v>5</v>
      </c>
      <c r="B143" t="s">
        <v>57</v>
      </c>
      <c r="C143" t="s">
        <v>30</v>
      </c>
      <c r="D143">
        <v>1</v>
      </c>
      <c r="E143">
        <f>WeeklyPicks!D49</f>
        <v>0</v>
      </c>
      <c r="F143">
        <f>IF(E143="","",SUMIFS(RaceResults!$C:$C,RaceResults!$A:$A,A143,RaceResults!$D:$D,E143))</f>
        <v>0</v>
      </c>
      <c r="G143">
        <f>IF(E143="","",SUMIFS(RaceResults!$E:$E,RaceResults!$A:$A,A143,RaceResults!$D:$D,E143))</f>
        <v>0</v>
      </c>
    </row>
    <row r="144" spans="1:7" x14ac:dyDescent="0.3">
      <c r="A144">
        <v>5</v>
      </c>
      <c r="B144" t="s">
        <v>57</v>
      </c>
      <c r="C144" t="s">
        <v>30</v>
      </c>
      <c r="D144">
        <v>2</v>
      </c>
      <c r="E144">
        <f>WeeklyPicks!E49</f>
        <v>0</v>
      </c>
      <c r="F144">
        <f>IF(E144="","",SUMIFS(RaceResults!$C:$C,RaceResults!$A:$A,A144,RaceResults!$D:$D,E144))</f>
        <v>0</v>
      </c>
      <c r="G144">
        <f>IF(E144="","",SUMIFS(RaceResults!$E:$E,RaceResults!$A:$A,A144,RaceResults!$D:$D,E144))</f>
        <v>0</v>
      </c>
    </row>
    <row r="145" spans="1:7" x14ac:dyDescent="0.3">
      <c r="A145">
        <v>5</v>
      </c>
      <c r="B145" t="s">
        <v>57</v>
      </c>
      <c r="C145" t="s">
        <v>30</v>
      </c>
      <c r="D145">
        <v>3</v>
      </c>
      <c r="E145">
        <f>WeeklyPicks!F49</f>
        <v>0</v>
      </c>
      <c r="F145">
        <f>IF(E145="","",SUMIFS(RaceResults!$C:$C,RaceResults!$A:$A,A145,RaceResults!$D:$D,E145))</f>
        <v>0</v>
      </c>
      <c r="G145">
        <f>IF(E145="","",SUMIFS(RaceResults!$E:$E,RaceResults!$A:$A,A145,RaceResults!$D:$D,E145))</f>
        <v>0</v>
      </c>
    </row>
    <row r="146" spans="1:7" x14ac:dyDescent="0.3">
      <c r="A146">
        <v>5</v>
      </c>
      <c r="B146" t="s">
        <v>57</v>
      </c>
      <c r="C146" t="s">
        <v>31</v>
      </c>
      <c r="D146">
        <v>1</v>
      </c>
      <c r="E146">
        <f>WeeklyPicks!D50</f>
        <v>0</v>
      </c>
      <c r="F146">
        <f>IF(E146="","",SUMIFS(RaceResults!$C:$C,RaceResults!$A:$A,A146,RaceResults!$D:$D,E146))</f>
        <v>0</v>
      </c>
      <c r="G146">
        <f>IF(E146="","",SUMIFS(RaceResults!$E:$E,RaceResults!$A:$A,A146,RaceResults!$D:$D,E146))</f>
        <v>0</v>
      </c>
    </row>
    <row r="147" spans="1:7" x14ac:dyDescent="0.3">
      <c r="A147">
        <v>5</v>
      </c>
      <c r="B147" t="s">
        <v>57</v>
      </c>
      <c r="C147" t="s">
        <v>31</v>
      </c>
      <c r="D147">
        <v>2</v>
      </c>
      <c r="E147">
        <f>WeeklyPicks!E50</f>
        <v>0</v>
      </c>
      <c r="F147">
        <f>IF(E147="","",SUMIFS(RaceResults!$C:$C,RaceResults!$A:$A,A147,RaceResults!$D:$D,E147))</f>
        <v>0</v>
      </c>
      <c r="G147">
        <f>IF(E147="","",SUMIFS(RaceResults!$E:$E,RaceResults!$A:$A,A147,RaceResults!$D:$D,E147))</f>
        <v>0</v>
      </c>
    </row>
    <row r="148" spans="1:7" x14ac:dyDescent="0.3">
      <c r="A148">
        <v>5</v>
      </c>
      <c r="B148" t="s">
        <v>57</v>
      </c>
      <c r="C148" t="s">
        <v>31</v>
      </c>
      <c r="D148">
        <v>3</v>
      </c>
      <c r="E148">
        <f>WeeklyPicks!F50</f>
        <v>0</v>
      </c>
      <c r="F148">
        <f>IF(E148="","",SUMIFS(RaceResults!$C:$C,RaceResults!$A:$A,A148,RaceResults!$D:$D,E148))</f>
        <v>0</v>
      </c>
      <c r="G148">
        <f>IF(E148="","",SUMIFS(RaceResults!$E:$E,RaceResults!$A:$A,A148,RaceResults!$D:$D,E148))</f>
        <v>0</v>
      </c>
    </row>
    <row r="149" spans="1:7" x14ac:dyDescent="0.3">
      <c r="A149">
        <v>5</v>
      </c>
      <c r="B149" t="s">
        <v>57</v>
      </c>
      <c r="C149" t="s">
        <v>32</v>
      </c>
      <c r="D149">
        <v>1</v>
      </c>
      <c r="E149">
        <f>WeeklyPicks!D51</f>
        <v>45</v>
      </c>
      <c r="F149">
        <f>IF(E149="","",SUMIFS(RaceResults!$C:$C,RaceResults!$A:$A,A149,RaceResults!$D:$D,E149))</f>
        <v>13</v>
      </c>
      <c r="G149">
        <f>IF(E149="","",SUMIFS(RaceResults!$E:$E,RaceResults!$A:$A,A149,RaceResults!$D:$D,E149))</f>
        <v>24</v>
      </c>
    </row>
    <row r="150" spans="1:7" x14ac:dyDescent="0.3">
      <c r="A150">
        <v>5</v>
      </c>
      <c r="B150" t="s">
        <v>57</v>
      </c>
      <c r="C150" t="s">
        <v>32</v>
      </c>
      <c r="D150">
        <v>2</v>
      </c>
      <c r="E150">
        <f>WeeklyPicks!E51</f>
        <v>23</v>
      </c>
      <c r="F150">
        <f>IF(E150="","",SUMIFS(RaceResults!$C:$C,RaceResults!$A:$A,A150,RaceResults!$D:$D,E150))</f>
        <v>9</v>
      </c>
      <c r="G150">
        <f>IF(E150="","",SUMIFS(RaceResults!$E:$E,RaceResults!$A:$A,A150,RaceResults!$D:$D,E150))</f>
        <v>28</v>
      </c>
    </row>
    <row r="151" spans="1:7" x14ac:dyDescent="0.3">
      <c r="A151">
        <v>5</v>
      </c>
      <c r="B151" t="s">
        <v>57</v>
      </c>
      <c r="C151" t="s">
        <v>32</v>
      </c>
      <c r="D151">
        <v>3</v>
      </c>
      <c r="E151">
        <f>WeeklyPicks!F51</f>
        <v>5</v>
      </c>
      <c r="F151">
        <f>IF(E151="","",SUMIFS(RaceResults!$C:$C,RaceResults!$A:$A,A151,RaceResults!$D:$D,E151))</f>
        <v>7</v>
      </c>
      <c r="G151">
        <f>IF(E151="","",SUMIFS(RaceResults!$E:$E,RaceResults!$A:$A,A151,RaceResults!$D:$D,E151))</f>
        <v>30</v>
      </c>
    </row>
    <row r="152" spans="1:7" x14ac:dyDescent="0.3">
      <c r="A152">
        <v>6</v>
      </c>
      <c r="B152" t="s">
        <v>59</v>
      </c>
      <c r="C152" t="s">
        <v>21</v>
      </c>
      <c r="D152">
        <v>1</v>
      </c>
      <c r="E152">
        <f>WeeklyPicks!D52</f>
        <v>5</v>
      </c>
      <c r="F152">
        <f>IF(E152="","",SUMIFS(RaceResults!$C:$C,RaceResults!$A:$A,A152,RaceResults!$D:$D,E152))</f>
        <v>32</v>
      </c>
      <c r="G152">
        <f>IF(E152="","",SUMIFS(RaceResults!$E:$E,RaceResults!$A:$A,A152,RaceResults!$D:$D,E152))</f>
        <v>5</v>
      </c>
    </row>
    <row r="153" spans="1:7" x14ac:dyDescent="0.3">
      <c r="A153">
        <v>6</v>
      </c>
      <c r="B153" t="s">
        <v>59</v>
      </c>
      <c r="C153" t="s">
        <v>21</v>
      </c>
      <c r="D153">
        <v>2</v>
      </c>
      <c r="E153">
        <f>WeeklyPicks!E52</f>
        <v>45</v>
      </c>
      <c r="F153">
        <f>IF(E153="","",SUMIFS(RaceResults!$C:$C,RaceResults!$A:$A,A153,RaceResults!$D:$D,E153))</f>
        <v>1</v>
      </c>
      <c r="G153">
        <f>IF(E153="","",SUMIFS(RaceResults!$E:$E,RaceResults!$A:$A,A153,RaceResults!$D:$D,E153))</f>
        <v>55</v>
      </c>
    </row>
    <row r="154" spans="1:7" x14ac:dyDescent="0.3">
      <c r="A154">
        <v>6</v>
      </c>
      <c r="B154" t="s">
        <v>59</v>
      </c>
      <c r="C154" t="s">
        <v>21</v>
      </c>
      <c r="D154">
        <v>3</v>
      </c>
      <c r="E154">
        <f>WeeklyPicks!F52</f>
        <v>12</v>
      </c>
      <c r="F154">
        <f>IF(E154="","",SUMIFS(RaceResults!$C:$C,RaceResults!$A:$A,A154,RaceResults!$D:$D,E154))</f>
        <v>3</v>
      </c>
      <c r="G154">
        <f>IF(E154="","",SUMIFS(RaceResults!$E:$E,RaceResults!$A:$A,A154,RaceResults!$D:$D,E154))</f>
        <v>34</v>
      </c>
    </row>
    <row r="155" spans="1:7" x14ac:dyDescent="0.3">
      <c r="A155">
        <v>6</v>
      </c>
      <c r="B155" t="s">
        <v>59</v>
      </c>
      <c r="C155" t="s">
        <v>22</v>
      </c>
      <c r="D155">
        <v>1</v>
      </c>
      <c r="E155">
        <f>WeeklyPicks!D53</f>
        <v>22</v>
      </c>
      <c r="F155">
        <f>IF(E155="","",SUMIFS(RaceResults!$C:$C,RaceResults!$A:$A,A155,RaceResults!$D:$D,E155))</f>
        <v>33</v>
      </c>
      <c r="G155">
        <f>IF(E155="","",SUMIFS(RaceResults!$E:$E,RaceResults!$A:$A,A155,RaceResults!$D:$D,E155))</f>
        <v>4</v>
      </c>
    </row>
    <row r="156" spans="1:7" x14ac:dyDescent="0.3">
      <c r="A156">
        <v>6</v>
      </c>
      <c r="B156" t="s">
        <v>59</v>
      </c>
      <c r="C156" t="s">
        <v>22</v>
      </c>
      <c r="D156">
        <v>2</v>
      </c>
      <c r="E156">
        <f>WeeklyPicks!E53</f>
        <v>11</v>
      </c>
      <c r="F156">
        <f>IF(E156="","",SUMIFS(RaceResults!$C:$C,RaceResults!$A:$A,A156,RaceResults!$D:$D,E156))</f>
        <v>11</v>
      </c>
      <c r="G156">
        <f>IF(E156="","",SUMIFS(RaceResults!$E:$E,RaceResults!$A:$A,A156,RaceResults!$D:$D,E156))</f>
        <v>26</v>
      </c>
    </row>
    <row r="157" spans="1:7" x14ac:dyDescent="0.3">
      <c r="A157">
        <v>6</v>
      </c>
      <c r="B157" t="s">
        <v>59</v>
      </c>
      <c r="C157" t="s">
        <v>22</v>
      </c>
      <c r="D157">
        <v>3</v>
      </c>
      <c r="E157">
        <f>WeeklyPicks!F53</f>
        <v>5</v>
      </c>
      <c r="F157">
        <f>IF(E157="","",SUMIFS(RaceResults!$C:$C,RaceResults!$A:$A,A157,RaceResults!$D:$D,E157))</f>
        <v>32</v>
      </c>
      <c r="G157">
        <f>IF(E157="","",SUMIFS(RaceResults!$E:$E,RaceResults!$A:$A,A157,RaceResults!$D:$D,E157))</f>
        <v>5</v>
      </c>
    </row>
    <row r="158" spans="1:7" x14ac:dyDescent="0.3">
      <c r="A158">
        <v>6</v>
      </c>
      <c r="B158" t="s">
        <v>59</v>
      </c>
      <c r="C158" t="s">
        <v>25</v>
      </c>
      <c r="D158">
        <v>1</v>
      </c>
      <c r="E158">
        <f>WeeklyPicks!D54</f>
        <v>9</v>
      </c>
      <c r="F158">
        <f>IF(E158="","",SUMIFS(RaceResults!$C:$C,RaceResults!$A:$A,A158,RaceResults!$D:$D,E158))</f>
        <v>15</v>
      </c>
      <c r="G158">
        <f>IF(E158="","",SUMIFS(RaceResults!$E:$E,RaceResults!$A:$A,A158,RaceResults!$D:$D,E158))</f>
        <v>22</v>
      </c>
    </row>
    <row r="159" spans="1:7" x14ac:dyDescent="0.3">
      <c r="A159">
        <v>6</v>
      </c>
      <c r="B159" t="s">
        <v>59</v>
      </c>
      <c r="C159" t="s">
        <v>25</v>
      </c>
      <c r="D159">
        <v>2</v>
      </c>
      <c r="E159">
        <f>WeeklyPicks!E54</f>
        <v>11</v>
      </c>
      <c r="F159">
        <f>IF(E159="","",SUMIFS(RaceResults!$C:$C,RaceResults!$A:$A,A159,RaceResults!$D:$D,E159))</f>
        <v>11</v>
      </c>
      <c r="G159">
        <f>IF(E159="","",SUMIFS(RaceResults!$E:$E,RaceResults!$A:$A,A159,RaceResults!$D:$D,E159))</f>
        <v>26</v>
      </c>
    </row>
    <row r="160" spans="1:7" x14ac:dyDescent="0.3">
      <c r="A160">
        <v>6</v>
      </c>
      <c r="B160" t="s">
        <v>59</v>
      </c>
      <c r="C160" t="s">
        <v>25</v>
      </c>
      <c r="D160">
        <v>3</v>
      </c>
      <c r="E160">
        <f>WeeklyPicks!F54</f>
        <v>12</v>
      </c>
      <c r="F160">
        <f>IF(E160="","",SUMIFS(RaceResults!$C:$C,RaceResults!$A:$A,A160,RaceResults!$D:$D,E160))</f>
        <v>3</v>
      </c>
      <c r="G160">
        <f>IF(E160="","",SUMIFS(RaceResults!$E:$E,RaceResults!$A:$A,A160,RaceResults!$D:$D,E160))</f>
        <v>34</v>
      </c>
    </row>
    <row r="161" spans="1:7" x14ac:dyDescent="0.3">
      <c r="A161">
        <v>6</v>
      </c>
      <c r="B161" t="s">
        <v>59</v>
      </c>
      <c r="C161" t="s">
        <v>26</v>
      </c>
      <c r="D161">
        <v>1</v>
      </c>
      <c r="E161">
        <f>WeeklyPicks!D55</f>
        <v>11</v>
      </c>
      <c r="F161">
        <f>IF(E161="","",SUMIFS(RaceResults!$C:$C,RaceResults!$A:$A,A161,RaceResults!$D:$D,E161))</f>
        <v>11</v>
      </c>
      <c r="G161">
        <f>IF(E161="","",SUMIFS(RaceResults!$E:$E,RaceResults!$A:$A,A161,RaceResults!$D:$D,E161))</f>
        <v>26</v>
      </c>
    </row>
    <row r="162" spans="1:7" x14ac:dyDescent="0.3">
      <c r="A162">
        <v>6</v>
      </c>
      <c r="B162" t="s">
        <v>59</v>
      </c>
      <c r="C162" t="s">
        <v>26</v>
      </c>
      <c r="D162">
        <v>2</v>
      </c>
      <c r="E162">
        <f>WeeklyPicks!E55</f>
        <v>12</v>
      </c>
      <c r="F162">
        <f>IF(E162="","",SUMIFS(RaceResults!$C:$C,RaceResults!$A:$A,A162,RaceResults!$D:$D,E162))</f>
        <v>3</v>
      </c>
      <c r="G162">
        <f>IF(E162="","",SUMIFS(RaceResults!$E:$E,RaceResults!$A:$A,A162,RaceResults!$D:$D,E162))</f>
        <v>34</v>
      </c>
    </row>
    <row r="163" spans="1:7" x14ac:dyDescent="0.3">
      <c r="A163">
        <v>6</v>
      </c>
      <c r="B163" t="s">
        <v>59</v>
      </c>
      <c r="C163" t="s">
        <v>26</v>
      </c>
      <c r="D163">
        <v>3</v>
      </c>
      <c r="E163">
        <f>WeeklyPicks!F55</f>
        <v>45</v>
      </c>
      <c r="F163">
        <f>IF(E163="","",SUMIFS(RaceResults!$C:$C,RaceResults!$A:$A,A163,RaceResults!$D:$D,E163))</f>
        <v>1</v>
      </c>
      <c r="G163">
        <f>IF(E163="","",SUMIFS(RaceResults!$E:$E,RaceResults!$A:$A,A163,RaceResults!$D:$D,E163))</f>
        <v>55</v>
      </c>
    </row>
    <row r="164" spans="1:7" x14ac:dyDescent="0.3">
      <c r="A164">
        <v>6</v>
      </c>
      <c r="B164" t="s">
        <v>59</v>
      </c>
      <c r="C164" t="s">
        <v>27</v>
      </c>
      <c r="D164">
        <v>1</v>
      </c>
      <c r="E164">
        <f>WeeklyPicks!D56</f>
        <v>5</v>
      </c>
      <c r="F164">
        <f>IF(E164="","",SUMIFS(RaceResults!$C:$C,RaceResults!$A:$A,A164,RaceResults!$D:$D,E164))</f>
        <v>32</v>
      </c>
      <c r="G164">
        <f>IF(E164="","",SUMIFS(RaceResults!$E:$E,RaceResults!$A:$A,A164,RaceResults!$D:$D,E164))</f>
        <v>5</v>
      </c>
    </row>
    <row r="165" spans="1:7" x14ac:dyDescent="0.3">
      <c r="A165">
        <v>6</v>
      </c>
      <c r="B165" t="s">
        <v>59</v>
      </c>
      <c r="C165" t="s">
        <v>27</v>
      </c>
      <c r="D165">
        <v>2</v>
      </c>
      <c r="E165">
        <f>WeeklyPicks!E56</f>
        <v>11</v>
      </c>
      <c r="F165">
        <f>IF(E165="","",SUMIFS(RaceResults!$C:$C,RaceResults!$A:$A,A165,RaceResults!$D:$D,E165))</f>
        <v>11</v>
      </c>
      <c r="G165">
        <f>IF(E165="","",SUMIFS(RaceResults!$E:$E,RaceResults!$A:$A,A165,RaceResults!$D:$D,E165))</f>
        <v>26</v>
      </c>
    </row>
    <row r="166" spans="1:7" x14ac:dyDescent="0.3">
      <c r="A166">
        <v>6</v>
      </c>
      <c r="B166" t="s">
        <v>59</v>
      </c>
      <c r="C166" t="s">
        <v>27</v>
      </c>
      <c r="D166">
        <v>3</v>
      </c>
      <c r="E166">
        <f>WeeklyPicks!F56</f>
        <v>24</v>
      </c>
      <c r="F166">
        <f>IF(E166="","",SUMIFS(RaceResults!$C:$C,RaceResults!$A:$A,A166,RaceResults!$D:$D,E166))</f>
        <v>8</v>
      </c>
      <c r="G166">
        <f>IF(E166="","",SUMIFS(RaceResults!$E:$E,RaceResults!$A:$A,A166,RaceResults!$D:$D,E166))</f>
        <v>29</v>
      </c>
    </row>
    <row r="167" spans="1:7" x14ac:dyDescent="0.3">
      <c r="A167">
        <v>6</v>
      </c>
      <c r="B167" t="s">
        <v>59</v>
      </c>
      <c r="C167" t="s">
        <v>28</v>
      </c>
      <c r="D167">
        <v>1</v>
      </c>
      <c r="E167">
        <f>WeeklyPicks!D57</f>
        <v>45</v>
      </c>
      <c r="F167">
        <f>IF(E167="","",SUMIFS(RaceResults!$C:$C,RaceResults!$A:$A,A167,RaceResults!$D:$D,E167))</f>
        <v>1</v>
      </c>
      <c r="G167">
        <f>IF(E167="","",SUMIFS(RaceResults!$E:$E,RaceResults!$A:$A,A167,RaceResults!$D:$D,E167))</f>
        <v>55</v>
      </c>
    </row>
    <row r="168" spans="1:7" x14ac:dyDescent="0.3">
      <c r="A168">
        <v>6</v>
      </c>
      <c r="B168" t="s">
        <v>59</v>
      </c>
      <c r="C168" t="s">
        <v>28</v>
      </c>
      <c r="D168">
        <v>2</v>
      </c>
      <c r="E168">
        <f>WeeklyPicks!E57</f>
        <v>11</v>
      </c>
      <c r="F168">
        <f>IF(E168="","",SUMIFS(RaceResults!$C:$C,RaceResults!$A:$A,A168,RaceResults!$D:$D,E168))</f>
        <v>11</v>
      </c>
      <c r="G168">
        <f>IF(E168="","",SUMIFS(RaceResults!$E:$E,RaceResults!$A:$A,A168,RaceResults!$D:$D,E168))</f>
        <v>26</v>
      </c>
    </row>
    <row r="169" spans="1:7" x14ac:dyDescent="0.3">
      <c r="A169">
        <v>6</v>
      </c>
      <c r="B169" t="s">
        <v>59</v>
      </c>
      <c r="C169" t="s">
        <v>28</v>
      </c>
      <c r="D169">
        <v>3</v>
      </c>
      <c r="E169">
        <f>WeeklyPicks!F57</f>
        <v>17</v>
      </c>
      <c r="F169">
        <f>IF(E169="","",SUMIFS(RaceResults!$C:$C,RaceResults!$A:$A,A169,RaceResults!$D:$D,E169))</f>
        <v>9</v>
      </c>
      <c r="G169">
        <f>IF(E169="","",SUMIFS(RaceResults!$E:$E,RaceResults!$A:$A,A169,RaceResults!$D:$D,E169))</f>
        <v>28</v>
      </c>
    </row>
    <row r="170" spans="1:7" x14ac:dyDescent="0.3">
      <c r="A170">
        <v>6</v>
      </c>
      <c r="B170" t="s">
        <v>59</v>
      </c>
      <c r="C170" t="s">
        <v>29</v>
      </c>
      <c r="D170">
        <v>1</v>
      </c>
      <c r="E170">
        <f>WeeklyPicks!D58</f>
        <v>0</v>
      </c>
      <c r="F170">
        <f>IF(E170="","",SUMIFS(RaceResults!$C:$C,RaceResults!$A:$A,A170,RaceResults!$D:$D,E170))</f>
        <v>0</v>
      </c>
      <c r="G170">
        <f>IF(E170="","",SUMIFS(RaceResults!$E:$E,RaceResults!$A:$A,A170,RaceResults!$D:$D,E170))</f>
        <v>0</v>
      </c>
    </row>
    <row r="171" spans="1:7" x14ac:dyDescent="0.3">
      <c r="A171">
        <v>6</v>
      </c>
      <c r="B171" t="s">
        <v>59</v>
      </c>
      <c r="C171" t="s">
        <v>29</v>
      </c>
      <c r="D171">
        <v>2</v>
      </c>
      <c r="E171">
        <f>WeeklyPicks!E58</f>
        <v>0</v>
      </c>
      <c r="F171">
        <f>IF(E171="","",SUMIFS(RaceResults!$C:$C,RaceResults!$A:$A,A171,RaceResults!$D:$D,E171))</f>
        <v>0</v>
      </c>
      <c r="G171">
        <f>IF(E171="","",SUMIFS(RaceResults!$E:$E,RaceResults!$A:$A,A171,RaceResults!$D:$D,E171))</f>
        <v>0</v>
      </c>
    </row>
    <row r="172" spans="1:7" x14ac:dyDescent="0.3">
      <c r="A172">
        <v>6</v>
      </c>
      <c r="B172" t="s">
        <v>59</v>
      </c>
      <c r="C172" t="s">
        <v>29</v>
      </c>
      <c r="D172">
        <v>3</v>
      </c>
      <c r="E172">
        <f>WeeklyPicks!F58</f>
        <v>0</v>
      </c>
      <c r="F172">
        <f>IF(E172="","",SUMIFS(RaceResults!$C:$C,RaceResults!$A:$A,A172,RaceResults!$D:$D,E172))</f>
        <v>0</v>
      </c>
      <c r="G172">
        <f>IF(E172="","",SUMIFS(RaceResults!$E:$E,RaceResults!$A:$A,A172,RaceResults!$D:$D,E172))</f>
        <v>0</v>
      </c>
    </row>
    <row r="173" spans="1:7" x14ac:dyDescent="0.3">
      <c r="A173">
        <v>6</v>
      </c>
      <c r="B173" t="s">
        <v>59</v>
      </c>
      <c r="C173" t="s">
        <v>30</v>
      </c>
      <c r="D173">
        <v>1</v>
      </c>
      <c r="E173">
        <f>WeeklyPicks!D59</f>
        <v>0</v>
      </c>
      <c r="F173">
        <f>IF(E173="","",SUMIFS(RaceResults!$C:$C,RaceResults!$A:$A,A173,RaceResults!$D:$D,E173))</f>
        <v>0</v>
      </c>
      <c r="G173">
        <f>IF(E173="","",SUMIFS(RaceResults!$E:$E,RaceResults!$A:$A,A173,RaceResults!$D:$D,E173))</f>
        <v>0</v>
      </c>
    </row>
    <row r="174" spans="1:7" x14ac:dyDescent="0.3">
      <c r="A174">
        <v>6</v>
      </c>
      <c r="B174" t="s">
        <v>59</v>
      </c>
      <c r="C174" t="s">
        <v>30</v>
      </c>
      <c r="D174">
        <v>2</v>
      </c>
      <c r="E174">
        <f>WeeklyPicks!E59</f>
        <v>0</v>
      </c>
      <c r="F174">
        <f>IF(E174="","",SUMIFS(RaceResults!$C:$C,RaceResults!$A:$A,A174,RaceResults!$D:$D,E174))</f>
        <v>0</v>
      </c>
      <c r="G174">
        <f>IF(E174="","",SUMIFS(RaceResults!$E:$E,RaceResults!$A:$A,A174,RaceResults!$D:$D,E174))</f>
        <v>0</v>
      </c>
    </row>
    <row r="175" spans="1:7" x14ac:dyDescent="0.3">
      <c r="A175">
        <v>6</v>
      </c>
      <c r="B175" t="s">
        <v>59</v>
      </c>
      <c r="C175" t="s">
        <v>30</v>
      </c>
      <c r="D175">
        <v>3</v>
      </c>
      <c r="E175">
        <f>WeeklyPicks!F59</f>
        <v>0</v>
      </c>
      <c r="F175">
        <f>IF(E175="","",SUMIFS(RaceResults!$C:$C,RaceResults!$A:$A,A175,RaceResults!$D:$D,E175))</f>
        <v>0</v>
      </c>
      <c r="G175">
        <f>IF(E175="","",SUMIFS(RaceResults!$E:$E,RaceResults!$A:$A,A175,RaceResults!$D:$D,E175))</f>
        <v>0</v>
      </c>
    </row>
    <row r="176" spans="1:7" x14ac:dyDescent="0.3">
      <c r="A176">
        <v>6</v>
      </c>
      <c r="B176" t="s">
        <v>59</v>
      </c>
      <c r="C176" t="s">
        <v>31</v>
      </c>
      <c r="D176">
        <v>1</v>
      </c>
      <c r="E176">
        <f>WeeklyPicks!D60</f>
        <v>45</v>
      </c>
      <c r="F176">
        <f>IF(E176="","",SUMIFS(RaceResults!$C:$C,RaceResults!$A:$A,A176,RaceResults!$D:$D,E176))</f>
        <v>1</v>
      </c>
      <c r="G176">
        <f>IF(E176="","",SUMIFS(RaceResults!$E:$E,RaceResults!$A:$A,A176,RaceResults!$D:$D,E176))</f>
        <v>55</v>
      </c>
    </row>
    <row r="177" spans="1:7" x14ac:dyDescent="0.3">
      <c r="A177">
        <v>6</v>
      </c>
      <c r="B177" t="s">
        <v>59</v>
      </c>
      <c r="C177" t="s">
        <v>31</v>
      </c>
      <c r="D177">
        <v>2</v>
      </c>
      <c r="E177">
        <f>WeeklyPicks!E60</f>
        <v>11</v>
      </c>
      <c r="F177">
        <f>IF(E177="","",SUMIFS(RaceResults!$C:$C,RaceResults!$A:$A,A177,RaceResults!$D:$D,E177))</f>
        <v>11</v>
      </c>
      <c r="G177">
        <f>IF(E177="","",SUMIFS(RaceResults!$E:$E,RaceResults!$A:$A,A177,RaceResults!$D:$D,E177))</f>
        <v>26</v>
      </c>
    </row>
    <row r="178" spans="1:7" x14ac:dyDescent="0.3">
      <c r="A178">
        <v>6</v>
      </c>
      <c r="B178" t="s">
        <v>59</v>
      </c>
      <c r="C178" t="s">
        <v>31</v>
      </c>
      <c r="D178">
        <v>3</v>
      </c>
      <c r="E178">
        <f>WeeklyPicks!F60</f>
        <v>5</v>
      </c>
      <c r="F178">
        <f>IF(E178="","",SUMIFS(RaceResults!$C:$C,RaceResults!$A:$A,A178,RaceResults!$D:$D,E178))</f>
        <v>32</v>
      </c>
      <c r="G178">
        <f>IF(E178="","",SUMIFS(RaceResults!$E:$E,RaceResults!$A:$A,A178,RaceResults!$D:$D,E178))</f>
        <v>5</v>
      </c>
    </row>
    <row r="179" spans="1:7" x14ac:dyDescent="0.3">
      <c r="A179">
        <v>6</v>
      </c>
      <c r="B179" t="s">
        <v>59</v>
      </c>
      <c r="C179" t="s">
        <v>32</v>
      </c>
      <c r="D179">
        <v>1</v>
      </c>
      <c r="E179">
        <f>WeeklyPicks!D61</f>
        <v>11</v>
      </c>
      <c r="F179">
        <f>IF(E179="","",SUMIFS(RaceResults!$C:$C,RaceResults!$A:$A,A179,RaceResults!$D:$D,E179))</f>
        <v>11</v>
      </c>
      <c r="G179">
        <f>IF(E179="","",SUMIFS(RaceResults!$E:$E,RaceResults!$A:$A,A179,RaceResults!$D:$D,E179))</f>
        <v>26</v>
      </c>
    </row>
    <row r="180" spans="1:7" x14ac:dyDescent="0.3">
      <c r="A180">
        <v>6</v>
      </c>
      <c r="B180" t="s">
        <v>59</v>
      </c>
      <c r="C180" t="s">
        <v>32</v>
      </c>
      <c r="D180">
        <v>2</v>
      </c>
      <c r="E180">
        <f>WeeklyPicks!E61</f>
        <v>54</v>
      </c>
      <c r="F180">
        <f>IF(E180="","",SUMIFS(RaceResults!$C:$C,RaceResults!$A:$A,A180,RaceResults!$D:$D,E180))</f>
        <v>6</v>
      </c>
      <c r="G180">
        <f>IF(E180="","",SUMIFS(RaceResults!$E:$E,RaceResults!$A:$A,A180,RaceResults!$D:$D,E180))</f>
        <v>31</v>
      </c>
    </row>
    <row r="181" spans="1:7" x14ac:dyDescent="0.3">
      <c r="A181">
        <v>6</v>
      </c>
      <c r="B181" t="s">
        <v>59</v>
      </c>
      <c r="C181" t="s">
        <v>32</v>
      </c>
      <c r="D181">
        <v>3</v>
      </c>
      <c r="E181">
        <f>WeeklyPicks!F61</f>
        <v>45</v>
      </c>
      <c r="F181">
        <f>IF(E181="","",SUMIFS(RaceResults!$C:$C,RaceResults!$A:$A,A181,RaceResults!$D:$D,E181))</f>
        <v>1</v>
      </c>
      <c r="G181">
        <f>IF(E181="","",SUMIFS(RaceResults!$E:$E,RaceResults!$A:$A,A181,RaceResults!$D:$D,E181))</f>
        <v>55</v>
      </c>
    </row>
    <row r="182" spans="1:7" x14ac:dyDescent="0.3">
      <c r="A182">
        <v>7</v>
      </c>
      <c r="B182" t="s">
        <v>61</v>
      </c>
      <c r="C182" t="s">
        <v>21</v>
      </c>
      <c r="D182">
        <v>1</v>
      </c>
      <c r="E182">
        <f>WeeklyPicks!D62</f>
        <v>5</v>
      </c>
      <c r="F182">
        <f>IF(E182="","",SUMIFS(RaceResults!$C:$C,RaceResults!$A:$A,A182,RaceResults!$D:$D,E182))</f>
        <v>9</v>
      </c>
      <c r="G182">
        <f>IF(E182="","",SUMIFS(RaceResults!$E:$E,RaceResults!$A:$A,A182,RaceResults!$D:$D,E182))</f>
        <v>28</v>
      </c>
    </row>
    <row r="183" spans="1:7" x14ac:dyDescent="0.3">
      <c r="A183">
        <v>7</v>
      </c>
      <c r="B183" t="s">
        <v>61</v>
      </c>
      <c r="C183" t="s">
        <v>21</v>
      </c>
      <c r="D183">
        <v>2</v>
      </c>
      <c r="E183">
        <f>WeeklyPicks!E62</f>
        <v>11</v>
      </c>
      <c r="F183">
        <f>IF(E183="","",SUMIFS(RaceResults!$C:$C,RaceResults!$A:$A,A183,RaceResults!$D:$D,E183))</f>
        <v>2</v>
      </c>
      <c r="G183">
        <f>IF(E183="","",SUMIFS(RaceResults!$E:$E,RaceResults!$A:$A,A183,RaceResults!$D:$D,E183))</f>
        <v>35</v>
      </c>
    </row>
    <row r="184" spans="1:7" x14ac:dyDescent="0.3">
      <c r="A184">
        <v>7</v>
      </c>
      <c r="B184" t="s">
        <v>61</v>
      </c>
      <c r="C184" t="s">
        <v>21</v>
      </c>
      <c r="D184">
        <v>3</v>
      </c>
      <c r="E184">
        <f>WeeklyPicks!F62</f>
        <v>77</v>
      </c>
      <c r="F184">
        <f>IF(E184="","",SUMIFS(RaceResults!$C:$C,RaceResults!$A:$A,A184,RaceResults!$D:$D,E184))</f>
        <v>17</v>
      </c>
      <c r="G184">
        <f>IF(E184="","",SUMIFS(RaceResults!$E:$E,RaceResults!$A:$A,A184,RaceResults!$D:$D,E184))</f>
        <v>20</v>
      </c>
    </row>
    <row r="185" spans="1:7" x14ac:dyDescent="0.3">
      <c r="A185">
        <v>7</v>
      </c>
      <c r="B185" t="s">
        <v>61</v>
      </c>
      <c r="C185" t="s">
        <v>22</v>
      </c>
      <c r="D185">
        <v>1</v>
      </c>
      <c r="E185">
        <f>WeeklyPicks!D63</f>
        <v>11</v>
      </c>
      <c r="F185">
        <f>IF(E185="","",SUMIFS(RaceResults!$C:$C,RaceResults!$A:$A,A185,RaceResults!$D:$D,E185))</f>
        <v>2</v>
      </c>
      <c r="G185">
        <f>IF(E185="","",SUMIFS(RaceResults!$E:$E,RaceResults!$A:$A,A185,RaceResults!$D:$D,E185))</f>
        <v>35</v>
      </c>
    </row>
    <row r="186" spans="1:7" x14ac:dyDescent="0.3">
      <c r="A186">
        <v>7</v>
      </c>
      <c r="B186" t="s">
        <v>61</v>
      </c>
      <c r="C186" t="s">
        <v>22</v>
      </c>
      <c r="D186">
        <v>2</v>
      </c>
      <c r="E186">
        <f>WeeklyPicks!E63</f>
        <v>24</v>
      </c>
      <c r="F186">
        <f>IF(E186="","",SUMIFS(RaceResults!$C:$C,RaceResults!$A:$A,A186,RaceResults!$D:$D,E186))</f>
        <v>5</v>
      </c>
      <c r="G186">
        <f>IF(E186="","",SUMIFS(RaceResults!$E:$E,RaceResults!$A:$A,A186,RaceResults!$D:$D,E186))</f>
        <v>32</v>
      </c>
    </row>
    <row r="187" spans="1:7" x14ac:dyDescent="0.3">
      <c r="A187">
        <v>7</v>
      </c>
      <c r="B187" t="s">
        <v>61</v>
      </c>
      <c r="C187" t="s">
        <v>22</v>
      </c>
      <c r="D187">
        <v>3</v>
      </c>
      <c r="E187">
        <f>WeeklyPicks!F63</f>
        <v>97</v>
      </c>
      <c r="F187">
        <f>IF(E187="","",SUMIFS(RaceResults!$C:$C,RaceResults!$A:$A,A187,RaceResults!$D:$D,E187))</f>
        <v>11</v>
      </c>
      <c r="G187">
        <f>IF(E187="","",SUMIFS(RaceResults!$E:$E,RaceResults!$A:$A,A187,RaceResults!$D:$D,E187))</f>
        <v>26</v>
      </c>
    </row>
    <row r="188" spans="1:7" x14ac:dyDescent="0.3">
      <c r="A188">
        <v>7</v>
      </c>
      <c r="B188" t="s">
        <v>61</v>
      </c>
      <c r="C188" t="s">
        <v>25</v>
      </c>
      <c r="D188">
        <v>1</v>
      </c>
      <c r="E188">
        <f>WeeklyPicks!D64</f>
        <v>11</v>
      </c>
      <c r="F188">
        <f>IF(E188="","",SUMIFS(RaceResults!$C:$C,RaceResults!$A:$A,A188,RaceResults!$D:$D,E188))</f>
        <v>2</v>
      </c>
      <c r="G188">
        <f>IF(E188="","",SUMIFS(RaceResults!$E:$E,RaceResults!$A:$A,A188,RaceResults!$D:$D,E188))</f>
        <v>35</v>
      </c>
    </row>
    <row r="189" spans="1:7" x14ac:dyDescent="0.3">
      <c r="A189">
        <v>7</v>
      </c>
      <c r="B189" t="s">
        <v>61</v>
      </c>
      <c r="C189" t="s">
        <v>25</v>
      </c>
      <c r="D189">
        <v>2</v>
      </c>
      <c r="E189">
        <f>WeeklyPicks!E64</f>
        <v>24</v>
      </c>
      <c r="F189">
        <f>IF(E189="","",SUMIFS(RaceResults!$C:$C,RaceResults!$A:$A,A189,RaceResults!$D:$D,E189))</f>
        <v>5</v>
      </c>
      <c r="G189">
        <f>IF(E189="","",SUMIFS(RaceResults!$E:$E,RaceResults!$A:$A,A189,RaceResults!$D:$D,E189))</f>
        <v>32</v>
      </c>
    </row>
    <row r="190" spans="1:7" x14ac:dyDescent="0.3">
      <c r="A190">
        <v>7</v>
      </c>
      <c r="B190" t="s">
        <v>61</v>
      </c>
      <c r="C190" t="s">
        <v>25</v>
      </c>
      <c r="D190">
        <v>3</v>
      </c>
      <c r="E190">
        <f>WeeklyPicks!F64</f>
        <v>9</v>
      </c>
      <c r="F190">
        <f>IF(E190="","",SUMIFS(RaceResults!$C:$C,RaceResults!$A:$A,A190,RaceResults!$D:$D,E190))</f>
        <v>1</v>
      </c>
      <c r="G190">
        <f>IF(E190="","",SUMIFS(RaceResults!$E:$E,RaceResults!$A:$A,A190,RaceResults!$D:$D,E190))</f>
        <v>55</v>
      </c>
    </row>
    <row r="191" spans="1:7" x14ac:dyDescent="0.3">
      <c r="A191">
        <v>7</v>
      </c>
      <c r="B191" t="s">
        <v>61</v>
      </c>
      <c r="C191" t="s">
        <v>26</v>
      </c>
      <c r="D191">
        <v>1</v>
      </c>
      <c r="E191">
        <f>WeeklyPicks!D65</f>
        <v>11</v>
      </c>
      <c r="F191">
        <f>IF(E191="","",SUMIFS(RaceResults!$C:$C,RaceResults!$A:$A,A191,RaceResults!$D:$D,E191))</f>
        <v>2</v>
      </c>
      <c r="G191">
        <f>IF(E191="","",SUMIFS(RaceResults!$E:$E,RaceResults!$A:$A,A191,RaceResults!$D:$D,E191))</f>
        <v>35</v>
      </c>
    </row>
    <row r="192" spans="1:7" x14ac:dyDescent="0.3">
      <c r="A192">
        <v>7</v>
      </c>
      <c r="B192" t="s">
        <v>61</v>
      </c>
      <c r="C192" t="s">
        <v>26</v>
      </c>
      <c r="D192">
        <v>2</v>
      </c>
      <c r="E192">
        <f>WeeklyPicks!E65</f>
        <v>12</v>
      </c>
      <c r="F192">
        <f>IF(E192="","",SUMIFS(RaceResults!$C:$C,RaceResults!$A:$A,A192,RaceResults!$D:$D,E192))</f>
        <v>6</v>
      </c>
      <c r="G192">
        <f>IF(E192="","",SUMIFS(RaceResults!$E:$E,RaceResults!$A:$A,A192,RaceResults!$D:$D,E192))</f>
        <v>31</v>
      </c>
    </row>
    <row r="193" spans="1:7" x14ac:dyDescent="0.3">
      <c r="A193">
        <v>7</v>
      </c>
      <c r="B193" t="s">
        <v>61</v>
      </c>
      <c r="C193" t="s">
        <v>26</v>
      </c>
      <c r="D193">
        <v>3</v>
      </c>
      <c r="E193">
        <f>WeeklyPicks!F65</f>
        <v>97</v>
      </c>
      <c r="F193">
        <f>IF(E193="","",SUMIFS(RaceResults!$C:$C,RaceResults!$A:$A,A193,RaceResults!$D:$D,E193))</f>
        <v>11</v>
      </c>
      <c r="G193">
        <f>IF(E193="","",SUMIFS(RaceResults!$E:$E,RaceResults!$A:$A,A193,RaceResults!$D:$D,E193))</f>
        <v>26</v>
      </c>
    </row>
    <row r="194" spans="1:7" x14ac:dyDescent="0.3">
      <c r="A194">
        <v>7</v>
      </c>
      <c r="B194" t="s">
        <v>61</v>
      </c>
      <c r="C194" t="s">
        <v>27</v>
      </c>
      <c r="D194">
        <v>1</v>
      </c>
      <c r="E194">
        <f>WeeklyPicks!D66</f>
        <v>11</v>
      </c>
      <c r="F194">
        <f>IF(E194="","",SUMIFS(RaceResults!$C:$C,RaceResults!$A:$A,A194,RaceResults!$D:$D,E194))</f>
        <v>2</v>
      </c>
      <c r="G194">
        <f>IF(E194="","",SUMIFS(RaceResults!$E:$E,RaceResults!$A:$A,A194,RaceResults!$D:$D,E194))</f>
        <v>35</v>
      </c>
    </row>
    <row r="195" spans="1:7" x14ac:dyDescent="0.3">
      <c r="A195">
        <v>7</v>
      </c>
      <c r="B195" t="s">
        <v>61</v>
      </c>
      <c r="C195" t="s">
        <v>27</v>
      </c>
      <c r="D195">
        <v>2</v>
      </c>
      <c r="E195">
        <f>WeeklyPicks!E66</f>
        <v>45</v>
      </c>
      <c r="F195">
        <f>IF(E195="","",SUMIFS(RaceResults!$C:$C,RaceResults!$A:$A,A195,RaceResults!$D:$D,E195))</f>
        <v>15</v>
      </c>
      <c r="G195">
        <f>IF(E195="","",SUMIFS(RaceResults!$E:$E,RaceResults!$A:$A,A195,RaceResults!$D:$D,E195))</f>
        <v>22</v>
      </c>
    </row>
    <row r="196" spans="1:7" x14ac:dyDescent="0.3">
      <c r="A196">
        <v>7</v>
      </c>
      <c r="B196" t="s">
        <v>61</v>
      </c>
      <c r="C196" t="s">
        <v>27</v>
      </c>
      <c r="D196">
        <v>3</v>
      </c>
      <c r="E196">
        <f>WeeklyPicks!F66</f>
        <v>9</v>
      </c>
      <c r="F196">
        <f>IF(E196="","",SUMIFS(RaceResults!$C:$C,RaceResults!$A:$A,A196,RaceResults!$D:$D,E196))</f>
        <v>1</v>
      </c>
      <c r="G196">
        <f>IF(E196="","",SUMIFS(RaceResults!$E:$E,RaceResults!$A:$A,A196,RaceResults!$D:$D,E196))</f>
        <v>55</v>
      </c>
    </row>
    <row r="197" spans="1:7" x14ac:dyDescent="0.3">
      <c r="A197">
        <v>7</v>
      </c>
      <c r="B197" t="s">
        <v>61</v>
      </c>
      <c r="C197" t="s">
        <v>28</v>
      </c>
      <c r="D197">
        <v>1</v>
      </c>
      <c r="E197">
        <f>WeeklyPicks!D67</f>
        <v>11</v>
      </c>
      <c r="F197">
        <f>IF(E197="","",SUMIFS(RaceResults!$C:$C,RaceResults!$A:$A,A197,RaceResults!$D:$D,E197))</f>
        <v>2</v>
      </c>
      <c r="G197">
        <f>IF(E197="","",SUMIFS(RaceResults!$E:$E,RaceResults!$A:$A,A197,RaceResults!$D:$D,E197))</f>
        <v>35</v>
      </c>
    </row>
    <row r="198" spans="1:7" x14ac:dyDescent="0.3">
      <c r="A198">
        <v>7</v>
      </c>
      <c r="B198" t="s">
        <v>61</v>
      </c>
      <c r="C198" t="s">
        <v>28</v>
      </c>
      <c r="D198">
        <v>2</v>
      </c>
      <c r="E198">
        <f>WeeklyPicks!E67</f>
        <v>12</v>
      </c>
      <c r="F198">
        <f>IF(E198="","",SUMIFS(RaceResults!$C:$C,RaceResults!$A:$A,A198,RaceResults!$D:$D,E198))</f>
        <v>6</v>
      </c>
      <c r="G198">
        <f>IF(E198="","",SUMIFS(RaceResults!$E:$E,RaceResults!$A:$A,A198,RaceResults!$D:$D,E198))</f>
        <v>31</v>
      </c>
    </row>
    <row r="199" spans="1:7" x14ac:dyDescent="0.3">
      <c r="A199">
        <v>7</v>
      </c>
      <c r="B199" t="s">
        <v>61</v>
      </c>
      <c r="C199" t="s">
        <v>28</v>
      </c>
      <c r="D199">
        <v>3</v>
      </c>
      <c r="E199">
        <f>WeeklyPicks!F67</f>
        <v>20</v>
      </c>
      <c r="F199">
        <f>IF(E199="","",SUMIFS(RaceResults!$C:$C,RaceResults!$A:$A,A199,RaceResults!$D:$D,E199))</f>
        <v>7</v>
      </c>
      <c r="G199">
        <f>IF(E199="","",SUMIFS(RaceResults!$E:$E,RaceResults!$A:$A,A199,RaceResults!$D:$D,E199))</f>
        <v>30</v>
      </c>
    </row>
    <row r="200" spans="1:7" x14ac:dyDescent="0.3">
      <c r="A200">
        <v>7</v>
      </c>
      <c r="B200" t="s">
        <v>61</v>
      </c>
      <c r="C200" t="s">
        <v>29</v>
      </c>
      <c r="D200">
        <v>1</v>
      </c>
      <c r="E200">
        <f>WeeklyPicks!D68</f>
        <v>24</v>
      </c>
      <c r="F200">
        <f>IF(E200="","",SUMIFS(RaceResults!$C:$C,RaceResults!$A:$A,A200,RaceResults!$D:$D,E200))</f>
        <v>5</v>
      </c>
      <c r="G200">
        <f>IF(E200="","",SUMIFS(RaceResults!$E:$E,RaceResults!$A:$A,A200,RaceResults!$D:$D,E200))</f>
        <v>32</v>
      </c>
    </row>
    <row r="201" spans="1:7" x14ac:dyDescent="0.3">
      <c r="A201">
        <v>7</v>
      </c>
      <c r="B201" t="s">
        <v>61</v>
      </c>
      <c r="C201" t="s">
        <v>29</v>
      </c>
      <c r="D201">
        <v>2</v>
      </c>
      <c r="E201">
        <f>WeeklyPicks!E68</f>
        <v>9</v>
      </c>
      <c r="F201">
        <f>IF(E201="","",SUMIFS(RaceResults!$C:$C,RaceResults!$A:$A,A201,RaceResults!$D:$D,E201))</f>
        <v>1</v>
      </c>
      <c r="G201">
        <f>IF(E201="","",SUMIFS(RaceResults!$E:$E,RaceResults!$A:$A,A201,RaceResults!$D:$D,E201))</f>
        <v>55</v>
      </c>
    </row>
    <row r="202" spans="1:7" x14ac:dyDescent="0.3">
      <c r="A202">
        <v>7</v>
      </c>
      <c r="B202" t="s">
        <v>61</v>
      </c>
      <c r="C202" t="s">
        <v>29</v>
      </c>
      <c r="D202">
        <v>3</v>
      </c>
      <c r="E202">
        <f>WeeklyPicks!F68</f>
        <v>5</v>
      </c>
      <c r="F202">
        <f>IF(E202="","",SUMIFS(RaceResults!$C:$C,RaceResults!$A:$A,A202,RaceResults!$D:$D,E202))</f>
        <v>9</v>
      </c>
      <c r="G202">
        <f>IF(E202="","",SUMIFS(RaceResults!$E:$E,RaceResults!$A:$A,A202,RaceResults!$D:$D,E202))</f>
        <v>28</v>
      </c>
    </row>
    <row r="203" spans="1:7" x14ac:dyDescent="0.3">
      <c r="A203">
        <v>7</v>
      </c>
      <c r="B203" t="s">
        <v>61</v>
      </c>
      <c r="C203" t="s">
        <v>30</v>
      </c>
      <c r="D203">
        <v>1</v>
      </c>
      <c r="E203">
        <f>WeeklyPicks!D69</f>
        <v>0</v>
      </c>
      <c r="F203">
        <f>IF(E203="","",SUMIFS(RaceResults!$C:$C,RaceResults!$A:$A,A203,RaceResults!$D:$D,E203))</f>
        <v>0</v>
      </c>
      <c r="G203">
        <f>IF(E203="","",SUMIFS(RaceResults!$E:$E,RaceResults!$A:$A,A203,RaceResults!$D:$D,E203))</f>
        <v>0</v>
      </c>
    </row>
    <row r="204" spans="1:7" x14ac:dyDescent="0.3">
      <c r="A204">
        <v>7</v>
      </c>
      <c r="B204" t="s">
        <v>61</v>
      </c>
      <c r="C204" t="s">
        <v>30</v>
      </c>
      <c r="D204">
        <v>2</v>
      </c>
      <c r="E204">
        <f>WeeklyPicks!E69</f>
        <v>0</v>
      </c>
      <c r="F204">
        <f>IF(E204="","",SUMIFS(RaceResults!$C:$C,RaceResults!$A:$A,A204,RaceResults!$D:$D,E204))</f>
        <v>0</v>
      </c>
      <c r="G204">
        <f>IF(E204="","",SUMIFS(RaceResults!$E:$E,RaceResults!$A:$A,A204,RaceResults!$D:$D,E204))</f>
        <v>0</v>
      </c>
    </row>
    <row r="205" spans="1:7" x14ac:dyDescent="0.3">
      <c r="A205">
        <v>7</v>
      </c>
      <c r="B205" t="s">
        <v>61</v>
      </c>
      <c r="C205" t="s">
        <v>30</v>
      </c>
      <c r="D205">
        <v>3</v>
      </c>
      <c r="E205">
        <f>WeeklyPicks!F69</f>
        <v>0</v>
      </c>
      <c r="F205">
        <f>IF(E205="","",SUMIFS(RaceResults!$C:$C,RaceResults!$A:$A,A205,RaceResults!$D:$D,E205))</f>
        <v>0</v>
      </c>
      <c r="G205">
        <f>IF(E205="","",SUMIFS(RaceResults!$E:$E,RaceResults!$A:$A,A205,RaceResults!$D:$D,E205))</f>
        <v>0</v>
      </c>
    </row>
    <row r="206" spans="1:7" x14ac:dyDescent="0.3">
      <c r="A206">
        <v>7</v>
      </c>
      <c r="B206" t="s">
        <v>61</v>
      </c>
      <c r="C206" t="s">
        <v>31</v>
      </c>
      <c r="D206">
        <v>1</v>
      </c>
      <c r="E206">
        <f>WeeklyPicks!D70</f>
        <v>24</v>
      </c>
      <c r="F206">
        <f>IF(E206="","",SUMIFS(RaceResults!$C:$C,RaceResults!$A:$A,A206,RaceResults!$D:$D,E206))</f>
        <v>5</v>
      </c>
      <c r="G206">
        <f>IF(E206="","",SUMIFS(RaceResults!$E:$E,RaceResults!$A:$A,A206,RaceResults!$D:$D,E206))</f>
        <v>32</v>
      </c>
    </row>
    <row r="207" spans="1:7" x14ac:dyDescent="0.3">
      <c r="A207">
        <v>7</v>
      </c>
      <c r="B207" t="s">
        <v>61</v>
      </c>
      <c r="C207" t="s">
        <v>31</v>
      </c>
      <c r="D207">
        <v>2</v>
      </c>
      <c r="E207">
        <f>WeeklyPicks!E70</f>
        <v>12</v>
      </c>
      <c r="F207">
        <f>IF(E207="","",SUMIFS(RaceResults!$C:$C,RaceResults!$A:$A,A207,RaceResults!$D:$D,E207))</f>
        <v>6</v>
      </c>
      <c r="G207">
        <f>IF(E207="","",SUMIFS(RaceResults!$E:$E,RaceResults!$A:$A,A207,RaceResults!$D:$D,E207))</f>
        <v>31</v>
      </c>
    </row>
    <row r="208" spans="1:7" x14ac:dyDescent="0.3">
      <c r="A208">
        <v>7</v>
      </c>
      <c r="B208" t="s">
        <v>61</v>
      </c>
      <c r="C208" t="s">
        <v>31</v>
      </c>
      <c r="D208">
        <v>3</v>
      </c>
      <c r="E208">
        <f>WeeklyPicks!F70</f>
        <v>11</v>
      </c>
      <c r="F208">
        <f>IF(E208="","",SUMIFS(RaceResults!$C:$C,RaceResults!$A:$A,A208,RaceResults!$D:$D,E208))</f>
        <v>2</v>
      </c>
      <c r="G208">
        <f>IF(E208="","",SUMIFS(RaceResults!$E:$E,RaceResults!$A:$A,A208,RaceResults!$D:$D,E208))</f>
        <v>35</v>
      </c>
    </row>
    <row r="209" spans="1:7" x14ac:dyDescent="0.3">
      <c r="A209">
        <v>7</v>
      </c>
      <c r="B209" t="s">
        <v>61</v>
      </c>
      <c r="C209" t="s">
        <v>32</v>
      </c>
      <c r="D209">
        <v>1</v>
      </c>
      <c r="E209">
        <f>WeeklyPicks!D71</f>
        <v>11</v>
      </c>
      <c r="F209">
        <f>IF(E209="","",SUMIFS(RaceResults!$C:$C,RaceResults!$A:$A,A209,RaceResults!$D:$D,E209))</f>
        <v>2</v>
      </c>
      <c r="G209">
        <f>IF(E209="","",SUMIFS(RaceResults!$E:$E,RaceResults!$A:$A,A209,RaceResults!$D:$D,E209))</f>
        <v>35</v>
      </c>
    </row>
    <row r="210" spans="1:7" x14ac:dyDescent="0.3">
      <c r="A210">
        <v>7</v>
      </c>
      <c r="B210" t="s">
        <v>61</v>
      </c>
      <c r="C210" t="s">
        <v>32</v>
      </c>
      <c r="D210">
        <v>2</v>
      </c>
      <c r="E210">
        <f>WeeklyPicks!E71</f>
        <v>23</v>
      </c>
      <c r="F210">
        <f>IF(E210="","",SUMIFS(RaceResults!$C:$C,RaceResults!$A:$A,A210,RaceResults!$D:$D,E210))</f>
        <v>36</v>
      </c>
      <c r="G210">
        <f>IF(E210="","",SUMIFS(RaceResults!$E:$E,RaceResults!$A:$A,A210,RaceResults!$D:$D,E210))</f>
        <v>1</v>
      </c>
    </row>
    <row r="211" spans="1:7" x14ac:dyDescent="0.3">
      <c r="A211">
        <v>7</v>
      </c>
      <c r="B211" t="s">
        <v>61</v>
      </c>
      <c r="C211" t="s">
        <v>32</v>
      </c>
      <c r="D211">
        <v>3</v>
      </c>
      <c r="E211">
        <f>WeeklyPicks!F71</f>
        <v>24</v>
      </c>
      <c r="F211">
        <f>IF(E211="","",SUMIFS(RaceResults!$C:$C,RaceResults!$A:$A,A211,RaceResults!$D:$D,E211))</f>
        <v>5</v>
      </c>
      <c r="G211">
        <f>IF(E211="","",SUMIFS(RaceResults!$E:$E,RaceResults!$A:$A,A211,RaceResults!$D:$D,E211))</f>
        <v>32</v>
      </c>
    </row>
    <row r="212" spans="1:7" x14ac:dyDescent="0.3">
      <c r="A212">
        <v>8</v>
      </c>
      <c r="B212" t="s">
        <v>63</v>
      </c>
      <c r="C212" t="s">
        <v>21</v>
      </c>
      <c r="D212">
        <v>1</v>
      </c>
      <c r="E212">
        <f>WeeklyPicks!D72</f>
        <v>5</v>
      </c>
      <c r="F212">
        <f>IF(E212="","",SUMIFS(RaceResults!$C:$C,RaceResults!$A:$A,A212,RaceResults!$D:$D,E212))</f>
        <v>3</v>
      </c>
      <c r="G212">
        <f>IF(E212="","",SUMIFS(RaceResults!$E:$E,RaceResults!$A:$A,A212,RaceResults!$D:$D,E212))</f>
        <v>34</v>
      </c>
    </row>
    <row r="213" spans="1:7" x14ac:dyDescent="0.3">
      <c r="A213">
        <v>8</v>
      </c>
      <c r="B213" t="s">
        <v>63</v>
      </c>
      <c r="C213" t="s">
        <v>21</v>
      </c>
      <c r="D213">
        <v>2</v>
      </c>
      <c r="E213">
        <f>WeeklyPicks!E72</f>
        <v>12</v>
      </c>
      <c r="F213">
        <f>IF(E213="","",SUMIFS(RaceResults!$C:$C,RaceResults!$A:$A,A213,RaceResults!$D:$D,E213))</f>
        <v>2</v>
      </c>
      <c r="G213">
        <f>IF(E213="","",SUMIFS(RaceResults!$E:$E,RaceResults!$A:$A,A213,RaceResults!$D:$D,E213))</f>
        <v>35</v>
      </c>
    </row>
    <row r="214" spans="1:7" x14ac:dyDescent="0.3">
      <c r="A214">
        <v>8</v>
      </c>
      <c r="B214" t="s">
        <v>63</v>
      </c>
      <c r="C214" t="s">
        <v>21</v>
      </c>
      <c r="D214">
        <v>3</v>
      </c>
      <c r="E214">
        <f>WeeklyPicks!F72</f>
        <v>45</v>
      </c>
      <c r="F214">
        <f>IF(E214="","",SUMIFS(RaceResults!$C:$C,RaceResults!$A:$A,A214,RaceResults!$D:$D,E214))</f>
        <v>4</v>
      </c>
      <c r="G214">
        <f>IF(E214="","",SUMIFS(RaceResults!$E:$E,RaceResults!$A:$A,A214,RaceResults!$D:$D,E214))</f>
        <v>33</v>
      </c>
    </row>
    <row r="215" spans="1:7" x14ac:dyDescent="0.3">
      <c r="A215">
        <v>8</v>
      </c>
      <c r="B215" t="s">
        <v>63</v>
      </c>
      <c r="C215" t="s">
        <v>22</v>
      </c>
      <c r="D215">
        <v>1</v>
      </c>
      <c r="E215">
        <f>WeeklyPicks!D73</f>
        <v>5</v>
      </c>
      <c r="F215">
        <f>IF(E215="","",SUMIFS(RaceResults!$C:$C,RaceResults!$A:$A,A215,RaceResults!$D:$D,E215))</f>
        <v>3</v>
      </c>
      <c r="G215">
        <f>IF(E215="","",SUMIFS(RaceResults!$E:$E,RaceResults!$A:$A,A215,RaceResults!$D:$D,E215))</f>
        <v>34</v>
      </c>
    </row>
    <row r="216" spans="1:7" x14ac:dyDescent="0.3">
      <c r="A216">
        <v>8</v>
      </c>
      <c r="B216" t="s">
        <v>63</v>
      </c>
      <c r="C216" t="s">
        <v>22</v>
      </c>
      <c r="D216">
        <v>2</v>
      </c>
      <c r="E216">
        <f>WeeklyPicks!E73</f>
        <v>45</v>
      </c>
      <c r="F216">
        <f>IF(E216="","",SUMIFS(RaceResults!$C:$C,RaceResults!$A:$A,A216,RaceResults!$D:$D,E216))</f>
        <v>4</v>
      </c>
      <c r="G216">
        <f>IF(E216="","",SUMIFS(RaceResults!$E:$E,RaceResults!$A:$A,A216,RaceResults!$D:$D,E216))</f>
        <v>33</v>
      </c>
    </row>
    <row r="217" spans="1:7" x14ac:dyDescent="0.3">
      <c r="A217">
        <v>8</v>
      </c>
      <c r="B217" t="s">
        <v>63</v>
      </c>
      <c r="C217" t="s">
        <v>22</v>
      </c>
      <c r="D217">
        <v>3</v>
      </c>
      <c r="E217">
        <f>WeeklyPicks!F73</f>
        <v>11</v>
      </c>
      <c r="F217">
        <f>IF(E217="","",SUMIFS(RaceResults!$C:$C,RaceResults!$A:$A,A217,RaceResults!$D:$D,E217))</f>
        <v>9</v>
      </c>
      <c r="G217">
        <f>IF(E217="","",SUMIFS(RaceResults!$E:$E,RaceResults!$A:$A,A217,RaceResults!$D:$D,E217))</f>
        <v>28</v>
      </c>
    </row>
    <row r="218" spans="1:7" x14ac:dyDescent="0.3">
      <c r="A218">
        <v>8</v>
      </c>
      <c r="B218" t="s">
        <v>63</v>
      </c>
      <c r="C218" t="s">
        <v>25</v>
      </c>
      <c r="D218">
        <v>1</v>
      </c>
      <c r="E218">
        <f>WeeklyPicks!D74</f>
        <v>12</v>
      </c>
      <c r="F218">
        <f>IF(E218="","",SUMIFS(RaceResults!$C:$C,RaceResults!$A:$A,A218,RaceResults!$D:$D,E218))</f>
        <v>2</v>
      </c>
      <c r="G218">
        <f>IF(E218="","",SUMIFS(RaceResults!$E:$E,RaceResults!$A:$A,A218,RaceResults!$D:$D,E218))</f>
        <v>35</v>
      </c>
    </row>
    <row r="219" spans="1:7" x14ac:dyDescent="0.3">
      <c r="A219">
        <v>8</v>
      </c>
      <c r="B219" t="s">
        <v>63</v>
      </c>
      <c r="C219" t="s">
        <v>25</v>
      </c>
      <c r="D219">
        <v>2</v>
      </c>
      <c r="E219">
        <f>WeeklyPicks!E74</f>
        <v>54</v>
      </c>
      <c r="F219">
        <f>IF(E219="","",SUMIFS(RaceResults!$C:$C,RaceResults!$A:$A,A219,RaceResults!$D:$D,E219))</f>
        <v>1</v>
      </c>
      <c r="G219">
        <f>IF(E219="","",SUMIFS(RaceResults!$E:$E,RaceResults!$A:$A,A219,RaceResults!$D:$D,E219))</f>
        <v>55</v>
      </c>
    </row>
    <row r="220" spans="1:7" x14ac:dyDescent="0.3">
      <c r="A220">
        <v>8</v>
      </c>
      <c r="B220" t="s">
        <v>63</v>
      </c>
      <c r="C220" t="s">
        <v>25</v>
      </c>
      <c r="D220">
        <v>3</v>
      </c>
      <c r="E220">
        <f>WeeklyPicks!F74</f>
        <v>17</v>
      </c>
      <c r="F220">
        <f>IF(E220="","",SUMIFS(RaceResults!$C:$C,RaceResults!$A:$A,A220,RaceResults!$D:$D,E220))</f>
        <v>13</v>
      </c>
      <c r="G220">
        <f>IF(E220="","",SUMIFS(RaceResults!$E:$E,RaceResults!$A:$A,A220,RaceResults!$D:$D,E220))</f>
        <v>24</v>
      </c>
    </row>
    <row r="221" spans="1:7" x14ac:dyDescent="0.3">
      <c r="A221">
        <v>8</v>
      </c>
      <c r="B221" t="s">
        <v>63</v>
      </c>
      <c r="C221" t="s">
        <v>26</v>
      </c>
      <c r="D221">
        <v>1</v>
      </c>
      <c r="E221">
        <f>WeeklyPicks!D75</f>
        <v>12</v>
      </c>
      <c r="F221">
        <f>IF(E221="","",SUMIFS(RaceResults!$C:$C,RaceResults!$A:$A,A221,RaceResults!$D:$D,E221))</f>
        <v>2</v>
      </c>
      <c r="G221">
        <f>IF(E221="","",SUMIFS(RaceResults!$E:$E,RaceResults!$A:$A,A221,RaceResults!$D:$D,E221))</f>
        <v>35</v>
      </c>
    </row>
    <row r="222" spans="1:7" x14ac:dyDescent="0.3">
      <c r="A222">
        <v>8</v>
      </c>
      <c r="B222" t="s">
        <v>63</v>
      </c>
      <c r="C222" t="s">
        <v>26</v>
      </c>
      <c r="D222">
        <v>2</v>
      </c>
      <c r="E222">
        <f>WeeklyPicks!E75</f>
        <v>54</v>
      </c>
      <c r="F222">
        <f>IF(E222="","",SUMIFS(RaceResults!$C:$C,RaceResults!$A:$A,A222,RaceResults!$D:$D,E222))</f>
        <v>1</v>
      </c>
      <c r="G222">
        <f>IF(E222="","",SUMIFS(RaceResults!$E:$E,RaceResults!$A:$A,A222,RaceResults!$D:$D,E222))</f>
        <v>55</v>
      </c>
    </row>
    <row r="223" spans="1:7" x14ac:dyDescent="0.3">
      <c r="A223">
        <v>8</v>
      </c>
      <c r="B223" t="s">
        <v>63</v>
      </c>
      <c r="C223" t="s">
        <v>26</v>
      </c>
      <c r="D223">
        <v>3</v>
      </c>
      <c r="E223">
        <f>WeeklyPicks!F75</f>
        <v>11</v>
      </c>
      <c r="F223">
        <f>IF(E223="","",SUMIFS(RaceResults!$C:$C,RaceResults!$A:$A,A223,RaceResults!$D:$D,E223))</f>
        <v>9</v>
      </c>
      <c r="G223">
        <f>IF(E223="","",SUMIFS(RaceResults!$E:$E,RaceResults!$A:$A,A223,RaceResults!$D:$D,E223))</f>
        <v>28</v>
      </c>
    </row>
    <row r="224" spans="1:7" x14ac:dyDescent="0.3">
      <c r="A224">
        <v>8</v>
      </c>
      <c r="B224" t="s">
        <v>63</v>
      </c>
      <c r="C224" t="s">
        <v>27</v>
      </c>
      <c r="D224">
        <v>1</v>
      </c>
      <c r="E224">
        <f>WeeklyPicks!D76</f>
        <v>5</v>
      </c>
      <c r="F224">
        <f>IF(E224="","",SUMIFS(RaceResults!$C:$C,RaceResults!$A:$A,A224,RaceResults!$D:$D,E224))</f>
        <v>3</v>
      </c>
      <c r="G224">
        <f>IF(E224="","",SUMIFS(RaceResults!$E:$E,RaceResults!$A:$A,A224,RaceResults!$D:$D,E224))</f>
        <v>34</v>
      </c>
    </row>
    <row r="225" spans="1:7" x14ac:dyDescent="0.3">
      <c r="A225">
        <v>8</v>
      </c>
      <c r="B225" t="s">
        <v>63</v>
      </c>
      <c r="C225" t="s">
        <v>27</v>
      </c>
      <c r="D225">
        <v>2</v>
      </c>
      <c r="E225">
        <f>WeeklyPicks!E76</f>
        <v>22</v>
      </c>
      <c r="F225">
        <f>IF(E225="","",SUMIFS(RaceResults!$C:$C,RaceResults!$A:$A,A225,RaceResults!$D:$D,E225))</f>
        <v>7</v>
      </c>
      <c r="G225">
        <f>IF(E225="","",SUMIFS(RaceResults!$E:$E,RaceResults!$A:$A,A225,RaceResults!$D:$D,E225))</f>
        <v>30</v>
      </c>
    </row>
    <row r="226" spans="1:7" x14ac:dyDescent="0.3">
      <c r="A226">
        <v>8</v>
      </c>
      <c r="B226" t="s">
        <v>63</v>
      </c>
      <c r="C226" t="s">
        <v>27</v>
      </c>
      <c r="D226">
        <v>3</v>
      </c>
      <c r="E226">
        <f>WeeklyPicks!F76</f>
        <v>20</v>
      </c>
      <c r="F226">
        <f>IF(E226="","",SUMIFS(RaceResults!$C:$C,RaceResults!$A:$A,A226,RaceResults!$D:$D,E226))</f>
        <v>27</v>
      </c>
      <c r="G226">
        <f>IF(E226="","",SUMIFS(RaceResults!$E:$E,RaceResults!$A:$A,A226,RaceResults!$D:$D,E226))</f>
        <v>10</v>
      </c>
    </row>
    <row r="227" spans="1:7" x14ac:dyDescent="0.3">
      <c r="A227">
        <v>8</v>
      </c>
      <c r="B227" t="s">
        <v>63</v>
      </c>
      <c r="C227" t="s">
        <v>28</v>
      </c>
      <c r="D227">
        <v>1</v>
      </c>
      <c r="E227">
        <f>WeeklyPicks!D77</f>
        <v>12</v>
      </c>
      <c r="F227">
        <f>IF(E227="","",SUMIFS(RaceResults!$C:$C,RaceResults!$A:$A,A227,RaceResults!$D:$D,E227))</f>
        <v>2</v>
      </c>
      <c r="G227">
        <f>IF(E227="","",SUMIFS(RaceResults!$E:$E,RaceResults!$A:$A,A227,RaceResults!$D:$D,E227))</f>
        <v>35</v>
      </c>
    </row>
    <row r="228" spans="1:7" x14ac:dyDescent="0.3">
      <c r="A228">
        <v>8</v>
      </c>
      <c r="B228" t="s">
        <v>63</v>
      </c>
      <c r="C228" t="s">
        <v>28</v>
      </c>
      <c r="D228">
        <v>2</v>
      </c>
      <c r="E228">
        <f>WeeklyPicks!E77</f>
        <v>45</v>
      </c>
      <c r="F228">
        <f>IF(E228="","",SUMIFS(RaceResults!$C:$C,RaceResults!$A:$A,A228,RaceResults!$D:$D,E228))</f>
        <v>4</v>
      </c>
      <c r="G228">
        <f>IF(E228="","",SUMIFS(RaceResults!$E:$E,RaceResults!$A:$A,A228,RaceResults!$D:$D,E228))</f>
        <v>33</v>
      </c>
    </row>
    <row r="229" spans="1:7" x14ac:dyDescent="0.3">
      <c r="A229">
        <v>8</v>
      </c>
      <c r="B229" t="s">
        <v>63</v>
      </c>
      <c r="C229" t="s">
        <v>28</v>
      </c>
      <c r="D229">
        <v>3</v>
      </c>
      <c r="E229">
        <f>WeeklyPicks!F77</f>
        <v>20</v>
      </c>
      <c r="F229">
        <f>IF(E229="","",SUMIFS(RaceResults!$C:$C,RaceResults!$A:$A,A229,RaceResults!$D:$D,E229))</f>
        <v>27</v>
      </c>
      <c r="G229">
        <f>IF(E229="","",SUMIFS(RaceResults!$E:$E,RaceResults!$A:$A,A229,RaceResults!$D:$D,E229))</f>
        <v>10</v>
      </c>
    </row>
    <row r="230" spans="1:7" x14ac:dyDescent="0.3">
      <c r="A230">
        <v>8</v>
      </c>
      <c r="B230" t="s">
        <v>63</v>
      </c>
      <c r="C230" t="s">
        <v>29</v>
      </c>
      <c r="D230">
        <v>1</v>
      </c>
      <c r="E230">
        <f>WeeklyPicks!D78</f>
        <v>0</v>
      </c>
      <c r="F230">
        <f>IF(E230="","",SUMIFS(RaceResults!$C:$C,RaceResults!$A:$A,A230,RaceResults!$D:$D,E230))</f>
        <v>0</v>
      </c>
      <c r="G230">
        <f>IF(E230="","",SUMIFS(RaceResults!$E:$E,RaceResults!$A:$A,A230,RaceResults!$D:$D,E230))</f>
        <v>0</v>
      </c>
    </row>
    <row r="231" spans="1:7" x14ac:dyDescent="0.3">
      <c r="A231">
        <v>8</v>
      </c>
      <c r="B231" t="s">
        <v>63</v>
      </c>
      <c r="C231" t="s">
        <v>29</v>
      </c>
      <c r="D231">
        <v>2</v>
      </c>
      <c r="E231">
        <f>WeeklyPicks!E78</f>
        <v>0</v>
      </c>
      <c r="F231">
        <f>IF(E231="","",SUMIFS(RaceResults!$C:$C,RaceResults!$A:$A,A231,RaceResults!$D:$D,E231))</f>
        <v>0</v>
      </c>
      <c r="G231">
        <f>IF(E231="","",SUMIFS(RaceResults!$E:$E,RaceResults!$A:$A,A231,RaceResults!$D:$D,E231))</f>
        <v>0</v>
      </c>
    </row>
    <row r="232" spans="1:7" x14ac:dyDescent="0.3">
      <c r="A232">
        <v>8</v>
      </c>
      <c r="B232" t="s">
        <v>63</v>
      </c>
      <c r="C232" t="s">
        <v>29</v>
      </c>
      <c r="D232">
        <v>3</v>
      </c>
      <c r="E232">
        <f>WeeklyPicks!F78</f>
        <v>0</v>
      </c>
      <c r="F232">
        <f>IF(E232="","",SUMIFS(RaceResults!$C:$C,RaceResults!$A:$A,A232,RaceResults!$D:$D,E232))</f>
        <v>0</v>
      </c>
      <c r="G232">
        <f>IF(E232="","",SUMIFS(RaceResults!$E:$E,RaceResults!$A:$A,A232,RaceResults!$D:$D,E232))</f>
        <v>0</v>
      </c>
    </row>
    <row r="233" spans="1:7" x14ac:dyDescent="0.3">
      <c r="A233">
        <v>8</v>
      </c>
      <c r="B233" t="s">
        <v>63</v>
      </c>
      <c r="C233" t="s">
        <v>30</v>
      </c>
      <c r="D233">
        <v>1</v>
      </c>
      <c r="E233">
        <f>WeeklyPicks!D79</f>
        <v>0</v>
      </c>
      <c r="F233">
        <f>IF(E233="","",SUMIFS(RaceResults!$C:$C,RaceResults!$A:$A,A233,RaceResults!$D:$D,E233))</f>
        <v>0</v>
      </c>
      <c r="G233">
        <f>IF(E233="","",SUMIFS(RaceResults!$E:$E,RaceResults!$A:$A,A233,RaceResults!$D:$D,E233))</f>
        <v>0</v>
      </c>
    </row>
    <row r="234" spans="1:7" x14ac:dyDescent="0.3">
      <c r="A234">
        <v>8</v>
      </c>
      <c r="B234" t="s">
        <v>63</v>
      </c>
      <c r="C234" t="s">
        <v>30</v>
      </c>
      <c r="D234">
        <v>2</v>
      </c>
      <c r="E234">
        <f>WeeklyPicks!E79</f>
        <v>0</v>
      </c>
      <c r="F234">
        <f>IF(E234="","",SUMIFS(RaceResults!$C:$C,RaceResults!$A:$A,A234,RaceResults!$D:$D,E234))</f>
        <v>0</v>
      </c>
      <c r="G234">
        <f>IF(E234="","",SUMIFS(RaceResults!$E:$E,RaceResults!$A:$A,A234,RaceResults!$D:$D,E234))</f>
        <v>0</v>
      </c>
    </row>
    <row r="235" spans="1:7" x14ac:dyDescent="0.3">
      <c r="A235">
        <v>8</v>
      </c>
      <c r="B235" t="s">
        <v>63</v>
      </c>
      <c r="C235" t="s">
        <v>30</v>
      </c>
      <c r="D235">
        <v>3</v>
      </c>
      <c r="E235">
        <f>WeeklyPicks!F79</f>
        <v>0</v>
      </c>
      <c r="F235">
        <f>IF(E235="","",SUMIFS(RaceResults!$C:$C,RaceResults!$A:$A,A235,RaceResults!$D:$D,E235))</f>
        <v>0</v>
      </c>
      <c r="G235">
        <f>IF(E235="","",SUMIFS(RaceResults!$E:$E,RaceResults!$A:$A,A235,RaceResults!$D:$D,E235))</f>
        <v>0</v>
      </c>
    </row>
    <row r="236" spans="1:7" x14ac:dyDescent="0.3">
      <c r="A236">
        <v>8</v>
      </c>
      <c r="B236" t="s">
        <v>63</v>
      </c>
      <c r="C236" t="s">
        <v>31</v>
      </c>
      <c r="D236">
        <v>1</v>
      </c>
      <c r="E236">
        <f>WeeklyPicks!D80</f>
        <v>5</v>
      </c>
      <c r="F236">
        <f>IF(E236="","",SUMIFS(RaceResults!$C:$C,RaceResults!$A:$A,A236,RaceResults!$D:$D,E236))</f>
        <v>3</v>
      </c>
      <c r="G236">
        <f>IF(E236="","",SUMIFS(RaceResults!$E:$E,RaceResults!$A:$A,A236,RaceResults!$D:$D,E236))</f>
        <v>34</v>
      </c>
    </row>
    <row r="237" spans="1:7" x14ac:dyDescent="0.3">
      <c r="A237">
        <v>8</v>
      </c>
      <c r="B237" t="s">
        <v>63</v>
      </c>
      <c r="C237" t="s">
        <v>31</v>
      </c>
      <c r="D237">
        <v>2</v>
      </c>
      <c r="E237">
        <f>WeeklyPicks!E80</f>
        <v>12</v>
      </c>
      <c r="F237">
        <f>IF(E237="","",SUMIFS(RaceResults!$C:$C,RaceResults!$A:$A,A237,RaceResults!$D:$D,E237))</f>
        <v>2</v>
      </c>
      <c r="G237">
        <f>IF(E237="","",SUMIFS(RaceResults!$E:$E,RaceResults!$A:$A,A237,RaceResults!$D:$D,E237))</f>
        <v>35</v>
      </c>
    </row>
    <row r="238" spans="1:7" x14ac:dyDescent="0.3">
      <c r="A238">
        <v>8</v>
      </c>
      <c r="B238" t="s">
        <v>63</v>
      </c>
      <c r="C238" t="s">
        <v>31</v>
      </c>
      <c r="D238">
        <v>3</v>
      </c>
      <c r="E238">
        <f>WeeklyPicks!F80</f>
        <v>11</v>
      </c>
      <c r="F238">
        <f>IF(E238="","",SUMIFS(RaceResults!$C:$C,RaceResults!$A:$A,A238,RaceResults!$D:$D,E238))</f>
        <v>9</v>
      </c>
      <c r="G238">
        <f>IF(E238="","",SUMIFS(RaceResults!$E:$E,RaceResults!$A:$A,A238,RaceResults!$D:$D,E238))</f>
        <v>28</v>
      </c>
    </row>
    <row r="239" spans="1:7" x14ac:dyDescent="0.3">
      <c r="A239">
        <v>8</v>
      </c>
      <c r="B239" t="s">
        <v>63</v>
      </c>
      <c r="C239" t="s">
        <v>32</v>
      </c>
      <c r="D239">
        <v>1</v>
      </c>
      <c r="E239">
        <f>WeeklyPicks!D81</f>
        <v>12</v>
      </c>
      <c r="F239">
        <f>IF(E239="","",SUMIFS(RaceResults!$C:$C,RaceResults!$A:$A,A239,RaceResults!$D:$D,E239))</f>
        <v>2</v>
      </c>
      <c r="G239">
        <f>IF(E239="","",SUMIFS(RaceResults!$E:$E,RaceResults!$A:$A,A239,RaceResults!$D:$D,E239))</f>
        <v>35</v>
      </c>
    </row>
    <row r="240" spans="1:7" x14ac:dyDescent="0.3">
      <c r="A240">
        <v>8</v>
      </c>
      <c r="B240" t="s">
        <v>63</v>
      </c>
      <c r="C240" t="s">
        <v>32</v>
      </c>
      <c r="D240">
        <v>2</v>
      </c>
      <c r="E240">
        <f>WeeklyPicks!E81</f>
        <v>54</v>
      </c>
      <c r="F240">
        <f>IF(E240="","",SUMIFS(RaceResults!$C:$C,RaceResults!$A:$A,A240,RaceResults!$D:$D,E240))</f>
        <v>1</v>
      </c>
      <c r="G240">
        <f>IF(E240="","",SUMIFS(RaceResults!$E:$E,RaceResults!$A:$A,A240,RaceResults!$D:$D,E240))</f>
        <v>55</v>
      </c>
    </row>
    <row r="241" spans="1:7" x14ac:dyDescent="0.3">
      <c r="A241">
        <v>8</v>
      </c>
      <c r="B241" t="s">
        <v>63</v>
      </c>
      <c r="C241" t="s">
        <v>32</v>
      </c>
      <c r="D241">
        <v>3</v>
      </c>
      <c r="E241">
        <f>WeeklyPicks!F81</f>
        <v>45</v>
      </c>
      <c r="F241">
        <f>IF(E241="","",SUMIFS(RaceResults!$C:$C,RaceResults!$A:$A,A241,RaceResults!$D:$D,E241))</f>
        <v>4</v>
      </c>
      <c r="G241">
        <f>IF(E241="","",SUMIFS(RaceResults!$E:$E,RaceResults!$A:$A,A241,RaceResults!$D:$D,E241))</f>
        <v>33</v>
      </c>
    </row>
    <row r="242" spans="1:7" x14ac:dyDescent="0.3">
      <c r="A242">
        <v>9</v>
      </c>
      <c r="B242" t="s">
        <v>65</v>
      </c>
      <c r="C242" t="s">
        <v>21</v>
      </c>
      <c r="D242">
        <v>1</v>
      </c>
      <c r="E242">
        <f>WeeklyPicks!D82</f>
        <v>5</v>
      </c>
      <c r="F242">
        <f>IF(E242="","",SUMIFS(RaceResults!$C:$C,RaceResults!$A:$A,A242,RaceResults!$D:$D,E242))</f>
        <v>2</v>
      </c>
      <c r="G242">
        <f>IF(E242="","",SUMIFS(RaceResults!$E:$E,RaceResults!$A:$A,A242,RaceResults!$D:$D,E242))</f>
        <v>35</v>
      </c>
    </row>
    <row r="243" spans="1:7" x14ac:dyDescent="0.3">
      <c r="A243">
        <v>9</v>
      </c>
      <c r="B243" t="s">
        <v>65</v>
      </c>
      <c r="C243" t="s">
        <v>21</v>
      </c>
      <c r="D243">
        <v>2</v>
      </c>
      <c r="E243">
        <f>WeeklyPicks!E82</f>
        <v>11</v>
      </c>
      <c r="F243">
        <f>IF(E243="","",SUMIFS(RaceResults!$C:$C,RaceResults!$A:$A,A243,RaceResults!$D:$D,E243))</f>
        <v>4</v>
      </c>
      <c r="G243">
        <f>IF(E243="","",SUMIFS(RaceResults!$E:$E,RaceResults!$A:$A,A243,RaceResults!$D:$D,E243))</f>
        <v>33</v>
      </c>
    </row>
    <row r="244" spans="1:7" x14ac:dyDescent="0.3">
      <c r="A244">
        <v>9</v>
      </c>
      <c r="B244" t="s">
        <v>65</v>
      </c>
      <c r="C244" t="s">
        <v>21</v>
      </c>
      <c r="D244">
        <v>3</v>
      </c>
      <c r="E244">
        <f>WeeklyPicks!F82</f>
        <v>45</v>
      </c>
      <c r="F244">
        <f>IF(E244="","",SUMIFS(RaceResults!$C:$C,RaceResults!$A:$A,A244,RaceResults!$D:$D,E244))</f>
        <v>1</v>
      </c>
      <c r="G244">
        <f>IF(E244="","",SUMIFS(RaceResults!$E:$E,RaceResults!$A:$A,A244,RaceResults!$D:$D,E244))</f>
        <v>55</v>
      </c>
    </row>
    <row r="245" spans="1:7" x14ac:dyDescent="0.3">
      <c r="A245">
        <v>9</v>
      </c>
      <c r="B245" t="s">
        <v>65</v>
      </c>
      <c r="C245" t="s">
        <v>22</v>
      </c>
      <c r="D245">
        <v>1</v>
      </c>
      <c r="E245">
        <f>WeeklyPicks!D83</f>
        <v>45</v>
      </c>
      <c r="F245">
        <f>IF(E245="","",SUMIFS(RaceResults!$C:$C,RaceResults!$A:$A,A245,RaceResults!$D:$D,E245))</f>
        <v>1</v>
      </c>
      <c r="G245">
        <f>IF(E245="","",SUMIFS(RaceResults!$E:$E,RaceResults!$A:$A,A245,RaceResults!$D:$D,E245))</f>
        <v>55</v>
      </c>
    </row>
    <row r="246" spans="1:7" x14ac:dyDescent="0.3">
      <c r="A246">
        <v>9</v>
      </c>
      <c r="B246" t="s">
        <v>65</v>
      </c>
      <c r="C246" t="s">
        <v>22</v>
      </c>
      <c r="D246">
        <v>2</v>
      </c>
      <c r="E246">
        <f>WeeklyPicks!E83</f>
        <v>11</v>
      </c>
      <c r="F246">
        <f>IF(E246="","",SUMIFS(RaceResults!$C:$C,RaceResults!$A:$A,A246,RaceResults!$D:$D,E246))</f>
        <v>4</v>
      </c>
      <c r="G246">
        <f>IF(E246="","",SUMIFS(RaceResults!$E:$E,RaceResults!$A:$A,A246,RaceResults!$D:$D,E246))</f>
        <v>33</v>
      </c>
    </row>
    <row r="247" spans="1:7" x14ac:dyDescent="0.3">
      <c r="A247">
        <v>9</v>
      </c>
      <c r="B247" t="s">
        <v>65</v>
      </c>
      <c r="C247" t="s">
        <v>22</v>
      </c>
      <c r="D247">
        <v>3</v>
      </c>
      <c r="E247">
        <f>WeeklyPicks!F83</f>
        <v>5</v>
      </c>
      <c r="F247">
        <f>IF(E247="","",SUMIFS(RaceResults!$C:$C,RaceResults!$A:$A,A247,RaceResults!$D:$D,E247))</f>
        <v>2</v>
      </c>
      <c r="G247">
        <f>IF(E247="","",SUMIFS(RaceResults!$E:$E,RaceResults!$A:$A,A247,RaceResults!$D:$D,E247))</f>
        <v>35</v>
      </c>
    </row>
    <row r="248" spans="1:7" x14ac:dyDescent="0.3">
      <c r="A248">
        <v>9</v>
      </c>
      <c r="B248" t="s">
        <v>65</v>
      </c>
      <c r="C248" t="s">
        <v>25</v>
      </c>
      <c r="D248">
        <v>1</v>
      </c>
      <c r="E248">
        <f>WeeklyPicks!D84</f>
        <v>12</v>
      </c>
      <c r="F248">
        <f>IF(E248="","",SUMIFS(RaceResults!$C:$C,RaceResults!$A:$A,A248,RaceResults!$D:$D,E248))</f>
        <v>24</v>
      </c>
      <c r="G248">
        <f>IF(E248="","",SUMIFS(RaceResults!$E:$E,RaceResults!$A:$A,A248,RaceResults!$D:$D,E248))</f>
        <v>13</v>
      </c>
    </row>
    <row r="249" spans="1:7" x14ac:dyDescent="0.3">
      <c r="A249">
        <v>9</v>
      </c>
      <c r="B249" t="s">
        <v>65</v>
      </c>
      <c r="C249" t="s">
        <v>25</v>
      </c>
      <c r="D249">
        <v>2</v>
      </c>
      <c r="E249">
        <f>WeeklyPicks!E84</f>
        <v>54</v>
      </c>
      <c r="F249">
        <f>IF(E249="","",SUMIFS(RaceResults!$C:$C,RaceResults!$A:$A,A249,RaceResults!$D:$D,E249))</f>
        <v>9</v>
      </c>
      <c r="G249">
        <f>IF(E249="","",SUMIFS(RaceResults!$E:$E,RaceResults!$A:$A,A249,RaceResults!$D:$D,E249))</f>
        <v>28</v>
      </c>
    </row>
    <row r="250" spans="1:7" x14ac:dyDescent="0.3">
      <c r="A250">
        <v>9</v>
      </c>
      <c r="B250" t="s">
        <v>65</v>
      </c>
      <c r="C250" t="s">
        <v>25</v>
      </c>
      <c r="D250">
        <v>3</v>
      </c>
      <c r="E250">
        <f>WeeklyPicks!F84</f>
        <v>5</v>
      </c>
      <c r="F250">
        <f>IF(E250="","",SUMIFS(RaceResults!$C:$C,RaceResults!$A:$A,A250,RaceResults!$D:$D,E250))</f>
        <v>2</v>
      </c>
      <c r="G250">
        <f>IF(E250="","",SUMIFS(RaceResults!$E:$E,RaceResults!$A:$A,A250,RaceResults!$D:$D,E250))</f>
        <v>35</v>
      </c>
    </row>
    <row r="251" spans="1:7" x14ac:dyDescent="0.3">
      <c r="A251">
        <v>9</v>
      </c>
      <c r="B251" t="s">
        <v>65</v>
      </c>
      <c r="C251" t="s">
        <v>26</v>
      </c>
      <c r="D251">
        <v>1</v>
      </c>
      <c r="E251">
        <f>WeeklyPicks!D85</f>
        <v>12</v>
      </c>
      <c r="F251">
        <f>IF(E251="","",SUMIFS(RaceResults!$C:$C,RaceResults!$A:$A,A251,RaceResults!$D:$D,E251))</f>
        <v>24</v>
      </c>
      <c r="G251">
        <f>IF(E251="","",SUMIFS(RaceResults!$E:$E,RaceResults!$A:$A,A251,RaceResults!$D:$D,E251))</f>
        <v>13</v>
      </c>
    </row>
    <row r="252" spans="1:7" x14ac:dyDescent="0.3">
      <c r="A252">
        <v>9</v>
      </c>
      <c r="B252" t="s">
        <v>65</v>
      </c>
      <c r="C252" t="s">
        <v>26</v>
      </c>
      <c r="D252">
        <v>2</v>
      </c>
      <c r="E252">
        <f>WeeklyPicks!E85</f>
        <v>5</v>
      </c>
      <c r="F252">
        <f>IF(E252="","",SUMIFS(RaceResults!$C:$C,RaceResults!$A:$A,A252,RaceResults!$D:$D,E252))</f>
        <v>2</v>
      </c>
      <c r="G252">
        <f>IF(E252="","",SUMIFS(RaceResults!$E:$E,RaceResults!$A:$A,A252,RaceResults!$D:$D,E252))</f>
        <v>35</v>
      </c>
    </row>
    <row r="253" spans="1:7" x14ac:dyDescent="0.3">
      <c r="A253">
        <v>9</v>
      </c>
      <c r="B253" t="s">
        <v>65</v>
      </c>
      <c r="C253" t="s">
        <v>26</v>
      </c>
      <c r="D253">
        <v>3</v>
      </c>
      <c r="E253">
        <f>WeeklyPicks!F85</f>
        <v>54</v>
      </c>
      <c r="F253">
        <f>IF(E253="","",SUMIFS(RaceResults!$C:$C,RaceResults!$A:$A,A253,RaceResults!$D:$D,E253))</f>
        <v>9</v>
      </c>
      <c r="G253">
        <f>IF(E253="","",SUMIFS(RaceResults!$E:$E,RaceResults!$A:$A,A253,RaceResults!$D:$D,E253))</f>
        <v>28</v>
      </c>
    </row>
    <row r="254" spans="1:7" x14ac:dyDescent="0.3">
      <c r="A254">
        <v>9</v>
      </c>
      <c r="B254" t="s">
        <v>65</v>
      </c>
      <c r="C254" t="s">
        <v>27</v>
      </c>
      <c r="D254">
        <v>1</v>
      </c>
      <c r="E254">
        <f>WeeklyPicks!D86</f>
        <v>5</v>
      </c>
      <c r="F254">
        <f>IF(E254="","",SUMIFS(RaceResults!$C:$C,RaceResults!$A:$A,A254,RaceResults!$D:$D,E254))</f>
        <v>2</v>
      </c>
      <c r="G254">
        <f>IF(E254="","",SUMIFS(RaceResults!$E:$E,RaceResults!$A:$A,A254,RaceResults!$D:$D,E254))</f>
        <v>35</v>
      </c>
    </row>
    <row r="255" spans="1:7" x14ac:dyDescent="0.3">
      <c r="A255">
        <v>9</v>
      </c>
      <c r="B255" t="s">
        <v>65</v>
      </c>
      <c r="C255" t="s">
        <v>27</v>
      </c>
      <c r="D255">
        <v>2</v>
      </c>
      <c r="E255">
        <f>WeeklyPicks!E86</f>
        <v>11</v>
      </c>
      <c r="F255">
        <f>IF(E255="","",SUMIFS(RaceResults!$C:$C,RaceResults!$A:$A,A255,RaceResults!$D:$D,E255))</f>
        <v>4</v>
      </c>
      <c r="G255">
        <f>IF(E255="","",SUMIFS(RaceResults!$E:$E,RaceResults!$A:$A,A255,RaceResults!$D:$D,E255))</f>
        <v>33</v>
      </c>
    </row>
    <row r="256" spans="1:7" x14ac:dyDescent="0.3">
      <c r="A256">
        <v>9</v>
      </c>
      <c r="B256" t="s">
        <v>65</v>
      </c>
      <c r="C256" t="s">
        <v>27</v>
      </c>
      <c r="D256">
        <v>3</v>
      </c>
      <c r="E256">
        <f>WeeklyPicks!F86</f>
        <v>20</v>
      </c>
      <c r="F256">
        <f>IF(E256="","",SUMIFS(RaceResults!$C:$C,RaceResults!$A:$A,A256,RaceResults!$D:$D,E256))</f>
        <v>20</v>
      </c>
      <c r="G256">
        <f>IF(E256="","",SUMIFS(RaceResults!$E:$E,RaceResults!$A:$A,A256,RaceResults!$D:$D,E256))</f>
        <v>17</v>
      </c>
    </row>
    <row r="257" spans="1:7" x14ac:dyDescent="0.3">
      <c r="A257">
        <v>9</v>
      </c>
      <c r="B257" t="s">
        <v>65</v>
      </c>
      <c r="C257" t="s">
        <v>28</v>
      </c>
      <c r="D257">
        <v>1</v>
      </c>
      <c r="E257">
        <f>WeeklyPicks!D87</f>
        <v>12</v>
      </c>
      <c r="F257">
        <f>IF(E257="","",SUMIFS(RaceResults!$C:$C,RaceResults!$A:$A,A257,RaceResults!$D:$D,E257))</f>
        <v>24</v>
      </c>
      <c r="G257">
        <f>IF(E257="","",SUMIFS(RaceResults!$E:$E,RaceResults!$A:$A,A257,RaceResults!$D:$D,E257))</f>
        <v>13</v>
      </c>
    </row>
    <row r="258" spans="1:7" x14ac:dyDescent="0.3">
      <c r="A258">
        <v>9</v>
      </c>
      <c r="B258" t="s">
        <v>65</v>
      </c>
      <c r="C258" t="s">
        <v>28</v>
      </c>
      <c r="D258">
        <v>2</v>
      </c>
      <c r="E258">
        <f>WeeklyPicks!E87</f>
        <v>5</v>
      </c>
      <c r="F258">
        <f>IF(E258="","",SUMIFS(RaceResults!$C:$C,RaceResults!$A:$A,A258,RaceResults!$D:$D,E258))</f>
        <v>2</v>
      </c>
      <c r="G258">
        <f>IF(E258="","",SUMIFS(RaceResults!$E:$E,RaceResults!$A:$A,A258,RaceResults!$D:$D,E258))</f>
        <v>35</v>
      </c>
    </row>
    <row r="259" spans="1:7" x14ac:dyDescent="0.3">
      <c r="A259">
        <v>9</v>
      </c>
      <c r="B259" t="s">
        <v>65</v>
      </c>
      <c r="C259" t="s">
        <v>28</v>
      </c>
      <c r="D259">
        <v>3</v>
      </c>
      <c r="E259">
        <f>WeeklyPicks!F87</f>
        <v>54</v>
      </c>
      <c r="F259">
        <f>IF(E259="","",SUMIFS(RaceResults!$C:$C,RaceResults!$A:$A,A259,RaceResults!$D:$D,E259))</f>
        <v>9</v>
      </c>
      <c r="G259">
        <f>IF(E259="","",SUMIFS(RaceResults!$E:$E,RaceResults!$A:$A,A259,RaceResults!$D:$D,E259))</f>
        <v>28</v>
      </c>
    </row>
    <row r="260" spans="1:7" x14ac:dyDescent="0.3">
      <c r="A260">
        <v>9</v>
      </c>
      <c r="B260" t="s">
        <v>65</v>
      </c>
      <c r="C260" t="s">
        <v>29</v>
      </c>
      <c r="D260">
        <v>1</v>
      </c>
      <c r="E260">
        <f>WeeklyPicks!D88</f>
        <v>5</v>
      </c>
      <c r="F260">
        <f>IF(E260="","",SUMIFS(RaceResults!$C:$C,RaceResults!$A:$A,A260,RaceResults!$D:$D,E260))</f>
        <v>2</v>
      </c>
      <c r="G260">
        <f>IF(E260="","",SUMIFS(RaceResults!$E:$E,RaceResults!$A:$A,A260,RaceResults!$D:$D,E260))</f>
        <v>35</v>
      </c>
    </row>
    <row r="261" spans="1:7" x14ac:dyDescent="0.3">
      <c r="A261">
        <v>9</v>
      </c>
      <c r="B261" t="s">
        <v>65</v>
      </c>
      <c r="C261" t="s">
        <v>29</v>
      </c>
      <c r="D261">
        <v>2</v>
      </c>
      <c r="E261">
        <f>WeeklyPicks!E88</f>
        <v>9</v>
      </c>
      <c r="F261">
        <f>IF(E261="","",SUMIFS(RaceResults!$C:$C,RaceResults!$A:$A,A261,RaceResults!$D:$D,E261))</f>
        <v>8</v>
      </c>
      <c r="G261">
        <f>IF(E261="","",SUMIFS(RaceResults!$E:$E,RaceResults!$A:$A,A261,RaceResults!$D:$D,E261))</f>
        <v>29</v>
      </c>
    </row>
    <row r="262" spans="1:7" x14ac:dyDescent="0.3">
      <c r="A262">
        <v>9</v>
      </c>
      <c r="B262" t="s">
        <v>65</v>
      </c>
      <c r="C262" t="s">
        <v>29</v>
      </c>
      <c r="D262">
        <v>3</v>
      </c>
      <c r="E262">
        <f>WeeklyPicks!F88</f>
        <v>24</v>
      </c>
      <c r="F262">
        <f>IF(E262="","",SUMIFS(RaceResults!$C:$C,RaceResults!$A:$A,A262,RaceResults!$D:$D,E262))</f>
        <v>7</v>
      </c>
      <c r="G262">
        <f>IF(E262="","",SUMIFS(RaceResults!$E:$E,RaceResults!$A:$A,A262,RaceResults!$D:$D,E262))</f>
        <v>30</v>
      </c>
    </row>
    <row r="263" spans="1:7" x14ac:dyDescent="0.3">
      <c r="A263">
        <v>9</v>
      </c>
      <c r="B263" t="s">
        <v>65</v>
      </c>
      <c r="C263" t="s">
        <v>30</v>
      </c>
      <c r="D263">
        <v>1</v>
      </c>
      <c r="E263">
        <f>WeeklyPicks!D89</f>
        <v>0</v>
      </c>
      <c r="F263">
        <f>IF(E263="","",SUMIFS(RaceResults!$C:$C,RaceResults!$A:$A,A263,RaceResults!$D:$D,E263))</f>
        <v>0</v>
      </c>
      <c r="G263">
        <f>IF(E263="","",SUMIFS(RaceResults!$E:$E,RaceResults!$A:$A,A263,RaceResults!$D:$D,E263))</f>
        <v>0</v>
      </c>
    </row>
    <row r="264" spans="1:7" x14ac:dyDescent="0.3">
      <c r="A264">
        <v>9</v>
      </c>
      <c r="B264" t="s">
        <v>65</v>
      </c>
      <c r="C264" t="s">
        <v>30</v>
      </c>
      <c r="D264">
        <v>2</v>
      </c>
      <c r="E264">
        <f>WeeklyPicks!E89</f>
        <v>0</v>
      </c>
      <c r="F264">
        <f>IF(E264="","",SUMIFS(RaceResults!$C:$C,RaceResults!$A:$A,A264,RaceResults!$D:$D,E264))</f>
        <v>0</v>
      </c>
      <c r="G264">
        <f>IF(E264="","",SUMIFS(RaceResults!$E:$E,RaceResults!$A:$A,A264,RaceResults!$D:$D,E264))</f>
        <v>0</v>
      </c>
    </row>
    <row r="265" spans="1:7" x14ac:dyDescent="0.3">
      <c r="A265">
        <v>9</v>
      </c>
      <c r="B265" t="s">
        <v>65</v>
      </c>
      <c r="C265" t="s">
        <v>30</v>
      </c>
      <c r="D265">
        <v>3</v>
      </c>
      <c r="E265">
        <f>WeeklyPicks!F89</f>
        <v>0</v>
      </c>
      <c r="F265">
        <f>IF(E265="","",SUMIFS(RaceResults!$C:$C,RaceResults!$A:$A,A265,RaceResults!$D:$D,E265))</f>
        <v>0</v>
      </c>
      <c r="G265">
        <f>IF(E265="","",SUMIFS(RaceResults!$E:$E,RaceResults!$A:$A,A265,RaceResults!$D:$D,E265))</f>
        <v>0</v>
      </c>
    </row>
    <row r="266" spans="1:7" x14ac:dyDescent="0.3">
      <c r="A266">
        <v>9</v>
      </c>
      <c r="B266" t="s">
        <v>65</v>
      </c>
      <c r="C266" t="s">
        <v>31</v>
      </c>
      <c r="D266">
        <v>1</v>
      </c>
      <c r="E266">
        <f>WeeklyPicks!D90</f>
        <v>5</v>
      </c>
      <c r="F266">
        <f>IF(E266="","",SUMIFS(RaceResults!$C:$C,RaceResults!$A:$A,A266,RaceResults!$D:$D,E266))</f>
        <v>2</v>
      </c>
      <c r="G266">
        <f>IF(E266="","",SUMIFS(RaceResults!$E:$E,RaceResults!$A:$A,A266,RaceResults!$D:$D,E266))</f>
        <v>35</v>
      </c>
    </row>
    <row r="267" spans="1:7" x14ac:dyDescent="0.3">
      <c r="A267">
        <v>9</v>
      </c>
      <c r="B267" t="s">
        <v>65</v>
      </c>
      <c r="C267" t="s">
        <v>31</v>
      </c>
      <c r="D267">
        <v>2</v>
      </c>
      <c r="E267">
        <f>WeeklyPicks!E90</f>
        <v>12</v>
      </c>
      <c r="F267">
        <f>IF(E267="","",SUMIFS(RaceResults!$C:$C,RaceResults!$A:$A,A267,RaceResults!$D:$D,E267))</f>
        <v>24</v>
      </c>
      <c r="G267">
        <f>IF(E267="","",SUMIFS(RaceResults!$E:$E,RaceResults!$A:$A,A267,RaceResults!$D:$D,E267))</f>
        <v>13</v>
      </c>
    </row>
    <row r="268" spans="1:7" x14ac:dyDescent="0.3">
      <c r="A268">
        <v>9</v>
      </c>
      <c r="B268" t="s">
        <v>65</v>
      </c>
      <c r="C268" t="s">
        <v>31</v>
      </c>
      <c r="D268">
        <v>3</v>
      </c>
      <c r="E268">
        <f>WeeklyPicks!F90</f>
        <v>54</v>
      </c>
      <c r="F268">
        <f>IF(E268="","",SUMIFS(RaceResults!$C:$C,RaceResults!$A:$A,A268,RaceResults!$D:$D,E268))</f>
        <v>9</v>
      </c>
      <c r="G268">
        <f>IF(E268="","",SUMIFS(RaceResults!$E:$E,RaceResults!$A:$A,A268,RaceResults!$D:$D,E268))</f>
        <v>28</v>
      </c>
    </row>
    <row r="269" spans="1:7" x14ac:dyDescent="0.3">
      <c r="A269">
        <v>9</v>
      </c>
      <c r="B269" t="s">
        <v>65</v>
      </c>
      <c r="C269" t="s">
        <v>32</v>
      </c>
      <c r="D269">
        <v>1</v>
      </c>
      <c r="E269">
        <f>WeeklyPicks!D91</f>
        <v>11</v>
      </c>
      <c r="F269">
        <f>IF(E269="","",SUMIFS(RaceResults!$C:$C,RaceResults!$A:$A,A269,RaceResults!$D:$D,E269))</f>
        <v>4</v>
      </c>
      <c r="G269">
        <f>IF(E269="","",SUMIFS(RaceResults!$E:$E,RaceResults!$A:$A,A269,RaceResults!$D:$D,E269))</f>
        <v>33</v>
      </c>
    </row>
    <row r="270" spans="1:7" x14ac:dyDescent="0.3">
      <c r="A270">
        <v>9</v>
      </c>
      <c r="B270" t="s">
        <v>65</v>
      </c>
      <c r="C270" t="s">
        <v>32</v>
      </c>
      <c r="D270">
        <v>2</v>
      </c>
      <c r="E270">
        <f>WeeklyPicks!E91</f>
        <v>54</v>
      </c>
      <c r="F270">
        <f>IF(E270="","",SUMIFS(RaceResults!$C:$C,RaceResults!$A:$A,A270,RaceResults!$D:$D,E270))</f>
        <v>9</v>
      </c>
      <c r="G270">
        <f>IF(E270="","",SUMIFS(RaceResults!$E:$E,RaceResults!$A:$A,A270,RaceResults!$D:$D,E270))</f>
        <v>28</v>
      </c>
    </row>
    <row r="271" spans="1:7" x14ac:dyDescent="0.3">
      <c r="A271">
        <v>9</v>
      </c>
      <c r="B271" t="s">
        <v>65</v>
      </c>
      <c r="C271" t="s">
        <v>32</v>
      </c>
      <c r="D271">
        <v>3</v>
      </c>
      <c r="E271">
        <f>WeeklyPicks!F91</f>
        <v>12</v>
      </c>
      <c r="F271">
        <f>IF(E271="","",SUMIFS(RaceResults!$C:$C,RaceResults!$A:$A,A271,RaceResults!$D:$D,E271))</f>
        <v>24</v>
      </c>
      <c r="G271">
        <f>IF(E271="","",SUMIFS(RaceResults!$E:$E,RaceResults!$A:$A,A271,RaceResults!$D:$D,E271))</f>
        <v>13</v>
      </c>
    </row>
    <row r="272" spans="1:7" x14ac:dyDescent="0.3">
      <c r="A272">
        <v>10</v>
      </c>
      <c r="B272" t="s">
        <v>67</v>
      </c>
      <c r="C272" t="s">
        <v>21</v>
      </c>
      <c r="D272">
        <v>1</v>
      </c>
      <c r="E272">
        <f>WeeklyPicks!D92</f>
        <v>5</v>
      </c>
      <c r="F272">
        <f>IF(E272="","",SUMIFS(RaceResults!$C:$C,RaceResults!$A:$A,A272,RaceResults!$D:$D,E272))</f>
        <v>40</v>
      </c>
      <c r="G272">
        <f>IF(E272="","",SUMIFS(RaceResults!$E:$E,RaceResults!$A:$A,A272,RaceResults!$D:$D,E272))</f>
        <v>1</v>
      </c>
    </row>
    <row r="273" spans="1:7" x14ac:dyDescent="0.3">
      <c r="A273">
        <v>10</v>
      </c>
      <c r="B273" t="s">
        <v>67</v>
      </c>
      <c r="C273" t="s">
        <v>21</v>
      </c>
      <c r="D273">
        <v>2</v>
      </c>
      <c r="E273">
        <f>WeeklyPicks!E92</f>
        <v>12</v>
      </c>
      <c r="F273">
        <f>IF(E273="","",SUMIFS(RaceResults!$C:$C,RaceResults!$A:$A,A273,RaceResults!$D:$D,E273))</f>
        <v>37</v>
      </c>
      <c r="G273">
        <f>IF(E273="","",SUMIFS(RaceResults!$E:$E,RaceResults!$A:$A,A273,RaceResults!$D:$D,E273))</f>
        <v>1</v>
      </c>
    </row>
    <row r="274" spans="1:7" x14ac:dyDescent="0.3">
      <c r="A274">
        <v>10</v>
      </c>
      <c r="B274" t="s">
        <v>67</v>
      </c>
      <c r="C274" t="s">
        <v>21</v>
      </c>
      <c r="D274">
        <v>3</v>
      </c>
      <c r="E274">
        <f>WeeklyPicks!F92</f>
        <v>45</v>
      </c>
      <c r="F274">
        <f>IF(E274="","",SUMIFS(RaceResults!$C:$C,RaceResults!$A:$A,A274,RaceResults!$D:$D,E274))</f>
        <v>14</v>
      </c>
      <c r="G274">
        <f>IF(E274="","",SUMIFS(RaceResults!$E:$E,RaceResults!$A:$A,A274,RaceResults!$D:$D,E274))</f>
        <v>23</v>
      </c>
    </row>
    <row r="275" spans="1:7" x14ac:dyDescent="0.3">
      <c r="A275">
        <v>10</v>
      </c>
      <c r="B275" t="s">
        <v>67</v>
      </c>
      <c r="C275" t="s">
        <v>22</v>
      </c>
      <c r="D275">
        <v>1</v>
      </c>
      <c r="E275">
        <f>WeeklyPicks!D93</f>
        <v>45</v>
      </c>
      <c r="F275">
        <f>IF(E275="","",SUMIFS(RaceResults!$C:$C,RaceResults!$A:$A,A275,RaceResults!$D:$D,E275))</f>
        <v>14</v>
      </c>
      <c r="G275">
        <f>IF(E275="","",SUMIFS(RaceResults!$E:$E,RaceResults!$A:$A,A275,RaceResults!$D:$D,E275))</f>
        <v>23</v>
      </c>
    </row>
    <row r="276" spans="1:7" x14ac:dyDescent="0.3">
      <c r="A276">
        <v>10</v>
      </c>
      <c r="B276" t="s">
        <v>67</v>
      </c>
      <c r="C276" t="s">
        <v>22</v>
      </c>
      <c r="D276">
        <v>2</v>
      </c>
      <c r="E276">
        <f>WeeklyPicks!E93</f>
        <v>11</v>
      </c>
      <c r="F276">
        <f>IF(E276="","",SUMIFS(RaceResults!$C:$C,RaceResults!$A:$A,A276,RaceResults!$D:$D,E276))</f>
        <v>15</v>
      </c>
      <c r="G276">
        <f>IF(E276="","",SUMIFS(RaceResults!$E:$E,RaceResults!$A:$A,A276,RaceResults!$D:$D,E276))</f>
        <v>22</v>
      </c>
    </row>
    <row r="277" spans="1:7" x14ac:dyDescent="0.3">
      <c r="A277">
        <v>10</v>
      </c>
      <c r="B277" t="s">
        <v>67</v>
      </c>
      <c r="C277" t="s">
        <v>22</v>
      </c>
      <c r="D277">
        <v>3</v>
      </c>
      <c r="E277">
        <f>WeeklyPicks!F93</f>
        <v>12</v>
      </c>
      <c r="F277">
        <f>IF(E277="","",SUMIFS(RaceResults!$C:$C,RaceResults!$A:$A,A277,RaceResults!$D:$D,E277))</f>
        <v>37</v>
      </c>
      <c r="G277">
        <f>IF(E277="","",SUMIFS(RaceResults!$E:$E,RaceResults!$A:$A,A277,RaceResults!$D:$D,E277))</f>
        <v>1</v>
      </c>
    </row>
    <row r="278" spans="1:7" x14ac:dyDescent="0.3">
      <c r="A278">
        <v>10</v>
      </c>
      <c r="B278" t="s">
        <v>67</v>
      </c>
      <c r="C278" t="s">
        <v>25</v>
      </c>
      <c r="D278">
        <v>1</v>
      </c>
      <c r="E278">
        <f>WeeklyPicks!D94</f>
        <v>5</v>
      </c>
      <c r="F278">
        <f>IF(E278="","",SUMIFS(RaceResults!$C:$C,RaceResults!$A:$A,A278,RaceResults!$D:$D,E278))</f>
        <v>40</v>
      </c>
      <c r="G278">
        <f>IF(E278="","",SUMIFS(RaceResults!$E:$E,RaceResults!$A:$A,A278,RaceResults!$D:$D,E278))</f>
        <v>1</v>
      </c>
    </row>
    <row r="279" spans="1:7" x14ac:dyDescent="0.3">
      <c r="A279">
        <v>10</v>
      </c>
      <c r="B279" t="s">
        <v>67</v>
      </c>
      <c r="C279" t="s">
        <v>25</v>
      </c>
      <c r="D279">
        <v>2</v>
      </c>
      <c r="E279">
        <f>WeeklyPicks!E94</f>
        <v>23</v>
      </c>
      <c r="F279">
        <f>IF(E279="","",SUMIFS(RaceResults!$C:$C,RaceResults!$A:$A,A279,RaceResults!$D:$D,E279))</f>
        <v>36</v>
      </c>
      <c r="G279">
        <f>IF(E279="","",SUMIFS(RaceResults!$E:$E,RaceResults!$A:$A,A279,RaceResults!$D:$D,E279))</f>
        <v>1</v>
      </c>
    </row>
    <row r="280" spans="1:7" x14ac:dyDescent="0.3">
      <c r="A280">
        <v>10</v>
      </c>
      <c r="B280" t="s">
        <v>67</v>
      </c>
      <c r="C280" t="s">
        <v>25</v>
      </c>
      <c r="D280">
        <v>3</v>
      </c>
      <c r="E280">
        <f>WeeklyPicks!F94</f>
        <v>24</v>
      </c>
      <c r="F280">
        <f>IF(E280="","",SUMIFS(RaceResults!$C:$C,RaceResults!$A:$A,A280,RaceResults!$D:$D,E280))</f>
        <v>35</v>
      </c>
      <c r="G280">
        <f>IF(E280="","",SUMIFS(RaceResults!$E:$E,RaceResults!$A:$A,A280,RaceResults!$D:$D,E280))</f>
        <v>2</v>
      </c>
    </row>
    <row r="281" spans="1:7" x14ac:dyDescent="0.3">
      <c r="A281">
        <v>10</v>
      </c>
      <c r="B281" t="s">
        <v>67</v>
      </c>
      <c r="C281" t="s">
        <v>26</v>
      </c>
      <c r="D281">
        <v>1</v>
      </c>
      <c r="E281">
        <f>WeeklyPicks!D95</f>
        <v>5</v>
      </c>
      <c r="F281">
        <f>IF(E281="","",SUMIFS(RaceResults!$C:$C,RaceResults!$A:$A,A281,RaceResults!$D:$D,E281))</f>
        <v>40</v>
      </c>
      <c r="G281">
        <f>IF(E281="","",SUMIFS(RaceResults!$E:$E,RaceResults!$A:$A,A281,RaceResults!$D:$D,E281))</f>
        <v>1</v>
      </c>
    </row>
    <row r="282" spans="1:7" x14ac:dyDescent="0.3">
      <c r="A282">
        <v>10</v>
      </c>
      <c r="B282" t="s">
        <v>67</v>
      </c>
      <c r="C282" t="s">
        <v>26</v>
      </c>
      <c r="D282">
        <v>2</v>
      </c>
      <c r="E282">
        <f>WeeklyPicks!E95</f>
        <v>45</v>
      </c>
      <c r="F282">
        <f>IF(E282="","",SUMIFS(RaceResults!$C:$C,RaceResults!$A:$A,A282,RaceResults!$D:$D,E282))</f>
        <v>14</v>
      </c>
      <c r="G282">
        <f>IF(E282="","",SUMIFS(RaceResults!$E:$E,RaceResults!$A:$A,A282,RaceResults!$D:$D,E282))</f>
        <v>23</v>
      </c>
    </row>
    <row r="283" spans="1:7" x14ac:dyDescent="0.3">
      <c r="A283">
        <v>10</v>
      </c>
      <c r="B283" t="s">
        <v>67</v>
      </c>
      <c r="C283" t="s">
        <v>26</v>
      </c>
      <c r="D283">
        <v>3</v>
      </c>
      <c r="E283">
        <f>WeeklyPicks!F95</f>
        <v>12</v>
      </c>
      <c r="F283">
        <f>IF(E283="","",SUMIFS(RaceResults!$C:$C,RaceResults!$A:$A,A283,RaceResults!$D:$D,E283))</f>
        <v>37</v>
      </c>
      <c r="G283">
        <f>IF(E283="","",SUMIFS(RaceResults!$E:$E,RaceResults!$A:$A,A283,RaceResults!$D:$D,E283))</f>
        <v>1</v>
      </c>
    </row>
    <row r="284" spans="1:7" x14ac:dyDescent="0.3">
      <c r="A284">
        <v>10</v>
      </c>
      <c r="B284" t="s">
        <v>67</v>
      </c>
      <c r="C284" t="s">
        <v>27</v>
      </c>
      <c r="D284">
        <v>1</v>
      </c>
      <c r="E284">
        <f>WeeklyPicks!D96</f>
        <v>22</v>
      </c>
      <c r="F284">
        <f>IF(E284="","",SUMIFS(RaceResults!$C:$C,RaceResults!$A:$A,A284,RaceResults!$D:$D,E284))</f>
        <v>39</v>
      </c>
      <c r="G284">
        <f>IF(E284="","",SUMIFS(RaceResults!$E:$E,RaceResults!$A:$A,A284,RaceResults!$D:$D,E284))</f>
        <v>1</v>
      </c>
    </row>
    <row r="285" spans="1:7" x14ac:dyDescent="0.3">
      <c r="A285">
        <v>10</v>
      </c>
      <c r="B285" t="s">
        <v>67</v>
      </c>
      <c r="C285" t="s">
        <v>27</v>
      </c>
      <c r="D285">
        <v>2</v>
      </c>
      <c r="E285">
        <f>WeeklyPicks!E96</f>
        <v>5</v>
      </c>
      <c r="F285">
        <f>IF(E285="","",SUMIFS(RaceResults!$C:$C,RaceResults!$A:$A,A285,RaceResults!$D:$D,E285))</f>
        <v>40</v>
      </c>
      <c r="G285">
        <f>IF(E285="","",SUMIFS(RaceResults!$E:$E,RaceResults!$A:$A,A285,RaceResults!$D:$D,E285))</f>
        <v>1</v>
      </c>
    </row>
    <row r="286" spans="1:7" x14ac:dyDescent="0.3">
      <c r="A286">
        <v>10</v>
      </c>
      <c r="B286" t="s">
        <v>67</v>
      </c>
      <c r="C286" t="s">
        <v>27</v>
      </c>
      <c r="D286">
        <v>3</v>
      </c>
      <c r="E286">
        <f>WeeklyPicks!F96</f>
        <v>24</v>
      </c>
      <c r="F286">
        <f>IF(E286="","",SUMIFS(RaceResults!$C:$C,RaceResults!$A:$A,A286,RaceResults!$D:$D,E286))</f>
        <v>35</v>
      </c>
      <c r="G286">
        <f>IF(E286="","",SUMIFS(RaceResults!$E:$E,RaceResults!$A:$A,A286,RaceResults!$D:$D,E286))</f>
        <v>2</v>
      </c>
    </row>
    <row r="287" spans="1:7" x14ac:dyDescent="0.3">
      <c r="A287">
        <v>10</v>
      </c>
      <c r="B287" t="s">
        <v>67</v>
      </c>
      <c r="C287" t="s">
        <v>28</v>
      </c>
      <c r="D287">
        <v>1</v>
      </c>
      <c r="E287">
        <f>WeeklyPicks!D97</f>
        <v>45</v>
      </c>
      <c r="F287">
        <f>IF(E287="","",SUMIFS(RaceResults!$C:$C,RaceResults!$A:$A,A287,RaceResults!$D:$D,E287))</f>
        <v>14</v>
      </c>
      <c r="G287">
        <f>IF(E287="","",SUMIFS(RaceResults!$E:$E,RaceResults!$A:$A,A287,RaceResults!$D:$D,E287))</f>
        <v>23</v>
      </c>
    </row>
    <row r="288" spans="1:7" x14ac:dyDescent="0.3">
      <c r="A288">
        <v>10</v>
      </c>
      <c r="B288" t="s">
        <v>67</v>
      </c>
      <c r="C288" t="s">
        <v>28</v>
      </c>
      <c r="D288">
        <v>2</v>
      </c>
      <c r="E288">
        <f>WeeklyPicks!E97</f>
        <v>23</v>
      </c>
      <c r="F288">
        <f>IF(E288="","",SUMIFS(RaceResults!$C:$C,RaceResults!$A:$A,A288,RaceResults!$D:$D,E288))</f>
        <v>36</v>
      </c>
      <c r="G288">
        <f>IF(E288="","",SUMIFS(RaceResults!$E:$E,RaceResults!$A:$A,A288,RaceResults!$D:$D,E288))</f>
        <v>1</v>
      </c>
    </row>
    <row r="289" spans="1:7" x14ac:dyDescent="0.3">
      <c r="A289">
        <v>10</v>
      </c>
      <c r="B289" t="s">
        <v>67</v>
      </c>
      <c r="C289" t="s">
        <v>28</v>
      </c>
      <c r="D289">
        <v>3</v>
      </c>
      <c r="E289">
        <f>WeeklyPicks!F97</f>
        <v>24</v>
      </c>
      <c r="F289">
        <f>IF(E289="","",SUMIFS(RaceResults!$C:$C,RaceResults!$A:$A,A289,RaceResults!$D:$D,E289))</f>
        <v>35</v>
      </c>
      <c r="G289">
        <f>IF(E289="","",SUMIFS(RaceResults!$E:$E,RaceResults!$A:$A,A289,RaceResults!$D:$D,E289))</f>
        <v>2</v>
      </c>
    </row>
    <row r="290" spans="1:7" x14ac:dyDescent="0.3">
      <c r="A290">
        <v>10</v>
      </c>
      <c r="B290" t="s">
        <v>67</v>
      </c>
      <c r="C290" t="s">
        <v>29</v>
      </c>
      <c r="D290">
        <v>1</v>
      </c>
      <c r="E290">
        <f>WeeklyPicks!D98</f>
        <v>5</v>
      </c>
      <c r="F290">
        <f>IF(E290="","",SUMIFS(RaceResults!$C:$C,RaceResults!$A:$A,A290,RaceResults!$D:$D,E290))</f>
        <v>40</v>
      </c>
      <c r="G290">
        <f>IF(E290="","",SUMIFS(RaceResults!$E:$E,RaceResults!$A:$A,A290,RaceResults!$D:$D,E290))</f>
        <v>1</v>
      </c>
    </row>
    <row r="291" spans="1:7" x14ac:dyDescent="0.3">
      <c r="A291">
        <v>10</v>
      </c>
      <c r="B291" t="s">
        <v>67</v>
      </c>
      <c r="C291" t="s">
        <v>29</v>
      </c>
      <c r="D291">
        <v>2</v>
      </c>
      <c r="E291">
        <f>WeeklyPicks!E98</f>
        <v>24</v>
      </c>
      <c r="F291">
        <f>IF(E291="","",SUMIFS(RaceResults!$C:$C,RaceResults!$A:$A,A291,RaceResults!$D:$D,E291))</f>
        <v>35</v>
      </c>
      <c r="G291">
        <f>IF(E291="","",SUMIFS(RaceResults!$E:$E,RaceResults!$A:$A,A291,RaceResults!$D:$D,E291))</f>
        <v>2</v>
      </c>
    </row>
    <row r="292" spans="1:7" x14ac:dyDescent="0.3">
      <c r="A292">
        <v>10</v>
      </c>
      <c r="B292" t="s">
        <v>67</v>
      </c>
      <c r="C292" t="s">
        <v>29</v>
      </c>
      <c r="D292">
        <v>3</v>
      </c>
      <c r="E292">
        <f>WeeklyPicks!F98</f>
        <v>9</v>
      </c>
      <c r="F292">
        <f>IF(E292="","",SUMIFS(RaceResults!$C:$C,RaceResults!$A:$A,A292,RaceResults!$D:$D,E292))</f>
        <v>4</v>
      </c>
      <c r="G292">
        <f>IF(E292="","",SUMIFS(RaceResults!$E:$E,RaceResults!$A:$A,A292,RaceResults!$D:$D,E292))</f>
        <v>33</v>
      </c>
    </row>
    <row r="293" spans="1:7" x14ac:dyDescent="0.3">
      <c r="A293">
        <v>10</v>
      </c>
      <c r="B293" t="s">
        <v>67</v>
      </c>
      <c r="C293" t="s">
        <v>30</v>
      </c>
      <c r="D293">
        <v>1</v>
      </c>
      <c r="E293">
        <f>WeeklyPicks!D99</f>
        <v>0</v>
      </c>
      <c r="F293">
        <f>IF(E293="","",SUMIFS(RaceResults!$C:$C,RaceResults!$A:$A,A293,RaceResults!$D:$D,E293))</f>
        <v>0</v>
      </c>
      <c r="G293">
        <f>IF(E293="","",SUMIFS(RaceResults!$E:$E,RaceResults!$A:$A,A293,RaceResults!$D:$D,E293))</f>
        <v>0</v>
      </c>
    </row>
    <row r="294" spans="1:7" x14ac:dyDescent="0.3">
      <c r="A294">
        <v>10</v>
      </c>
      <c r="B294" t="s">
        <v>67</v>
      </c>
      <c r="C294" t="s">
        <v>30</v>
      </c>
      <c r="D294">
        <v>2</v>
      </c>
      <c r="E294">
        <f>WeeklyPicks!E99</f>
        <v>0</v>
      </c>
      <c r="F294">
        <f>IF(E294="","",SUMIFS(RaceResults!$C:$C,RaceResults!$A:$A,A294,RaceResults!$D:$D,E294))</f>
        <v>0</v>
      </c>
      <c r="G294">
        <f>IF(E294="","",SUMIFS(RaceResults!$E:$E,RaceResults!$A:$A,A294,RaceResults!$D:$D,E294))</f>
        <v>0</v>
      </c>
    </row>
    <row r="295" spans="1:7" x14ac:dyDescent="0.3">
      <c r="A295">
        <v>10</v>
      </c>
      <c r="B295" t="s">
        <v>67</v>
      </c>
      <c r="C295" t="s">
        <v>30</v>
      </c>
      <c r="D295">
        <v>3</v>
      </c>
      <c r="E295">
        <f>WeeklyPicks!F99</f>
        <v>0</v>
      </c>
      <c r="F295">
        <f>IF(E295="","",SUMIFS(RaceResults!$C:$C,RaceResults!$A:$A,A295,RaceResults!$D:$D,E295))</f>
        <v>0</v>
      </c>
      <c r="G295">
        <f>IF(E295="","",SUMIFS(RaceResults!$E:$E,RaceResults!$A:$A,A295,RaceResults!$D:$D,E295))</f>
        <v>0</v>
      </c>
    </row>
    <row r="296" spans="1:7" x14ac:dyDescent="0.3">
      <c r="A296">
        <v>10</v>
      </c>
      <c r="B296" t="s">
        <v>67</v>
      </c>
      <c r="C296" t="s">
        <v>31</v>
      </c>
      <c r="D296">
        <v>1</v>
      </c>
      <c r="E296">
        <f>WeeklyPicks!D100</f>
        <v>12</v>
      </c>
      <c r="F296">
        <f>IF(E296="","",SUMIFS(RaceResults!$C:$C,RaceResults!$A:$A,A296,RaceResults!$D:$D,E296))</f>
        <v>37</v>
      </c>
      <c r="G296">
        <f>IF(E296="","",SUMIFS(RaceResults!$E:$E,RaceResults!$A:$A,A296,RaceResults!$D:$D,E296))</f>
        <v>1</v>
      </c>
    </row>
    <row r="297" spans="1:7" x14ac:dyDescent="0.3">
      <c r="A297">
        <v>10</v>
      </c>
      <c r="B297" t="s">
        <v>67</v>
      </c>
      <c r="C297" t="s">
        <v>31</v>
      </c>
      <c r="D297">
        <v>2</v>
      </c>
      <c r="E297">
        <f>WeeklyPicks!E100</f>
        <v>22</v>
      </c>
      <c r="F297">
        <f>IF(E297="","",SUMIFS(RaceResults!$C:$C,RaceResults!$A:$A,A297,RaceResults!$D:$D,E297))</f>
        <v>39</v>
      </c>
      <c r="G297">
        <f>IF(E297="","",SUMIFS(RaceResults!$E:$E,RaceResults!$A:$A,A297,RaceResults!$D:$D,E297))</f>
        <v>1</v>
      </c>
    </row>
    <row r="298" spans="1:7" x14ac:dyDescent="0.3">
      <c r="A298">
        <v>10</v>
      </c>
      <c r="B298" t="s">
        <v>67</v>
      </c>
      <c r="C298" t="s">
        <v>31</v>
      </c>
      <c r="D298">
        <v>3</v>
      </c>
      <c r="E298">
        <f>WeeklyPicks!F100</f>
        <v>6</v>
      </c>
      <c r="F298">
        <f>IF(E298="","",SUMIFS(RaceResults!$C:$C,RaceResults!$A:$A,A298,RaceResults!$D:$D,E298))</f>
        <v>31</v>
      </c>
      <c r="G298">
        <f>IF(E298="","",SUMIFS(RaceResults!$E:$E,RaceResults!$A:$A,A298,RaceResults!$D:$D,E298))</f>
        <v>6</v>
      </c>
    </row>
    <row r="299" spans="1:7" x14ac:dyDescent="0.3">
      <c r="A299">
        <v>10</v>
      </c>
      <c r="B299" t="s">
        <v>67</v>
      </c>
      <c r="C299" t="s">
        <v>32</v>
      </c>
      <c r="D299">
        <v>1</v>
      </c>
      <c r="E299">
        <f>WeeklyPicks!D101</f>
        <v>5</v>
      </c>
      <c r="F299">
        <f>IF(E299="","",SUMIFS(RaceResults!$C:$C,RaceResults!$A:$A,A299,RaceResults!$D:$D,E299))</f>
        <v>40</v>
      </c>
      <c r="G299">
        <f>IF(E299="","",SUMIFS(RaceResults!$E:$E,RaceResults!$A:$A,A299,RaceResults!$D:$D,E299))</f>
        <v>1</v>
      </c>
    </row>
    <row r="300" spans="1:7" x14ac:dyDescent="0.3">
      <c r="A300">
        <v>10</v>
      </c>
      <c r="B300" t="s">
        <v>67</v>
      </c>
      <c r="C300" t="s">
        <v>32</v>
      </c>
      <c r="D300">
        <v>2</v>
      </c>
      <c r="E300">
        <f>WeeklyPicks!E101</f>
        <v>23</v>
      </c>
      <c r="F300">
        <f>IF(E300="","",SUMIFS(RaceResults!$C:$C,RaceResults!$A:$A,A300,RaceResults!$D:$D,E300))</f>
        <v>36</v>
      </c>
      <c r="G300">
        <f>IF(E300="","",SUMIFS(RaceResults!$E:$E,RaceResults!$A:$A,A300,RaceResults!$D:$D,E300))</f>
        <v>1</v>
      </c>
    </row>
    <row r="301" spans="1:7" x14ac:dyDescent="0.3">
      <c r="A301">
        <v>10</v>
      </c>
      <c r="B301" t="s">
        <v>67</v>
      </c>
      <c r="C301" t="s">
        <v>32</v>
      </c>
      <c r="D301">
        <v>3</v>
      </c>
      <c r="E301">
        <f>WeeklyPicks!F101</f>
        <v>54</v>
      </c>
      <c r="F301">
        <f>IF(E301="","",SUMIFS(RaceResults!$C:$C,RaceResults!$A:$A,A301,RaceResults!$D:$D,E301))</f>
        <v>34</v>
      </c>
      <c r="G301">
        <f>IF(E301="","",SUMIFS(RaceResults!$E:$E,RaceResults!$A:$A,A301,RaceResults!$D:$D,E301))</f>
        <v>3</v>
      </c>
    </row>
    <row r="302" spans="1:7" x14ac:dyDescent="0.3">
      <c r="A302">
        <v>11</v>
      </c>
      <c r="B302" t="s">
        <v>69</v>
      </c>
      <c r="C302" t="s">
        <v>21</v>
      </c>
      <c r="D302">
        <v>1</v>
      </c>
      <c r="E302">
        <f>WeeklyPicks!D102</f>
        <v>5</v>
      </c>
      <c r="F302">
        <f>IF(E302="","",SUMIFS(RaceResults!$C:$C,RaceResults!$A:$A,A302,RaceResults!$D:$D,E302))</f>
        <v>34</v>
      </c>
      <c r="G302">
        <f>IF(E302="","",SUMIFS(RaceResults!$E:$E,RaceResults!$A:$A,A302,RaceResults!$D:$D,E302))</f>
        <v>3</v>
      </c>
    </row>
    <row r="303" spans="1:7" x14ac:dyDescent="0.3">
      <c r="A303">
        <v>11</v>
      </c>
      <c r="B303" t="s">
        <v>69</v>
      </c>
      <c r="C303" t="s">
        <v>21</v>
      </c>
      <c r="D303">
        <v>2</v>
      </c>
      <c r="E303">
        <f>WeeklyPicks!E102</f>
        <v>77</v>
      </c>
      <c r="F303">
        <f>IF(E303="","",SUMIFS(RaceResults!$C:$C,RaceResults!$A:$A,A303,RaceResults!$D:$D,E303))</f>
        <v>7</v>
      </c>
      <c r="G303">
        <f>IF(E303="","",SUMIFS(RaceResults!$E:$E,RaceResults!$A:$A,A303,RaceResults!$D:$D,E303))</f>
        <v>30</v>
      </c>
    </row>
    <row r="304" spans="1:7" x14ac:dyDescent="0.3">
      <c r="A304">
        <v>11</v>
      </c>
      <c r="B304" t="s">
        <v>69</v>
      </c>
      <c r="C304" t="s">
        <v>21</v>
      </c>
      <c r="D304">
        <v>3</v>
      </c>
      <c r="E304">
        <f>WeeklyPicks!F102</f>
        <v>11</v>
      </c>
      <c r="F304">
        <f>IF(E304="","",SUMIFS(RaceResults!$C:$C,RaceResults!$A:$A,A304,RaceResults!$D:$D,E304))</f>
        <v>2</v>
      </c>
      <c r="G304">
        <f>IF(E304="","",SUMIFS(RaceResults!$E:$E,RaceResults!$A:$A,A304,RaceResults!$D:$D,E304))</f>
        <v>35</v>
      </c>
    </row>
    <row r="305" spans="1:7" x14ac:dyDescent="0.3">
      <c r="A305">
        <v>11</v>
      </c>
      <c r="B305" t="s">
        <v>69</v>
      </c>
      <c r="C305" t="s">
        <v>22</v>
      </c>
      <c r="D305">
        <v>1</v>
      </c>
      <c r="E305">
        <f>WeeklyPicks!D103</f>
        <v>11</v>
      </c>
      <c r="F305">
        <f>IF(E305="","",SUMIFS(RaceResults!$C:$C,RaceResults!$A:$A,A305,RaceResults!$D:$D,E305))</f>
        <v>2</v>
      </c>
      <c r="G305">
        <f>IF(E305="","",SUMIFS(RaceResults!$E:$E,RaceResults!$A:$A,A305,RaceResults!$D:$D,E305))</f>
        <v>35</v>
      </c>
    </row>
    <row r="306" spans="1:7" x14ac:dyDescent="0.3">
      <c r="A306">
        <v>11</v>
      </c>
      <c r="B306" t="s">
        <v>69</v>
      </c>
      <c r="C306" t="s">
        <v>22</v>
      </c>
      <c r="D306">
        <v>2</v>
      </c>
      <c r="E306">
        <f>WeeklyPicks!E103</f>
        <v>7</v>
      </c>
      <c r="F306">
        <f>IF(E306="","",SUMIFS(RaceResults!$C:$C,RaceResults!$A:$A,A306,RaceResults!$D:$D,E306))</f>
        <v>6</v>
      </c>
      <c r="G306">
        <f>IF(E306="","",SUMIFS(RaceResults!$E:$E,RaceResults!$A:$A,A306,RaceResults!$D:$D,E306))</f>
        <v>31</v>
      </c>
    </row>
    <row r="307" spans="1:7" x14ac:dyDescent="0.3">
      <c r="A307">
        <v>11</v>
      </c>
      <c r="B307" t="s">
        <v>69</v>
      </c>
      <c r="C307" t="s">
        <v>22</v>
      </c>
      <c r="D307">
        <v>3</v>
      </c>
      <c r="E307">
        <f>WeeklyPicks!F103</f>
        <v>45</v>
      </c>
      <c r="F307">
        <f>IF(E307="","",SUMIFS(RaceResults!$C:$C,RaceResults!$A:$A,A307,RaceResults!$D:$D,E307))</f>
        <v>4</v>
      </c>
      <c r="G307">
        <f>IF(E307="","",SUMIFS(RaceResults!$E:$E,RaceResults!$A:$A,A307,RaceResults!$D:$D,E307))</f>
        <v>33</v>
      </c>
    </row>
    <row r="308" spans="1:7" x14ac:dyDescent="0.3">
      <c r="A308">
        <v>11</v>
      </c>
      <c r="B308" t="s">
        <v>69</v>
      </c>
      <c r="C308" t="s">
        <v>25</v>
      </c>
      <c r="D308">
        <v>1</v>
      </c>
      <c r="E308">
        <f>WeeklyPicks!D104</f>
        <v>17</v>
      </c>
      <c r="F308">
        <f>IF(E308="","",SUMIFS(RaceResults!$C:$C,RaceResults!$A:$A,A308,RaceResults!$D:$D,E308))</f>
        <v>5</v>
      </c>
      <c r="G308">
        <f>IF(E308="","",SUMIFS(RaceResults!$E:$E,RaceResults!$A:$A,A308,RaceResults!$D:$D,E308))</f>
        <v>32</v>
      </c>
    </row>
    <row r="309" spans="1:7" x14ac:dyDescent="0.3">
      <c r="A309">
        <v>11</v>
      </c>
      <c r="B309" t="s">
        <v>69</v>
      </c>
      <c r="C309" t="s">
        <v>25</v>
      </c>
      <c r="D309">
        <v>2</v>
      </c>
      <c r="E309">
        <f>WeeklyPicks!E104</f>
        <v>19</v>
      </c>
      <c r="F309">
        <f>IF(E309="","",SUMIFS(RaceResults!$C:$C,RaceResults!$A:$A,A309,RaceResults!$D:$D,E309))</f>
        <v>23</v>
      </c>
      <c r="G309">
        <f>IF(E309="","",SUMIFS(RaceResults!$E:$E,RaceResults!$A:$A,A309,RaceResults!$D:$D,E309))</f>
        <v>14</v>
      </c>
    </row>
    <row r="310" spans="1:7" x14ac:dyDescent="0.3">
      <c r="A310">
        <v>11</v>
      </c>
      <c r="B310" t="s">
        <v>69</v>
      </c>
      <c r="C310" t="s">
        <v>25</v>
      </c>
      <c r="D310">
        <v>3</v>
      </c>
      <c r="E310">
        <f>WeeklyPicks!F104</f>
        <v>20</v>
      </c>
      <c r="F310">
        <f>IF(E310="","",SUMIFS(RaceResults!$C:$C,RaceResults!$A:$A,A310,RaceResults!$D:$D,E310))</f>
        <v>38</v>
      </c>
      <c r="G310">
        <f>IF(E310="","",SUMIFS(RaceResults!$E:$E,RaceResults!$A:$A,A310,RaceResults!$D:$D,E310))</f>
        <v>1</v>
      </c>
    </row>
    <row r="311" spans="1:7" x14ac:dyDescent="0.3">
      <c r="A311">
        <v>11</v>
      </c>
      <c r="B311" t="s">
        <v>69</v>
      </c>
      <c r="C311" t="s">
        <v>26</v>
      </c>
      <c r="D311">
        <v>1</v>
      </c>
      <c r="E311">
        <f>WeeklyPicks!D105</f>
        <v>11</v>
      </c>
      <c r="F311">
        <f>IF(E311="","",SUMIFS(RaceResults!$C:$C,RaceResults!$A:$A,A311,RaceResults!$D:$D,E311))</f>
        <v>2</v>
      </c>
      <c r="G311">
        <f>IF(E311="","",SUMIFS(RaceResults!$E:$E,RaceResults!$A:$A,A311,RaceResults!$D:$D,E311))</f>
        <v>35</v>
      </c>
    </row>
    <row r="312" spans="1:7" x14ac:dyDescent="0.3">
      <c r="A312">
        <v>11</v>
      </c>
      <c r="B312" t="s">
        <v>69</v>
      </c>
      <c r="C312" t="s">
        <v>26</v>
      </c>
      <c r="D312">
        <v>2</v>
      </c>
      <c r="E312">
        <f>WeeklyPicks!E105</f>
        <v>77</v>
      </c>
      <c r="F312">
        <f>IF(E312="","",SUMIFS(RaceResults!$C:$C,RaceResults!$A:$A,A312,RaceResults!$D:$D,E312))</f>
        <v>7</v>
      </c>
      <c r="G312">
        <f>IF(E312="","",SUMIFS(RaceResults!$E:$E,RaceResults!$A:$A,A312,RaceResults!$D:$D,E312))</f>
        <v>30</v>
      </c>
    </row>
    <row r="313" spans="1:7" x14ac:dyDescent="0.3">
      <c r="A313">
        <v>11</v>
      </c>
      <c r="B313" t="s">
        <v>69</v>
      </c>
      <c r="C313" t="s">
        <v>26</v>
      </c>
      <c r="D313">
        <v>3</v>
      </c>
      <c r="E313">
        <f>WeeklyPicks!F105</f>
        <v>12</v>
      </c>
      <c r="F313">
        <f>IF(E313="","",SUMIFS(RaceResults!$C:$C,RaceResults!$A:$A,A313,RaceResults!$D:$D,E313))</f>
        <v>10</v>
      </c>
      <c r="G313">
        <f>IF(E313="","",SUMIFS(RaceResults!$E:$E,RaceResults!$A:$A,A313,RaceResults!$D:$D,E313))</f>
        <v>27</v>
      </c>
    </row>
    <row r="314" spans="1:7" x14ac:dyDescent="0.3">
      <c r="A314">
        <v>11</v>
      </c>
      <c r="B314" t="s">
        <v>69</v>
      </c>
      <c r="C314" t="s">
        <v>27</v>
      </c>
      <c r="D314">
        <v>1</v>
      </c>
      <c r="E314">
        <f>WeeklyPicks!D106</f>
        <v>20</v>
      </c>
      <c r="F314">
        <f>IF(E314="","",SUMIFS(RaceResults!$C:$C,RaceResults!$A:$A,A314,RaceResults!$D:$D,E314))</f>
        <v>38</v>
      </c>
      <c r="G314">
        <f>IF(E314="","",SUMIFS(RaceResults!$E:$E,RaceResults!$A:$A,A314,RaceResults!$D:$D,E314))</f>
        <v>1</v>
      </c>
    </row>
    <row r="315" spans="1:7" x14ac:dyDescent="0.3">
      <c r="A315">
        <v>11</v>
      </c>
      <c r="B315" t="s">
        <v>69</v>
      </c>
      <c r="C315" t="s">
        <v>27</v>
      </c>
      <c r="D315">
        <v>2</v>
      </c>
      <c r="E315">
        <f>WeeklyPicks!E106</f>
        <v>11</v>
      </c>
      <c r="F315">
        <f>IF(E315="","",SUMIFS(RaceResults!$C:$C,RaceResults!$A:$A,A315,RaceResults!$D:$D,E315))</f>
        <v>2</v>
      </c>
      <c r="G315">
        <f>IF(E315="","",SUMIFS(RaceResults!$E:$E,RaceResults!$A:$A,A315,RaceResults!$D:$D,E315))</f>
        <v>35</v>
      </c>
    </row>
    <row r="316" spans="1:7" x14ac:dyDescent="0.3">
      <c r="A316">
        <v>11</v>
      </c>
      <c r="B316" t="s">
        <v>69</v>
      </c>
      <c r="C316" t="s">
        <v>27</v>
      </c>
      <c r="D316">
        <v>3</v>
      </c>
      <c r="E316">
        <f>WeeklyPicks!F106</f>
        <v>22</v>
      </c>
      <c r="F316">
        <f>IF(E316="","",SUMIFS(RaceResults!$C:$C,RaceResults!$A:$A,A316,RaceResults!$D:$D,E316))</f>
        <v>37</v>
      </c>
      <c r="G316">
        <f>IF(E316="","",SUMIFS(RaceResults!$E:$E,RaceResults!$A:$A,A316,RaceResults!$D:$D,E316))</f>
        <v>1</v>
      </c>
    </row>
    <row r="317" spans="1:7" x14ac:dyDescent="0.3">
      <c r="A317">
        <v>11</v>
      </c>
      <c r="B317" t="s">
        <v>69</v>
      </c>
      <c r="C317" t="s">
        <v>28</v>
      </c>
      <c r="D317">
        <v>1</v>
      </c>
      <c r="E317">
        <f>WeeklyPicks!D107</f>
        <v>19</v>
      </c>
      <c r="F317">
        <f>IF(E317="","",SUMIFS(RaceResults!$C:$C,RaceResults!$A:$A,A317,RaceResults!$D:$D,E317))</f>
        <v>23</v>
      </c>
      <c r="G317">
        <f>IF(E317="","",SUMIFS(RaceResults!$E:$E,RaceResults!$A:$A,A317,RaceResults!$D:$D,E317))</f>
        <v>14</v>
      </c>
    </row>
    <row r="318" spans="1:7" x14ac:dyDescent="0.3">
      <c r="A318">
        <v>11</v>
      </c>
      <c r="B318" t="s">
        <v>69</v>
      </c>
      <c r="C318" t="s">
        <v>28</v>
      </c>
      <c r="D318">
        <v>2</v>
      </c>
      <c r="E318">
        <f>WeeklyPicks!E107</f>
        <v>77</v>
      </c>
      <c r="F318">
        <f>IF(E318="","",SUMIFS(RaceResults!$C:$C,RaceResults!$A:$A,A318,RaceResults!$D:$D,E318))</f>
        <v>7</v>
      </c>
      <c r="G318">
        <f>IF(E318="","",SUMIFS(RaceResults!$E:$E,RaceResults!$A:$A,A318,RaceResults!$D:$D,E318))</f>
        <v>30</v>
      </c>
    </row>
    <row r="319" spans="1:7" x14ac:dyDescent="0.3">
      <c r="A319">
        <v>11</v>
      </c>
      <c r="B319" t="s">
        <v>69</v>
      </c>
      <c r="C319" t="s">
        <v>28</v>
      </c>
      <c r="D319">
        <v>3</v>
      </c>
      <c r="E319">
        <f>WeeklyPicks!F107</f>
        <v>45</v>
      </c>
      <c r="F319">
        <f>IF(E319="","",SUMIFS(RaceResults!$C:$C,RaceResults!$A:$A,A319,RaceResults!$D:$D,E319))</f>
        <v>4</v>
      </c>
      <c r="G319">
        <f>IF(E319="","",SUMIFS(RaceResults!$E:$E,RaceResults!$A:$A,A319,RaceResults!$D:$D,E319))</f>
        <v>33</v>
      </c>
    </row>
    <row r="320" spans="1:7" x14ac:dyDescent="0.3">
      <c r="A320">
        <v>11</v>
      </c>
      <c r="B320" t="s">
        <v>69</v>
      </c>
      <c r="C320" t="s">
        <v>29</v>
      </c>
      <c r="D320">
        <v>1</v>
      </c>
      <c r="E320">
        <f>WeeklyPicks!D108</f>
        <v>48</v>
      </c>
      <c r="F320">
        <f>IF(E320="","",SUMIFS(RaceResults!$C:$C,RaceResults!$A:$A,A320,RaceResults!$D:$D,E320))</f>
        <v>3</v>
      </c>
      <c r="G320">
        <f>IF(E320="","",SUMIFS(RaceResults!$E:$E,RaceResults!$A:$A,A320,RaceResults!$D:$D,E320))</f>
        <v>34</v>
      </c>
    </row>
    <row r="321" spans="1:7" x14ac:dyDescent="0.3">
      <c r="A321">
        <v>11</v>
      </c>
      <c r="B321" t="s">
        <v>69</v>
      </c>
      <c r="C321" t="s">
        <v>29</v>
      </c>
      <c r="D321">
        <v>2</v>
      </c>
      <c r="E321">
        <f>WeeklyPicks!E108</f>
        <v>5</v>
      </c>
      <c r="F321">
        <f>IF(E321="","",SUMIFS(RaceResults!$C:$C,RaceResults!$A:$A,A321,RaceResults!$D:$D,E321))</f>
        <v>34</v>
      </c>
      <c r="G321">
        <f>IF(E321="","",SUMIFS(RaceResults!$E:$E,RaceResults!$A:$A,A321,RaceResults!$D:$D,E321))</f>
        <v>3</v>
      </c>
    </row>
    <row r="322" spans="1:7" x14ac:dyDescent="0.3">
      <c r="A322">
        <v>11</v>
      </c>
      <c r="B322" t="s">
        <v>69</v>
      </c>
      <c r="C322" t="s">
        <v>29</v>
      </c>
      <c r="D322">
        <v>3</v>
      </c>
      <c r="E322">
        <f>WeeklyPicks!F108</f>
        <v>9</v>
      </c>
      <c r="F322">
        <f>IF(E322="","",SUMIFS(RaceResults!$C:$C,RaceResults!$A:$A,A322,RaceResults!$D:$D,E322))</f>
        <v>1</v>
      </c>
      <c r="G322">
        <f>IF(E322="","",SUMIFS(RaceResults!$E:$E,RaceResults!$A:$A,A322,RaceResults!$D:$D,E322))</f>
        <v>55</v>
      </c>
    </row>
    <row r="323" spans="1:7" x14ac:dyDescent="0.3">
      <c r="A323">
        <v>11</v>
      </c>
      <c r="B323" t="s">
        <v>69</v>
      </c>
      <c r="C323" t="s">
        <v>30</v>
      </c>
      <c r="D323">
        <v>1</v>
      </c>
      <c r="E323">
        <f>WeeklyPicks!D109</f>
        <v>0</v>
      </c>
      <c r="F323">
        <f>IF(E323="","",SUMIFS(RaceResults!$C:$C,RaceResults!$A:$A,A323,RaceResults!$D:$D,E323))</f>
        <v>0</v>
      </c>
      <c r="G323">
        <f>IF(E323="","",SUMIFS(RaceResults!$E:$E,RaceResults!$A:$A,A323,RaceResults!$D:$D,E323))</f>
        <v>0</v>
      </c>
    </row>
    <row r="324" spans="1:7" x14ac:dyDescent="0.3">
      <c r="A324">
        <v>11</v>
      </c>
      <c r="B324" t="s">
        <v>69</v>
      </c>
      <c r="C324" t="s">
        <v>30</v>
      </c>
      <c r="D324">
        <v>2</v>
      </c>
      <c r="E324">
        <f>WeeklyPicks!E109</f>
        <v>0</v>
      </c>
      <c r="F324">
        <f>IF(E324="","",SUMIFS(RaceResults!$C:$C,RaceResults!$A:$A,A324,RaceResults!$D:$D,E324))</f>
        <v>0</v>
      </c>
      <c r="G324">
        <f>IF(E324="","",SUMIFS(RaceResults!$E:$E,RaceResults!$A:$A,A324,RaceResults!$D:$D,E324))</f>
        <v>0</v>
      </c>
    </row>
    <row r="325" spans="1:7" x14ac:dyDescent="0.3">
      <c r="A325">
        <v>11</v>
      </c>
      <c r="B325" t="s">
        <v>69</v>
      </c>
      <c r="C325" t="s">
        <v>30</v>
      </c>
      <c r="D325">
        <v>3</v>
      </c>
      <c r="E325">
        <f>WeeklyPicks!F109</f>
        <v>0</v>
      </c>
      <c r="F325">
        <f>IF(E325="","",SUMIFS(RaceResults!$C:$C,RaceResults!$A:$A,A325,RaceResults!$D:$D,E325))</f>
        <v>0</v>
      </c>
      <c r="G325">
        <f>IF(E325="","",SUMIFS(RaceResults!$E:$E,RaceResults!$A:$A,A325,RaceResults!$D:$D,E325))</f>
        <v>0</v>
      </c>
    </row>
    <row r="326" spans="1:7" x14ac:dyDescent="0.3">
      <c r="A326">
        <v>11</v>
      </c>
      <c r="B326" t="s">
        <v>69</v>
      </c>
      <c r="C326" t="s">
        <v>31</v>
      </c>
      <c r="D326">
        <v>1</v>
      </c>
      <c r="E326">
        <f>WeeklyPicks!D110</f>
        <v>5</v>
      </c>
      <c r="F326">
        <f>IF(E326="","",SUMIFS(RaceResults!$C:$C,RaceResults!$A:$A,A326,RaceResults!$D:$D,E326))</f>
        <v>34</v>
      </c>
      <c r="G326">
        <f>IF(E326="","",SUMIFS(RaceResults!$E:$E,RaceResults!$A:$A,A326,RaceResults!$D:$D,E326))</f>
        <v>3</v>
      </c>
    </row>
    <row r="327" spans="1:7" x14ac:dyDescent="0.3">
      <c r="A327">
        <v>11</v>
      </c>
      <c r="B327" t="s">
        <v>69</v>
      </c>
      <c r="C327" t="s">
        <v>31</v>
      </c>
      <c r="D327">
        <v>2</v>
      </c>
      <c r="E327">
        <f>WeeklyPicks!E110</f>
        <v>11</v>
      </c>
      <c r="F327">
        <f>IF(E327="","",SUMIFS(RaceResults!$C:$C,RaceResults!$A:$A,A327,RaceResults!$D:$D,E327))</f>
        <v>2</v>
      </c>
      <c r="G327">
        <f>IF(E327="","",SUMIFS(RaceResults!$E:$E,RaceResults!$A:$A,A327,RaceResults!$D:$D,E327))</f>
        <v>35</v>
      </c>
    </row>
    <row r="328" spans="1:7" x14ac:dyDescent="0.3">
      <c r="A328">
        <v>11</v>
      </c>
      <c r="B328" t="s">
        <v>69</v>
      </c>
      <c r="C328" t="s">
        <v>31</v>
      </c>
      <c r="D328">
        <v>3</v>
      </c>
      <c r="E328">
        <f>WeeklyPicks!F110</f>
        <v>77</v>
      </c>
      <c r="F328">
        <f>IF(E328="","",SUMIFS(RaceResults!$C:$C,RaceResults!$A:$A,A328,RaceResults!$D:$D,E328))</f>
        <v>7</v>
      </c>
      <c r="G328">
        <f>IF(E328="","",SUMIFS(RaceResults!$E:$E,RaceResults!$A:$A,A328,RaceResults!$D:$D,E328))</f>
        <v>30</v>
      </c>
    </row>
    <row r="329" spans="1:7" x14ac:dyDescent="0.3">
      <c r="A329">
        <v>11</v>
      </c>
      <c r="B329" t="s">
        <v>69</v>
      </c>
      <c r="C329" t="s">
        <v>32</v>
      </c>
      <c r="D329">
        <v>1</v>
      </c>
      <c r="E329">
        <f>WeeklyPicks!D111</f>
        <v>11</v>
      </c>
      <c r="F329">
        <f>IF(E329="","",SUMIFS(RaceResults!$C:$C,RaceResults!$A:$A,A329,RaceResults!$D:$D,E329))</f>
        <v>2</v>
      </c>
      <c r="G329">
        <f>IF(E329="","",SUMIFS(RaceResults!$E:$E,RaceResults!$A:$A,A329,RaceResults!$D:$D,E329))</f>
        <v>35</v>
      </c>
    </row>
    <row r="330" spans="1:7" x14ac:dyDescent="0.3">
      <c r="A330">
        <v>11</v>
      </c>
      <c r="B330" t="s">
        <v>69</v>
      </c>
      <c r="C330" t="s">
        <v>32</v>
      </c>
      <c r="D330">
        <v>2</v>
      </c>
      <c r="E330">
        <f>WeeklyPicks!E111</f>
        <v>8</v>
      </c>
      <c r="F330">
        <f>IF(E330="","",SUMIFS(RaceResults!$C:$C,RaceResults!$A:$A,A330,RaceResults!$D:$D,E330))</f>
        <v>20</v>
      </c>
      <c r="G330">
        <f>IF(E330="","",SUMIFS(RaceResults!$E:$E,RaceResults!$A:$A,A330,RaceResults!$D:$D,E330))</f>
        <v>17</v>
      </c>
    </row>
    <row r="331" spans="1:7" x14ac:dyDescent="0.3">
      <c r="A331">
        <v>11</v>
      </c>
      <c r="B331" t="s">
        <v>69</v>
      </c>
      <c r="C331" t="s">
        <v>32</v>
      </c>
      <c r="D331">
        <v>3</v>
      </c>
      <c r="E331">
        <f>WeeklyPicks!F111</f>
        <v>54</v>
      </c>
      <c r="F331">
        <f>IF(E331="","",SUMIFS(RaceResults!$C:$C,RaceResults!$A:$A,A331,RaceResults!$D:$D,E331))</f>
        <v>36</v>
      </c>
      <c r="G331">
        <f>IF(E331="","",SUMIFS(RaceResults!$E:$E,RaceResults!$A:$A,A331,RaceResults!$D:$D,E331))</f>
        <v>1</v>
      </c>
    </row>
    <row r="332" spans="1:7" x14ac:dyDescent="0.3">
      <c r="A332">
        <v>12</v>
      </c>
      <c r="B332" t="s">
        <v>71</v>
      </c>
      <c r="C332" t="s">
        <v>21</v>
      </c>
      <c r="D332">
        <v>1</v>
      </c>
      <c r="E332">
        <f>WeeklyPicks!D112</f>
        <v>97</v>
      </c>
      <c r="F332">
        <f>IF(E332="","",SUMIFS(RaceResults!$C:$C,RaceResults!$A:$A,A332,RaceResults!$D:$D,E332))</f>
        <v>1</v>
      </c>
      <c r="G332">
        <f>IF(E332="","",SUMIFS(RaceResults!$E:$E,RaceResults!$A:$A,A332,RaceResults!$D:$D,E332))</f>
        <v>55</v>
      </c>
    </row>
    <row r="333" spans="1:7" x14ac:dyDescent="0.3">
      <c r="A333">
        <v>12</v>
      </c>
      <c r="B333" t="s">
        <v>71</v>
      </c>
      <c r="C333" t="s">
        <v>21</v>
      </c>
      <c r="D333">
        <v>2</v>
      </c>
      <c r="E333">
        <f>WeeklyPicks!E112</f>
        <v>12</v>
      </c>
      <c r="F333">
        <f>IF(E333="","",SUMIFS(RaceResults!$C:$C,RaceResults!$A:$A,A333,RaceResults!$D:$D,E333))</f>
        <v>11</v>
      </c>
      <c r="G333">
        <f>IF(E333="","",SUMIFS(RaceResults!$E:$E,RaceResults!$A:$A,A333,RaceResults!$D:$D,E333))</f>
        <v>26</v>
      </c>
    </row>
    <row r="334" spans="1:7" x14ac:dyDescent="0.3">
      <c r="A334">
        <v>12</v>
      </c>
      <c r="B334" t="s">
        <v>71</v>
      </c>
      <c r="C334" t="s">
        <v>21</v>
      </c>
      <c r="D334">
        <v>3</v>
      </c>
      <c r="E334">
        <f>WeeklyPicks!F112</f>
        <v>2</v>
      </c>
      <c r="F334">
        <f>IF(E334="","",SUMIFS(RaceResults!$C:$C,RaceResults!$A:$A,A334,RaceResults!$D:$D,E334))</f>
        <v>9</v>
      </c>
      <c r="G334">
        <f>IF(E334="","",SUMIFS(RaceResults!$E:$E,RaceResults!$A:$A,A334,RaceResults!$D:$D,E334))</f>
        <v>28</v>
      </c>
    </row>
    <row r="335" spans="1:7" x14ac:dyDescent="0.3">
      <c r="A335">
        <v>12</v>
      </c>
      <c r="B335" t="s">
        <v>71</v>
      </c>
      <c r="C335" t="s">
        <v>22</v>
      </c>
      <c r="D335">
        <v>1</v>
      </c>
      <c r="E335">
        <f>WeeklyPicks!D113</f>
        <v>97</v>
      </c>
      <c r="F335">
        <f>IF(E335="","",SUMIFS(RaceResults!$C:$C,RaceResults!$A:$A,A335,RaceResults!$D:$D,E335))</f>
        <v>1</v>
      </c>
      <c r="G335">
        <f>IF(E335="","",SUMIFS(RaceResults!$E:$E,RaceResults!$A:$A,A335,RaceResults!$D:$D,E335))</f>
        <v>55</v>
      </c>
    </row>
    <row r="336" spans="1:7" x14ac:dyDescent="0.3">
      <c r="A336">
        <v>12</v>
      </c>
      <c r="B336" t="s">
        <v>71</v>
      </c>
      <c r="C336" t="s">
        <v>22</v>
      </c>
      <c r="D336">
        <v>2</v>
      </c>
      <c r="E336">
        <f>WeeklyPicks!E113</f>
        <v>1</v>
      </c>
      <c r="F336">
        <f>IF(E336="","",SUMIFS(RaceResults!$C:$C,RaceResults!$A:$A,A336,RaceResults!$D:$D,E336))</f>
        <v>27</v>
      </c>
      <c r="G336">
        <f>IF(E336="","",SUMIFS(RaceResults!$E:$E,RaceResults!$A:$A,A336,RaceResults!$D:$D,E336))</f>
        <v>10</v>
      </c>
    </row>
    <row r="337" spans="1:7" x14ac:dyDescent="0.3">
      <c r="A337">
        <v>12</v>
      </c>
      <c r="B337" t="s">
        <v>71</v>
      </c>
      <c r="C337" t="s">
        <v>22</v>
      </c>
      <c r="D337">
        <v>3</v>
      </c>
      <c r="E337">
        <f>WeeklyPicks!F113</f>
        <v>12</v>
      </c>
      <c r="F337">
        <f>IF(E337="","",SUMIFS(RaceResults!$C:$C,RaceResults!$A:$A,A337,RaceResults!$D:$D,E337))</f>
        <v>11</v>
      </c>
      <c r="G337">
        <f>IF(E337="","",SUMIFS(RaceResults!$E:$E,RaceResults!$A:$A,A337,RaceResults!$D:$D,E337))</f>
        <v>26</v>
      </c>
    </row>
    <row r="338" spans="1:7" x14ac:dyDescent="0.3">
      <c r="A338">
        <v>12</v>
      </c>
      <c r="B338" t="s">
        <v>71</v>
      </c>
      <c r="C338" t="s">
        <v>25</v>
      </c>
      <c r="D338">
        <v>1</v>
      </c>
      <c r="E338">
        <f>WeeklyPicks!D114</f>
        <v>97</v>
      </c>
      <c r="F338">
        <f>IF(E338="","",SUMIFS(RaceResults!$C:$C,RaceResults!$A:$A,A338,RaceResults!$D:$D,E338))</f>
        <v>1</v>
      </c>
      <c r="G338">
        <f>IF(E338="","",SUMIFS(RaceResults!$E:$E,RaceResults!$A:$A,A338,RaceResults!$D:$D,E338))</f>
        <v>55</v>
      </c>
    </row>
    <row r="339" spans="1:7" x14ac:dyDescent="0.3">
      <c r="A339">
        <v>12</v>
      </c>
      <c r="B339" t="s">
        <v>71</v>
      </c>
      <c r="C339" t="s">
        <v>25</v>
      </c>
      <c r="D339">
        <v>2</v>
      </c>
      <c r="E339">
        <f>WeeklyPicks!E114</f>
        <v>20</v>
      </c>
      <c r="F339">
        <f>IF(E339="","",SUMIFS(RaceResults!$C:$C,RaceResults!$A:$A,A339,RaceResults!$D:$D,E339))</f>
        <v>21</v>
      </c>
      <c r="G339">
        <f>IF(E339="","",SUMIFS(RaceResults!$E:$E,RaceResults!$A:$A,A339,RaceResults!$D:$D,E339))</f>
        <v>16</v>
      </c>
    </row>
    <row r="340" spans="1:7" x14ac:dyDescent="0.3">
      <c r="A340">
        <v>12</v>
      </c>
      <c r="B340" t="s">
        <v>71</v>
      </c>
      <c r="C340" t="s">
        <v>25</v>
      </c>
      <c r="D340">
        <v>3</v>
      </c>
      <c r="E340">
        <f>WeeklyPicks!F114</f>
        <v>17</v>
      </c>
      <c r="F340">
        <f>IF(E340="","",SUMIFS(RaceResults!$C:$C,RaceResults!$A:$A,A340,RaceResults!$D:$D,E340))</f>
        <v>12</v>
      </c>
      <c r="G340">
        <f>IF(E340="","",SUMIFS(RaceResults!$E:$E,RaceResults!$A:$A,A340,RaceResults!$D:$D,E340))</f>
        <v>25</v>
      </c>
    </row>
    <row r="341" spans="1:7" x14ac:dyDescent="0.3">
      <c r="A341">
        <v>12</v>
      </c>
      <c r="B341" t="s">
        <v>71</v>
      </c>
      <c r="C341" t="s">
        <v>26</v>
      </c>
      <c r="D341">
        <v>1</v>
      </c>
      <c r="E341">
        <f>WeeklyPicks!D115</f>
        <v>97</v>
      </c>
      <c r="F341">
        <f>IF(E341="","",SUMIFS(RaceResults!$C:$C,RaceResults!$A:$A,A341,RaceResults!$D:$D,E341))</f>
        <v>1</v>
      </c>
      <c r="G341">
        <f>IF(E341="","",SUMIFS(RaceResults!$E:$E,RaceResults!$A:$A,A341,RaceResults!$D:$D,E341))</f>
        <v>55</v>
      </c>
    </row>
    <row r="342" spans="1:7" x14ac:dyDescent="0.3">
      <c r="A342">
        <v>12</v>
      </c>
      <c r="B342" t="s">
        <v>71</v>
      </c>
      <c r="C342" t="s">
        <v>26</v>
      </c>
      <c r="D342">
        <v>2</v>
      </c>
      <c r="E342">
        <f>WeeklyPicks!E115</f>
        <v>12</v>
      </c>
      <c r="F342">
        <f>IF(E342="","",SUMIFS(RaceResults!$C:$C,RaceResults!$A:$A,A342,RaceResults!$D:$D,E342))</f>
        <v>11</v>
      </c>
      <c r="G342">
        <f>IF(E342="","",SUMIFS(RaceResults!$E:$E,RaceResults!$A:$A,A342,RaceResults!$D:$D,E342))</f>
        <v>26</v>
      </c>
    </row>
    <row r="343" spans="1:7" x14ac:dyDescent="0.3">
      <c r="A343">
        <v>12</v>
      </c>
      <c r="B343" t="s">
        <v>71</v>
      </c>
      <c r="C343" t="s">
        <v>26</v>
      </c>
      <c r="D343">
        <v>3</v>
      </c>
      <c r="E343">
        <f>WeeklyPicks!F115</f>
        <v>20</v>
      </c>
      <c r="F343">
        <f>IF(E343="","",SUMIFS(RaceResults!$C:$C,RaceResults!$A:$A,A343,RaceResults!$D:$D,E343))</f>
        <v>21</v>
      </c>
      <c r="G343">
        <f>IF(E343="","",SUMIFS(RaceResults!$E:$E,RaceResults!$A:$A,A343,RaceResults!$D:$D,E343))</f>
        <v>16</v>
      </c>
    </row>
    <row r="344" spans="1:7" x14ac:dyDescent="0.3">
      <c r="A344">
        <v>12</v>
      </c>
      <c r="B344" t="s">
        <v>71</v>
      </c>
      <c r="C344" t="s">
        <v>27</v>
      </c>
      <c r="D344">
        <v>1</v>
      </c>
      <c r="E344">
        <f>WeeklyPicks!D116</f>
        <v>22</v>
      </c>
      <c r="F344">
        <f>IF(E344="","",SUMIFS(RaceResults!$C:$C,RaceResults!$A:$A,A344,RaceResults!$D:$D,E344))</f>
        <v>38</v>
      </c>
      <c r="G344">
        <f>IF(E344="","",SUMIFS(RaceResults!$E:$E,RaceResults!$A:$A,A344,RaceResults!$D:$D,E344))</f>
        <v>1</v>
      </c>
    </row>
    <row r="345" spans="1:7" x14ac:dyDescent="0.3">
      <c r="A345">
        <v>12</v>
      </c>
      <c r="B345" t="s">
        <v>71</v>
      </c>
      <c r="C345" t="s">
        <v>27</v>
      </c>
      <c r="D345">
        <v>2</v>
      </c>
      <c r="E345">
        <f>WeeklyPicks!E116</f>
        <v>2</v>
      </c>
      <c r="F345">
        <f>IF(E345="","",SUMIFS(RaceResults!$C:$C,RaceResults!$A:$A,A345,RaceResults!$D:$D,E345))</f>
        <v>9</v>
      </c>
      <c r="G345">
        <f>IF(E345="","",SUMIFS(RaceResults!$E:$E,RaceResults!$A:$A,A345,RaceResults!$D:$D,E345))</f>
        <v>28</v>
      </c>
    </row>
    <row r="346" spans="1:7" x14ac:dyDescent="0.3">
      <c r="A346">
        <v>12</v>
      </c>
      <c r="B346" t="s">
        <v>71</v>
      </c>
      <c r="C346" t="s">
        <v>27</v>
      </c>
      <c r="D346">
        <v>3</v>
      </c>
      <c r="E346">
        <f>WeeklyPicks!F116</f>
        <v>20</v>
      </c>
      <c r="F346">
        <f>IF(E346="","",SUMIFS(RaceResults!$C:$C,RaceResults!$A:$A,A346,RaceResults!$D:$D,E346))</f>
        <v>21</v>
      </c>
      <c r="G346">
        <f>IF(E346="","",SUMIFS(RaceResults!$E:$E,RaceResults!$A:$A,A346,RaceResults!$D:$D,E346))</f>
        <v>16</v>
      </c>
    </row>
    <row r="347" spans="1:7" x14ac:dyDescent="0.3">
      <c r="A347">
        <v>12</v>
      </c>
      <c r="B347" t="s">
        <v>71</v>
      </c>
      <c r="C347" t="s">
        <v>28</v>
      </c>
      <c r="D347">
        <v>1</v>
      </c>
      <c r="E347">
        <f>WeeklyPicks!D117</f>
        <v>97</v>
      </c>
      <c r="F347">
        <f>IF(E347="","",SUMIFS(RaceResults!$C:$C,RaceResults!$A:$A,A347,RaceResults!$D:$D,E347))</f>
        <v>1</v>
      </c>
      <c r="G347">
        <f>IF(E347="","",SUMIFS(RaceResults!$E:$E,RaceResults!$A:$A,A347,RaceResults!$D:$D,E347))</f>
        <v>55</v>
      </c>
    </row>
    <row r="348" spans="1:7" x14ac:dyDescent="0.3">
      <c r="A348">
        <v>12</v>
      </c>
      <c r="B348" t="s">
        <v>71</v>
      </c>
      <c r="C348" t="s">
        <v>28</v>
      </c>
      <c r="D348">
        <v>2</v>
      </c>
      <c r="E348">
        <f>WeeklyPicks!E117</f>
        <v>20</v>
      </c>
      <c r="F348">
        <f>IF(E348="","",SUMIFS(RaceResults!$C:$C,RaceResults!$A:$A,A348,RaceResults!$D:$D,E348))</f>
        <v>21</v>
      </c>
      <c r="G348">
        <f>IF(E348="","",SUMIFS(RaceResults!$E:$E,RaceResults!$A:$A,A348,RaceResults!$D:$D,E348))</f>
        <v>16</v>
      </c>
    </row>
    <row r="349" spans="1:7" x14ac:dyDescent="0.3">
      <c r="A349">
        <v>12</v>
      </c>
      <c r="B349" t="s">
        <v>71</v>
      </c>
      <c r="C349" t="s">
        <v>28</v>
      </c>
      <c r="D349">
        <v>3</v>
      </c>
      <c r="E349">
        <f>WeeklyPicks!F117</f>
        <v>45</v>
      </c>
      <c r="F349">
        <f>IF(E349="","",SUMIFS(RaceResults!$C:$C,RaceResults!$A:$A,A349,RaceResults!$D:$D,E349))</f>
        <v>5</v>
      </c>
      <c r="G349">
        <f>IF(E349="","",SUMIFS(RaceResults!$E:$E,RaceResults!$A:$A,A349,RaceResults!$D:$D,E349))</f>
        <v>32</v>
      </c>
    </row>
    <row r="350" spans="1:7" x14ac:dyDescent="0.3">
      <c r="A350">
        <v>12</v>
      </c>
      <c r="B350" t="s">
        <v>71</v>
      </c>
      <c r="C350" t="s">
        <v>29</v>
      </c>
      <c r="D350">
        <v>1</v>
      </c>
      <c r="E350">
        <f>WeeklyPicks!D118</f>
        <v>24</v>
      </c>
      <c r="F350">
        <f>IF(E350="","",SUMIFS(RaceResults!$C:$C,RaceResults!$A:$A,A350,RaceResults!$D:$D,E350))</f>
        <v>36</v>
      </c>
      <c r="G350">
        <f>IF(E350="","",SUMIFS(RaceResults!$E:$E,RaceResults!$A:$A,A350,RaceResults!$D:$D,E350))</f>
        <v>1</v>
      </c>
    </row>
    <row r="351" spans="1:7" x14ac:dyDescent="0.3">
      <c r="A351">
        <v>12</v>
      </c>
      <c r="B351" t="s">
        <v>71</v>
      </c>
      <c r="C351" t="s">
        <v>29</v>
      </c>
      <c r="D351">
        <v>2</v>
      </c>
      <c r="E351">
        <f>WeeklyPicks!E118</f>
        <v>5</v>
      </c>
      <c r="F351">
        <f>IF(E351="","",SUMIFS(RaceResults!$C:$C,RaceResults!$A:$A,A351,RaceResults!$D:$D,E351))</f>
        <v>23</v>
      </c>
      <c r="G351">
        <f>IF(E351="","",SUMIFS(RaceResults!$E:$E,RaceResults!$A:$A,A351,RaceResults!$D:$D,E351))</f>
        <v>14</v>
      </c>
    </row>
    <row r="352" spans="1:7" x14ac:dyDescent="0.3">
      <c r="A352">
        <v>12</v>
      </c>
      <c r="B352" t="s">
        <v>71</v>
      </c>
      <c r="C352" t="s">
        <v>29</v>
      </c>
      <c r="D352">
        <v>3</v>
      </c>
      <c r="E352">
        <f>WeeklyPicks!F118</f>
        <v>9</v>
      </c>
      <c r="F352">
        <f>IF(E352="","",SUMIFS(RaceResults!$C:$C,RaceResults!$A:$A,A352,RaceResults!$D:$D,E352))</f>
        <v>24</v>
      </c>
      <c r="G352">
        <f>IF(E352="","",SUMIFS(RaceResults!$E:$E,RaceResults!$A:$A,A352,RaceResults!$D:$D,E352))</f>
        <v>13</v>
      </c>
    </row>
    <row r="353" spans="1:7" x14ac:dyDescent="0.3">
      <c r="A353">
        <v>12</v>
      </c>
      <c r="B353" t="s">
        <v>71</v>
      </c>
      <c r="C353" t="s">
        <v>30</v>
      </c>
      <c r="D353">
        <v>1</v>
      </c>
      <c r="E353">
        <f>WeeklyPicks!D119</f>
        <v>0</v>
      </c>
      <c r="F353">
        <f>IF(E353="","",SUMIFS(RaceResults!$C:$C,RaceResults!$A:$A,A353,RaceResults!$D:$D,E353))</f>
        <v>0</v>
      </c>
      <c r="G353">
        <f>IF(E353="","",SUMIFS(RaceResults!$E:$E,RaceResults!$A:$A,A353,RaceResults!$D:$D,E353))</f>
        <v>0</v>
      </c>
    </row>
    <row r="354" spans="1:7" x14ac:dyDescent="0.3">
      <c r="A354">
        <v>12</v>
      </c>
      <c r="B354" t="s">
        <v>71</v>
      </c>
      <c r="C354" t="s">
        <v>30</v>
      </c>
      <c r="D354">
        <v>2</v>
      </c>
      <c r="E354">
        <f>WeeklyPicks!E119</f>
        <v>0</v>
      </c>
      <c r="F354">
        <f>IF(E354="","",SUMIFS(RaceResults!$C:$C,RaceResults!$A:$A,A354,RaceResults!$D:$D,E354))</f>
        <v>0</v>
      </c>
      <c r="G354">
        <f>IF(E354="","",SUMIFS(RaceResults!$E:$E,RaceResults!$A:$A,A354,RaceResults!$D:$D,E354))</f>
        <v>0</v>
      </c>
    </row>
    <row r="355" spans="1:7" x14ac:dyDescent="0.3">
      <c r="A355">
        <v>12</v>
      </c>
      <c r="B355" t="s">
        <v>71</v>
      </c>
      <c r="C355" t="s">
        <v>30</v>
      </c>
      <c r="D355">
        <v>3</v>
      </c>
      <c r="E355">
        <f>WeeklyPicks!F119</f>
        <v>0</v>
      </c>
      <c r="F355">
        <f>IF(E355="","",SUMIFS(RaceResults!$C:$C,RaceResults!$A:$A,A355,RaceResults!$D:$D,E355))</f>
        <v>0</v>
      </c>
      <c r="G355">
        <f>IF(E355="","",SUMIFS(RaceResults!$E:$E,RaceResults!$A:$A,A355,RaceResults!$D:$D,E355))</f>
        <v>0</v>
      </c>
    </row>
    <row r="356" spans="1:7" x14ac:dyDescent="0.3">
      <c r="A356">
        <v>12</v>
      </c>
      <c r="B356" t="s">
        <v>71</v>
      </c>
      <c r="C356" t="s">
        <v>31</v>
      </c>
      <c r="D356">
        <v>1</v>
      </c>
      <c r="E356">
        <f>WeeklyPicks!D120</f>
        <v>5</v>
      </c>
      <c r="F356">
        <f>IF(E356="","",SUMIFS(RaceResults!$C:$C,RaceResults!$A:$A,A356,RaceResults!$D:$D,E356))</f>
        <v>23</v>
      </c>
      <c r="G356">
        <f>IF(E356="","",SUMIFS(RaceResults!$E:$E,RaceResults!$A:$A,A356,RaceResults!$D:$D,E356))</f>
        <v>14</v>
      </c>
    </row>
    <row r="357" spans="1:7" x14ac:dyDescent="0.3">
      <c r="A357">
        <v>12</v>
      </c>
      <c r="B357" t="s">
        <v>71</v>
      </c>
      <c r="C357" t="s">
        <v>31</v>
      </c>
      <c r="D357">
        <v>2</v>
      </c>
      <c r="E357">
        <f>WeeklyPicks!E120</f>
        <v>97</v>
      </c>
      <c r="F357">
        <f>IF(E357="","",SUMIFS(RaceResults!$C:$C,RaceResults!$A:$A,A357,RaceResults!$D:$D,E357))</f>
        <v>1</v>
      </c>
      <c r="G357">
        <f>IF(E357="","",SUMIFS(RaceResults!$E:$E,RaceResults!$A:$A,A357,RaceResults!$D:$D,E357))</f>
        <v>55</v>
      </c>
    </row>
    <row r="358" spans="1:7" x14ac:dyDescent="0.3">
      <c r="A358">
        <v>12</v>
      </c>
      <c r="B358" t="s">
        <v>71</v>
      </c>
      <c r="C358" t="s">
        <v>31</v>
      </c>
      <c r="D358">
        <v>3</v>
      </c>
      <c r="E358">
        <f>WeeklyPicks!F120</f>
        <v>9</v>
      </c>
      <c r="F358">
        <f>IF(E358="","",SUMIFS(RaceResults!$C:$C,RaceResults!$A:$A,A358,RaceResults!$D:$D,E358))</f>
        <v>24</v>
      </c>
      <c r="G358">
        <f>IF(E358="","",SUMIFS(RaceResults!$E:$E,RaceResults!$A:$A,A358,RaceResults!$D:$D,E358))</f>
        <v>13</v>
      </c>
    </row>
    <row r="359" spans="1:7" x14ac:dyDescent="0.3">
      <c r="A359">
        <v>12</v>
      </c>
      <c r="B359" t="s">
        <v>71</v>
      </c>
      <c r="C359" t="s">
        <v>32</v>
      </c>
      <c r="D359">
        <v>1</v>
      </c>
      <c r="E359">
        <f>WeeklyPicks!D121</f>
        <v>1</v>
      </c>
      <c r="F359">
        <f>IF(E359="","",SUMIFS(RaceResults!$C:$C,RaceResults!$A:$A,A359,RaceResults!$D:$D,E359))</f>
        <v>27</v>
      </c>
      <c r="G359">
        <f>IF(E359="","",SUMIFS(RaceResults!$E:$E,RaceResults!$A:$A,A359,RaceResults!$D:$D,E359))</f>
        <v>10</v>
      </c>
    </row>
    <row r="360" spans="1:7" x14ac:dyDescent="0.3">
      <c r="A360">
        <v>12</v>
      </c>
      <c r="B360" t="s">
        <v>71</v>
      </c>
      <c r="C360" t="s">
        <v>32</v>
      </c>
      <c r="D360">
        <v>2</v>
      </c>
      <c r="E360">
        <f>WeeklyPicks!E121</f>
        <v>22</v>
      </c>
      <c r="F360">
        <f>IF(E360="","",SUMIFS(RaceResults!$C:$C,RaceResults!$A:$A,A360,RaceResults!$D:$D,E360))</f>
        <v>38</v>
      </c>
      <c r="G360">
        <f>IF(E360="","",SUMIFS(RaceResults!$E:$E,RaceResults!$A:$A,A360,RaceResults!$D:$D,E360))</f>
        <v>1</v>
      </c>
    </row>
    <row r="361" spans="1:7" x14ac:dyDescent="0.3">
      <c r="A361">
        <v>12</v>
      </c>
      <c r="B361" t="s">
        <v>71</v>
      </c>
      <c r="C361" t="s">
        <v>32</v>
      </c>
      <c r="D361">
        <v>3</v>
      </c>
      <c r="E361">
        <f>WeeklyPicks!F121</f>
        <v>20</v>
      </c>
      <c r="F361">
        <f>IF(E361="","",SUMIFS(RaceResults!$C:$C,RaceResults!$A:$A,A361,RaceResults!$D:$D,E361))</f>
        <v>21</v>
      </c>
      <c r="G361">
        <f>IF(E361="","",SUMIFS(RaceResults!$E:$E,RaceResults!$A:$A,A361,RaceResults!$D:$D,E361))</f>
        <v>16</v>
      </c>
    </row>
    <row r="362" spans="1:7" x14ac:dyDescent="0.3">
      <c r="A362">
        <v>13</v>
      </c>
      <c r="B362" t="s">
        <v>73</v>
      </c>
      <c r="C362" t="s">
        <v>21</v>
      </c>
      <c r="D362">
        <v>1</v>
      </c>
      <c r="E362">
        <f>WeeklyPicks!D122</f>
        <v>45</v>
      </c>
      <c r="F362">
        <f>IF(E362="","",SUMIFS(RaceResults!$C:$C,RaceResults!$A:$A,A362,RaceResults!$D:$D,E362))</f>
        <v>0</v>
      </c>
      <c r="G362">
        <f>IF(E362="","",SUMIFS(RaceResults!$E:$E,RaceResults!$A:$A,A362,RaceResults!$D:$D,E362))</f>
        <v>0</v>
      </c>
    </row>
    <row r="363" spans="1:7" x14ac:dyDescent="0.3">
      <c r="A363">
        <v>13</v>
      </c>
      <c r="B363" t="s">
        <v>73</v>
      </c>
      <c r="C363" t="s">
        <v>21</v>
      </c>
      <c r="D363">
        <v>2</v>
      </c>
      <c r="E363">
        <f>WeeklyPicks!E122</f>
        <v>12</v>
      </c>
      <c r="F363">
        <f>IF(E363="","",SUMIFS(RaceResults!$C:$C,RaceResults!$A:$A,A363,RaceResults!$D:$D,E363))</f>
        <v>0</v>
      </c>
      <c r="G363">
        <f>IF(E363="","",SUMIFS(RaceResults!$E:$E,RaceResults!$A:$A,A363,RaceResults!$D:$D,E363))</f>
        <v>0</v>
      </c>
    </row>
    <row r="364" spans="1:7" x14ac:dyDescent="0.3">
      <c r="A364">
        <v>13</v>
      </c>
      <c r="B364" t="s">
        <v>73</v>
      </c>
      <c r="C364" t="s">
        <v>21</v>
      </c>
      <c r="D364">
        <v>3</v>
      </c>
      <c r="E364">
        <f>WeeklyPicks!F122</f>
        <v>1</v>
      </c>
      <c r="F364">
        <f>IF(E364="","",SUMIFS(RaceResults!$C:$C,RaceResults!$A:$A,A364,RaceResults!$D:$D,E364))</f>
        <v>0</v>
      </c>
      <c r="G364">
        <f>IF(E364="","",SUMIFS(RaceResults!$E:$E,RaceResults!$A:$A,A364,RaceResults!$D:$D,E364))</f>
        <v>0</v>
      </c>
    </row>
    <row r="365" spans="1:7" x14ac:dyDescent="0.3">
      <c r="A365">
        <v>13</v>
      </c>
      <c r="B365" t="s">
        <v>73</v>
      </c>
      <c r="C365" t="s">
        <v>22</v>
      </c>
      <c r="D365">
        <v>1</v>
      </c>
      <c r="E365">
        <f>WeeklyPicks!D123</f>
        <v>45</v>
      </c>
      <c r="F365">
        <f>IF(E365="","",SUMIFS(RaceResults!$C:$C,RaceResults!$A:$A,A365,RaceResults!$D:$D,E365))</f>
        <v>0</v>
      </c>
      <c r="G365">
        <f>IF(E365="","",SUMIFS(RaceResults!$E:$E,RaceResults!$A:$A,A365,RaceResults!$D:$D,E365))</f>
        <v>0</v>
      </c>
    </row>
    <row r="366" spans="1:7" x14ac:dyDescent="0.3">
      <c r="A366">
        <v>13</v>
      </c>
      <c r="B366" t="s">
        <v>73</v>
      </c>
      <c r="C366" t="s">
        <v>22</v>
      </c>
      <c r="D366">
        <v>2</v>
      </c>
      <c r="E366">
        <f>WeeklyPicks!E123</f>
        <v>11</v>
      </c>
      <c r="F366">
        <f>IF(E366="","",SUMIFS(RaceResults!$C:$C,RaceResults!$A:$A,A366,RaceResults!$D:$D,E366))</f>
        <v>0</v>
      </c>
      <c r="G366">
        <f>IF(E366="","",SUMIFS(RaceResults!$E:$E,RaceResults!$A:$A,A366,RaceResults!$D:$D,E366))</f>
        <v>0</v>
      </c>
    </row>
    <row r="367" spans="1:7" x14ac:dyDescent="0.3">
      <c r="A367">
        <v>13</v>
      </c>
      <c r="B367" t="s">
        <v>73</v>
      </c>
      <c r="C367" t="s">
        <v>22</v>
      </c>
      <c r="D367">
        <v>3</v>
      </c>
      <c r="E367">
        <f>WeeklyPicks!F123</f>
        <v>5</v>
      </c>
      <c r="F367">
        <f>IF(E367="","",SUMIFS(RaceResults!$C:$C,RaceResults!$A:$A,A367,RaceResults!$D:$D,E367))</f>
        <v>0</v>
      </c>
      <c r="G367">
        <f>IF(E367="","",SUMIFS(RaceResults!$E:$E,RaceResults!$A:$A,A367,RaceResults!$D:$D,E367))</f>
        <v>0</v>
      </c>
    </row>
    <row r="368" spans="1:7" x14ac:dyDescent="0.3">
      <c r="A368">
        <v>13</v>
      </c>
      <c r="B368" t="s">
        <v>73</v>
      </c>
      <c r="C368" t="s">
        <v>25</v>
      </c>
      <c r="D368">
        <v>1</v>
      </c>
      <c r="E368">
        <f>WeeklyPicks!D124</f>
        <v>11</v>
      </c>
      <c r="F368">
        <f>IF(E368="","",SUMIFS(RaceResults!$C:$C,RaceResults!$A:$A,A368,RaceResults!$D:$D,E368))</f>
        <v>0</v>
      </c>
      <c r="G368">
        <f>IF(E368="","",SUMIFS(RaceResults!$E:$E,RaceResults!$A:$A,A368,RaceResults!$D:$D,E368))</f>
        <v>0</v>
      </c>
    </row>
    <row r="369" spans="1:7" x14ac:dyDescent="0.3">
      <c r="A369">
        <v>13</v>
      </c>
      <c r="B369" t="s">
        <v>73</v>
      </c>
      <c r="C369" t="s">
        <v>25</v>
      </c>
      <c r="D369">
        <v>2</v>
      </c>
      <c r="E369">
        <f>WeeklyPicks!E124</f>
        <v>1</v>
      </c>
      <c r="F369">
        <f>IF(E369="","",SUMIFS(RaceResults!$C:$C,RaceResults!$A:$A,A369,RaceResults!$D:$D,E369))</f>
        <v>0</v>
      </c>
      <c r="G369">
        <f>IF(E369="","",SUMIFS(RaceResults!$E:$E,RaceResults!$A:$A,A369,RaceResults!$D:$D,E369))</f>
        <v>0</v>
      </c>
    </row>
    <row r="370" spans="1:7" x14ac:dyDescent="0.3">
      <c r="A370">
        <v>13</v>
      </c>
      <c r="B370" t="s">
        <v>73</v>
      </c>
      <c r="C370" t="s">
        <v>25</v>
      </c>
      <c r="D370">
        <v>3</v>
      </c>
      <c r="E370">
        <f>WeeklyPicks!F124</f>
        <v>24</v>
      </c>
      <c r="F370">
        <f>IF(E370="","",SUMIFS(RaceResults!$C:$C,RaceResults!$A:$A,A370,RaceResults!$D:$D,E370))</f>
        <v>0</v>
      </c>
      <c r="G370">
        <f>IF(E370="","",SUMIFS(RaceResults!$E:$E,RaceResults!$A:$A,A370,RaceResults!$D:$D,E370))</f>
        <v>0</v>
      </c>
    </row>
    <row r="371" spans="1:7" x14ac:dyDescent="0.3">
      <c r="A371">
        <v>13</v>
      </c>
      <c r="B371" t="s">
        <v>73</v>
      </c>
      <c r="C371" t="s">
        <v>26</v>
      </c>
      <c r="D371">
        <v>1</v>
      </c>
      <c r="E371">
        <f>WeeklyPicks!D125</f>
        <v>11</v>
      </c>
      <c r="F371">
        <f>IF(E371="","",SUMIFS(RaceResults!$C:$C,RaceResults!$A:$A,A371,RaceResults!$D:$D,E371))</f>
        <v>0</v>
      </c>
      <c r="G371">
        <f>IF(E371="","",SUMIFS(RaceResults!$E:$E,RaceResults!$A:$A,A371,RaceResults!$D:$D,E371))</f>
        <v>0</v>
      </c>
    </row>
    <row r="372" spans="1:7" x14ac:dyDescent="0.3">
      <c r="A372">
        <v>13</v>
      </c>
      <c r="B372" t="s">
        <v>73</v>
      </c>
      <c r="C372" t="s">
        <v>26</v>
      </c>
      <c r="D372">
        <v>2</v>
      </c>
      <c r="E372">
        <f>WeeklyPicks!E125</f>
        <v>45</v>
      </c>
      <c r="F372">
        <f>IF(E372="","",SUMIFS(RaceResults!$C:$C,RaceResults!$A:$A,A372,RaceResults!$D:$D,E372))</f>
        <v>0</v>
      </c>
      <c r="G372">
        <f>IF(E372="","",SUMIFS(RaceResults!$E:$E,RaceResults!$A:$A,A372,RaceResults!$D:$D,E372))</f>
        <v>0</v>
      </c>
    </row>
    <row r="373" spans="1:7" x14ac:dyDescent="0.3">
      <c r="A373">
        <v>13</v>
      </c>
      <c r="B373" t="s">
        <v>73</v>
      </c>
      <c r="C373" t="s">
        <v>26</v>
      </c>
      <c r="D373">
        <v>3</v>
      </c>
      <c r="E373">
        <f>WeeklyPicks!F125</f>
        <v>12</v>
      </c>
      <c r="F373">
        <f>IF(E373="","",SUMIFS(RaceResults!$C:$C,RaceResults!$A:$A,A373,RaceResults!$D:$D,E373))</f>
        <v>0</v>
      </c>
      <c r="G373">
        <f>IF(E373="","",SUMIFS(RaceResults!$E:$E,RaceResults!$A:$A,A373,RaceResults!$D:$D,E373))</f>
        <v>0</v>
      </c>
    </row>
    <row r="374" spans="1:7" x14ac:dyDescent="0.3">
      <c r="A374">
        <v>13</v>
      </c>
      <c r="B374" t="s">
        <v>73</v>
      </c>
      <c r="C374" t="s">
        <v>27</v>
      </c>
      <c r="D374">
        <v>1</v>
      </c>
      <c r="E374">
        <f>WeeklyPicks!D126</f>
        <v>45</v>
      </c>
      <c r="F374">
        <f>IF(E374="","",SUMIFS(RaceResults!$C:$C,RaceResults!$A:$A,A374,RaceResults!$D:$D,E374))</f>
        <v>0</v>
      </c>
      <c r="G374">
        <f>IF(E374="","",SUMIFS(RaceResults!$E:$E,RaceResults!$A:$A,A374,RaceResults!$D:$D,E374))</f>
        <v>0</v>
      </c>
    </row>
    <row r="375" spans="1:7" x14ac:dyDescent="0.3">
      <c r="A375">
        <v>13</v>
      </c>
      <c r="B375" t="s">
        <v>73</v>
      </c>
      <c r="C375" t="s">
        <v>27</v>
      </c>
      <c r="D375">
        <v>2</v>
      </c>
      <c r="E375">
        <f>WeeklyPicks!E126</f>
        <v>12</v>
      </c>
      <c r="F375">
        <f>IF(E375="","",SUMIFS(RaceResults!$C:$C,RaceResults!$A:$A,A375,RaceResults!$D:$D,E375))</f>
        <v>0</v>
      </c>
      <c r="G375">
        <f>IF(E375="","",SUMIFS(RaceResults!$E:$E,RaceResults!$A:$A,A375,RaceResults!$D:$D,E375))</f>
        <v>0</v>
      </c>
    </row>
    <row r="376" spans="1:7" x14ac:dyDescent="0.3">
      <c r="A376">
        <v>13</v>
      </c>
      <c r="B376" t="s">
        <v>73</v>
      </c>
      <c r="C376" t="s">
        <v>27</v>
      </c>
      <c r="D376">
        <v>3</v>
      </c>
      <c r="E376">
        <f>WeeklyPicks!F126</f>
        <v>2</v>
      </c>
      <c r="F376">
        <f>IF(E376="","",SUMIFS(RaceResults!$C:$C,RaceResults!$A:$A,A376,RaceResults!$D:$D,E376))</f>
        <v>0</v>
      </c>
      <c r="G376">
        <f>IF(E376="","",SUMIFS(RaceResults!$E:$E,RaceResults!$A:$A,A376,RaceResults!$D:$D,E376))</f>
        <v>0</v>
      </c>
    </row>
    <row r="377" spans="1:7" x14ac:dyDescent="0.3">
      <c r="A377">
        <v>13</v>
      </c>
      <c r="B377" t="s">
        <v>73</v>
      </c>
      <c r="C377" t="s">
        <v>28</v>
      </c>
      <c r="D377">
        <v>1</v>
      </c>
      <c r="E377">
        <f>WeeklyPicks!D127</f>
        <v>23</v>
      </c>
      <c r="F377">
        <f>IF(E377="","",SUMIFS(RaceResults!$C:$C,RaceResults!$A:$A,A377,RaceResults!$D:$D,E377))</f>
        <v>0</v>
      </c>
      <c r="G377">
        <f>IF(E377="","",SUMIFS(RaceResults!$E:$E,RaceResults!$A:$A,A377,RaceResults!$D:$D,E377))</f>
        <v>0</v>
      </c>
    </row>
    <row r="378" spans="1:7" x14ac:dyDescent="0.3">
      <c r="A378">
        <v>13</v>
      </c>
      <c r="B378" t="s">
        <v>73</v>
      </c>
      <c r="C378" t="s">
        <v>28</v>
      </c>
      <c r="D378">
        <v>2</v>
      </c>
      <c r="E378">
        <f>WeeklyPicks!E127</f>
        <v>5</v>
      </c>
      <c r="F378">
        <f>IF(E378="","",SUMIFS(RaceResults!$C:$C,RaceResults!$A:$A,A378,RaceResults!$D:$D,E378))</f>
        <v>0</v>
      </c>
      <c r="G378">
        <f>IF(E378="","",SUMIFS(RaceResults!$E:$E,RaceResults!$A:$A,A378,RaceResults!$D:$D,E378))</f>
        <v>0</v>
      </c>
    </row>
    <row r="379" spans="1:7" x14ac:dyDescent="0.3">
      <c r="A379">
        <v>13</v>
      </c>
      <c r="B379" t="s">
        <v>73</v>
      </c>
      <c r="C379" t="s">
        <v>28</v>
      </c>
      <c r="D379">
        <v>3</v>
      </c>
      <c r="E379">
        <f>WeeklyPicks!F127</f>
        <v>11</v>
      </c>
      <c r="F379">
        <f>IF(E379="","",SUMIFS(RaceResults!$C:$C,RaceResults!$A:$A,A379,RaceResults!$D:$D,E379))</f>
        <v>0</v>
      </c>
      <c r="G379">
        <f>IF(E379="","",SUMIFS(RaceResults!$E:$E,RaceResults!$A:$A,A379,RaceResults!$D:$D,E379))</f>
        <v>0</v>
      </c>
    </row>
    <row r="380" spans="1:7" x14ac:dyDescent="0.3">
      <c r="A380">
        <v>13</v>
      </c>
      <c r="B380" t="s">
        <v>73</v>
      </c>
      <c r="C380" t="s">
        <v>29</v>
      </c>
      <c r="D380">
        <v>1</v>
      </c>
      <c r="E380">
        <f>WeeklyPicks!D128</f>
        <v>9</v>
      </c>
      <c r="F380">
        <f>IF(E380="","",SUMIFS(RaceResults!$C:$C,RaceResults!$A:$A,A380,RaceResults!$D:$D,E380))</f>
        <v>0</v>
      </c>
      <c r="G380">
        <f>IF(E380="","",SUMIFS(RaceResults!$E:$E,RaceResults!$A:$A,A380,RaceResults!$D:$D,E380))</f>
        <v>0</v>
      </c>
    </row>
    <row r="381" spans="1:7" x14ac:dyDescent="0.3">
      <c r="A381">
        <v>13</v>
      </c>
      <c r="B381" t="s">
        <v>73</v>
      </c>
      <c r="C381" t="s">
        <v>29</v>
      </c>
      <c r="D381">
        <v>2</v>
      </c>
      <c r="E381">
        <f>WeeklyPicks!E128</f>
        <v>5</v>
      </c>
      <c r="F381">
        <f>IF(E381="","",SUMIFS(RaceResults!$C:$C,RaceResults!$A:$A,A381,RaceResults!$D:$D,E381))</f>
        <v>0</v>
      </c>
      <c r="G381">
        <f>IF(E381="","",SUMIFS(RaceResults!$E:$E,RaceResults!$A:$A,A381,RaceResults!$D:$D,E381))</f>
        <v>0</v>
      </c>
    </row>
    <row r="382" spans="1:7" x14ac:dyDescent="0.3">
      <c r="A382">
        <v>13</v>
      </c>
      <c r="B382" t="s">
        <v>73</v>
      </c>
      <c r="C382" t="s">
        <v>29</v>
      </c>
      <c r="D382">
        <v>3</v>
      </c>
      <c r="E382">
        <f>WeeklyPicks!F128</f>
        <v>48</v>
      </c>
      <c r="F382">
        <f>IF(E382="","",SUMIFS(RaceResults!$C:$C,RaceResults!$A:$A,A382,RaceResults!$D:$D,E382))</f>
        <v>0</v>
      </c>
      <c r="G382">
        <f>IF(E382="","",SUMIFS(RaceResults!$E:$E,RaceResults!$A:$A,A382,RaceResults!$D:$D,E382))</f>
        <v>0</v>
      </c>
    </row>
    <row r="383" spans="1:7" x14ac:dyDescent="0.3">
      <c r="A383">
        <v>13</v>
      </c>
      <c r="B383" t="s">
        <v>73</v>
      </c>
      <c r="C383" t="s">
        <v>30</v>
      </c>
      <c r="D383">
        <v>1</v>
      </c>
      <c r="E383">
        <f>WeeklyPicks!D129</f>
        <v>0</v>
      </c>
      <c r="F383">
        <f>IF(E383="","",SUMIFS(RaceResults!$C:$C,RaceResults!$A:$A,A383,RaceResults!$D:$D,E383))</f>
        <v>0</v>
      </c>
      <c r="G383">
        <f>IF(E383="","",SUMIFS(RaceResults!$E:$E,RaceResults!$A:$A,A383,RaceResults!$D:$D,E383))</f>
        <v>0</v>
      </c>
    </row>
    <row r="384" spans="1:7" x14ac:dyDescent="0.3">
      <c r="A384">
        <v>13</v>
      </c>
      <c r="B384" t="s">
        <v>73</v>
      </c>
      <c r="C384" t="s">
        <v>30</v>
      </c>
      <c r="D384">
        <v>2</v>
      </c>
      <c r="E384">
        <f>WeeklyPicks!E129</f>
        <v>0</v>
      </c>
      <c r="F384">
        <f>IF(E384="","",SUMIFS(RaceResults!$C:$C,RaceResults!$A:$A,A384,RaceResults!$D:$D,E384))</f>
        <v>0</v>
      </c>
      <c r="G384">
        <f>IF(E384="","",SUMIFS(RaceResults!$E:$E,RaceResults!$A:$A,A384,RaceResults!$D:$D,E384))</f>
        <v>0</v>
      </c>
    </row>
    <row r="385" spans="1:7" x14ac:dyDescent="0.3">
      <c r="A385">
        <v>13</v>
      </c>
      <c r="B385" t="s">
        <v>73</v>
      </c>
      <c r="C385" t="s">
        <v>30</v>
      </c>
      <c r="D385">
        <v>3</v>
      </c>
      <c r="E385">
        <f>WeeklyPicks!F129</f>
        <v>0</v>
      </c>
      <c r="F385">
        <f>IF(E385="","",SUMIFS(RaceResults!$C:$C,RaceResults!$A:$A,A385,RaceResults!$D:$D,E385))</f>
        <v>0</v>
      </c>
      <c r="G385">
        <f>IF(E385="","",SUMIFS(RaceResults!$E:$E,RaceResults!$A:$A,A385,RaceResults!$D:$D,E385))</f>
        <v>0</v>
      </c>
    </row>
    <row r="386" spans="1:7" x14ac:dyDescent="0.3">
      <c r="A386">
        <v>13</v>
      </c>
      <c r="B386" t="s">
        <v>73</v>
      </c>
      <c r="C386" t="s">
        <v>31</v>
      </c>
      <c r="D386">
        <v>1</v>
      </c>
      <c r="E386">
        <f>WeeklyPicks!D130</f>
        <v>5</v>
      </c>
      <c r="F386">
        <f>IF(E386="","",SUMIFS(RaceResults!$C:$C,RaceResults!$A:$A,A386,RaceResults!$D:$D,E386))</f>
        <v>0</v>
      </c>
      <c r="G386">
        <f>IF(E386="","",SUMIFS(RaceResults!$E:$E,RaceResults!$A:$A,A386,RaceResults!$D:$D,E386))</f>
        <v>0</v>
      </c>
    </row>
    <row r="387" spans="1:7" x14ac:dyDescent="0.3">
      <c r="A387">
        <v>13</v>
      </c>
      <c r="B387" t="s">
        <v>73</v>
      </c>
      <c r="C387" t="s">
        <v>31</v>
      </c>
      <c r="D387">
        <v>2</v>
      </c>
      <c r="E387">
        <f>WeeklyPicks!E130</f>
        <v>11</v>
      </c>
      <c r="F387">
        <f>IF(E387="","",SUMIFS(RaceResults!$C:$C,RaceResults!$A:$A,A387,RaceResults!$D:$D,E387))</f>
        <v>0</v>
      </c>
      <c r="G387">
        <f>IF(E387="","",SUMIFS(RaceResults!$E:$E,RaceResults!$A:$A,A387,RaceResults!$D:$D,E387))</f>
        <v>0</v>
      </c>
    </row>
    <row r="388" spans="1:7" x14ac:dyDescent="0.3">
      <c r="A388">
        <v>13</v>
      </c>
      <c r="B388" t="s">
        <v>73</v>
      </c>
      <c r="C388" t="s">
        <v>31</v>
      </c>
      <c r="D388">
        <v>3</v>
      </c>
      <c r="E388">
        <f>WeeklyPicks!F130</f>
        <v>12</v>
      </c>
      <c r="F388">
        <f>IF(E388="","",SUMIFS(RaceResults!$C:$C,RaceResults!$A:$A,A388,RaceResults!$D:$D,E388))</f>
        <v>0</v>
      </c>
      <c r="G388">
        <f>IF(E388="","",SUMIFS(RaceResults!$E:$E,RaceResults!$A:$A,A388,RaceResults!$D:$D,E388))</f>
        <v>0</v>
      </c>
    </row>
    <row r="389" spans="1:7" x14ac:dyDescent="0.3">
      <c r="A389">
        <v>13</v>
      </c>
      <c r="B389" t="s">
        <v>73</v>
      </c>
      <c r="C389" t="s">
        <v>32</v>
      </c>
      <c r="D389">
        <v>1</v>
      </c>
      <c r="E389">
        <f>WeeklyPicks!D131</f>
        <v>54</v>
      </c>
      <c r="F389">
        <f>IF(E389="","",SUMIFS(RaceResults!$C:$C,RaceResults!$A:$A,A389,RaceResults!$D:$D,E389))</f>
        <v>0</v>
      </c>
      <c r="G389">
        <f>IF(E389="","",SUMIFS(RaceResults!$E:$E,RaceResults!$A:$A,A389,RaceResults!$D:$D,E389))</f>
        <v>0</v>
      </c>
    </row>
    <row r="390" spans="1:7" x14ac:dyDescent="0.3">
      <c r="A390">
        <v>13</v>
      </c>
      <c r="B390" t="s">
        <v>73</v>
      </c>
      <c r="C390" t="s">
        <v>32</v>
      </c>
      <c r="D390">
        <v>2</v>
      </c>
      <c r="E390">
        <f>WeeklyPicks!E131</f>
        <v>45</v>
      </c>
      <c r="F390">
        <f>IF(E390="","",SUMIFS(RaceResults!$C:$C,RaceResults!$A:$A,A390,RaceResults!$D:$D,E390))</f>
        <v>0</v>
      </c>
      <c r="G390">
        <f>IF(E390="","",SUMIFS(RaceResults!$E:$E,RaceResults!$A:$A,A390,RaceResults!$D:$D,E390))</f>
        <v>0</v>
      </c>
    </row>
    <row r="391" spans="1:7" x14ac:dyDescent="0.3">
      <c r="A391">
        <v>13</v>
      </c>
      <c r="B391" t="s">
        <v>73</v>
      </c>
      <c r="C391" t="s">
        <v>32</v>
      </c>
      <c r="D391">
        <v>3</v>
      </c>
      <c r="E391">
        <f>WeeklyPicks!F131</f>
        <v>19</v>
      </c>
      <c r="F391">
        <f>IF(E391="","",SUMIFS(RaceResults!$C:$C,RaceResults!$A:$A,A391,RaceResults!$D:$D,E391))</f>
        <v>0</v>
      </c>
      <c r="G391">
        <f>IF(E391="","",SUMIFS(RaceResults!$E:$E,RaceResults!$A:$A,A391,RaceResults!$D:$D,E391))</f>
        <v>0</v>
      </c>
    </row>
    <row r="392" spans="1:7" x14ac:dyDescent="0.3">
      <c r="A392">
        <v>14</v>
      </c>
      <c r="B392" t="s">
        <v>76</v>
      </c>
      <c r="C392" t="s">
        <v>21</v>
      </c>
      <c r="D392">
        <v>1</v>
      </c>
      <c r="E392">
        <f>WeeklyPicks!D132</f>
        <v>0</v>
      </c>
      <c r="F392">
        <f>IF(E392="","",SUMIFS(RaceResults!$C:$C,RaceResults!$A:$A,A392,RaceResults!$D:$D,E392))</f>
        <v>0</v>
      </c>
      <c r="G392">
        <f>IF(E392="","",SUMIFS(RaceResults!$E:$E,RaceResults!$A:$A,A392,RaceResults!$D:$D,E392))</f>
        <v>0</v>
      </c>
    </row>
    <row r="393" spans="1:7" x14ac:dyDescent="0.3">
      <c r="A393">
        <v>14</v>
      </c>
      <c r="B393" t="s">
        <v>76</v>
      </c>
      <c r="C393" t="s">
        <v>21</v>
      </c>
      <c r="D393">
        <v>2</v>
      </c>
      <c r="E393">
        <f>WeeklyPicks!E132</f>
        <v>0</v>
      </c>
      <c r="F393">
        <f>IF(E393="","",SUMIFS(RaceResults!$C:$C,RaceResults!$A:$A,A393,RaceResults!$D:$D,E393))</f>
        <v>0</v>
      </c>
      <c r="G393">
        <f>IF(E393="","",SUMIFS(RaceResults!$E:$E,RaceResults!$A:$A,A393,RaceResults!$D:$D,E393))</f>
        <v>0</v>
      </c>
    </row>
    <row r="394" spans="1:7" x14ac:dyDescent="0.3">
      <c r="A394">
        <v>14</v>
      </c>
      <c r="B394" t="s">
        <v>76</v>
      </c>
      <c r="C394" t="s">
        <v>21</v>
      </c>
      <c r="D394">
        <v>3</v>
      </c>
      <c r="E394">
        <f>WeeklyPicks!F132</f>
        <v>0</v>
      </c>
      <c r="F394">
        <f>IF(E394="","",SUMIFS(RaceResults!$C:$C,RaceResults!$A:$A,A394,RaceResults!$D:$D,E394))</f>
        <v>0</v>
      </c>
      <c r="G394">
        <f>IF(E394="","",SUMIFS(RaceResults!$E:$E,RaceResults!$A:$A,A394,RaceResults!$D:$D,E394))</f>
        <v>0</v>
      </c>
    </row>
    <row r="395" spans="1:7" x14ac:dyDescent="0.3">
      <c r="A395">
        <v>14</v>
      </c>
      <c r="B395" t="s">
        <v>76</v>
      </c>
      <c r="C395" t="s">
        <v>22</v>
      </c>
      <c r="D395">
        <v>1</v>
      </c>
      <c r="E395">
        <f>WeeklyPicks!D133</f>
        <v>0</v>
      </c>
      <c r="F395">
        <f>IF(E395="","",SUMIFS(RaceResults!$C:$C,RaceResults!$A:$A,A395,RaceResults!$D:$D,E395))</f>
        <v>0</v>
      </c>
      <c r="G395">
        <f>IF(E395="","",SUMIFS(RaceResults!$E:$E,RaceResults!$A:$A,A395,RaceResults!$D:$D,E395))</f>
        <v>0</v>
      </c>
    </row>
    <row r="396" spans="1:7" x14ac:dyDescent="0.3">
      <c r="A396">
        <v>14</v>
      </c>
      <c r="B396" t="s">
        <v>76</v>
      </c>
      <c r="C396" t="s">
        <v>22</v>
      </c>
      <c r="D396">
        <v>2</v>
      </c>
      <c r="E396">
        <f>WeeklyPicks!E133</f>
        <v>0</v>
      </c>
      <c r="F396">
        <f>IF(E396="","",SUMIFS(RaceResults!$C:$C,RaceResults!$A:$A,A396,RaceResults!$D:$D,E396))</f>
        <v>0</v>
      </c>
      <c r="G396">
        <f>IF(E396="","",SUMIFS(RaceResults!$E:$E,RaceResults!$A:$A,A396,RaceResults!$D:$D,E396))</f>
        <v>0</v>
      </c>
    </row>
    <row r="397" spans="1:7" x14ac:dyDescent="0.3">
      <c r="A397">
        <v>14</v>
      </c>
      <c r="B397" t="s">
        <v>76</v>
      </c>
      <c r="C397" t="s">
        <v>22</v>
      </c>
      <c r="D397">
        <v>3</v>
      </c>
      <c r="E397">
        <f>WeeklyPicks!F133</f>
        <v>0</v>
      </c>
      <c r="F397">
        <f>IF(E397="","",SUMIFS(RaceResults!$C:$C,RaceResults!$A:$A,A397,RaceResults!$D:$D,E397))</f>
        <v>0</v>
      </c>
      <c r="G397">
        <f>IF(E397="","",SUMIFS(RaceResults!$E:$E,RaceResults!$A:$A,A397,RaceResults!$D:$D,E397))</f>
        <v>0</v>
      </c>
    </row>
    <row r="398" spans="1:7" x14ac:dyDescent="0.3">
      <c r="A398">
        <v>14</v>
      </c>
      <c r="B398" t="s">
        <v>76</v>
      </c>
      <c r="C398" t="s">
        <v>25</v>
      </c>
      <c r="D398">
        <v>1</v>
      </c>
      <c r="E398">
        <f>WeeklyPicks!D134</f>
        <v>0</v>
      </c>
      <c r="F398">
        <f>IF(E398="","",SUMIFS(RaceResults!$C:$C,RaceResults!$A:$A,A398,RaceResults!$D:$D,E398))</f>
        <v>0</v>
      </c>
      <c r="G398">
        <f>IF(E398="","",SUMIFS(RaceResults!$E:$E,RaceResults!$A:$A,A398,RaceResults!$D:$D,E398))</f>
        <v>0</v>
      </c>
    </row>
    <row r="399" spans="1:7" x14ac:dyDescent="0.3">
      <c r="A399">
        <v>14</v>
      </c>
      <c r="B399" t="s">
        <v>76</v>
      </c>
      <c r="C399" t="s">
        <v>25</v>
      </c>
      <c r="D399">
        <v>2</v>
      </c>
      <c r="E399">
        <f>WeeklyPicks!E134</f>
        <v>0</v>
      </c>
      <c r="F399">
        <f>IF(E399="","",SUMIFS(RaceResults!$C:$C,RaceResults!$A:$A,A399,RaceResults!$D:$D,E399))</f>
        <v>0</v>
      </c>
      <c r="G399">
        <f>IF(E399="","",SUMIFS(RaceResults!$E:$E,RaceResults!$A:$A,A399,RaceResults!$D:$D,E399))</f>
        <v>0</v>
      </c>
    </row>
    <row r="400" spans="1:7" x14ac:dyDescent="0.3">
      <c r="A400">
        <v>14</v>
      </c>
      <c r="B400" t="s">
        <v>76</v>
      </c>
      <c r="C400" t="s">
        <v>25</v>
      </c>
      <c r="D400">
        <v>3</v>
      </c>
      <c r="E400">
        <f>WeeklyPicks!F134</f>
        <v>0</v>
      </c>
      <c r="F400">
        <f>IF(E400="","",SUMIFS(RaceResults!$C:$C,RaceResults!$A:$A,A400,RaceResults!$D:$D,E400))</f>
        <v>0</v>
      </c>
      <c r="G400">
        <f>IF(E400="","",SUMIFS(RaceResults!$E:$E,RaceResults!$A:$A,A400,RaceResults!$D:$D,E400))</f>
        <v>0</v>
      </c>
    </row>
    <row r="401" spans="1:7" x14ac:dyDescent="0.3">
      <c r="A401">
        <v>14</v>
      </c>
      <c r="B401" t="s">
        <v>76</v>
      </c>
      <c r="C401" t="s">
        <v>26</v>
      </c>
      <c r="D401">
        <v>1</v>
      </c>
      <c r="E401">
        <f>WeeklyPicks!D135</f>
        <v>0</v>
      </c>
      <c r="F401">
        <f>IF(E401="","",SUMIFS(RaceResults!$C:$C,RaceResults!$A:$A,A401,RaceResults!$D:$D,E401))</f>
        <v>0</v>
      </c>
      <c r="G401">
        <f>IF(E401="","",SUMIFS(RaceResults!$E:$E,RaceResults!$A:$A,A401,RaceResults!$D:$D,E401))</f>
        <v>0</v>
      </c>
    </row>
    <row r="402" spans="1:7" x14ac:dyDescent="0.3">
      <c r="A402">
        <v>14</v>
      </c>
      <c r="B402" t="s">
        <v>76</v>
      </c>
      <c r="C402" t="s">
        <v>26</v>
      </c>
      <c r="D402">
        <v>2</v>
      </c>
      <c r="E402">
        <f>WeeklyPicks!E135</f>
        <v>0</v>
      </c>
      <c r="F402">
        <f>IF(E402="","",SUMIFS(RaceResults!$C:$C,RaceResults!$A:$A,A402,RaceResults!$D:$D,E402))</f>
        <v>0</v>
      </c>
      <c r="G402">
        <f>IF(E402="","",SUMIFS(RaceResults!$E:$E,RaceResults!$A:$A,A402,RaceResults!$D:$D,E402))</f>
        <v>0</v>
      </c>
    </row>
    <row r="403" spans="1:7" x14ac:dyDescent="0.3">
      <c r="A403">
        <v>14</v>
      </c>
      <c r="B403" t="s">
        <v>76</v>
      </c>
      <c r="C403" t="s">
        <v>26</v>
      </c>
      <c r="D403">
        <v>3</v>
      </c>
      <c r="E403">
        <f>WeeklyPicks!F135</f>
        <v>0</v>
      </c>
      <c r="F403">
        <f>IF(E403="","",SUMIFS(RaceResults!$C:$C,RaceResults!$A:$A,A403,RaceResults!$D:$D,E403))</f>
        <v>0</v>
      </c>
      <c r="G403">
        <f>IF(E403="","",SUMIFS(RaceResults!$E:$E,RaceResults!$A:$A,A403,RaceResults!$D:$D,E403))</f>
        <v>0</v>
      </c>
    </row>
    <row r="404" spans="1:7" x14ac:dyDescent="0.3">
      <c r="A404">
        <v>14</v>
      </c>
      <c r="B404" t="s">
        <v>76</v>
      </c>
      <c r="C404" t="s">
        <v>27</v>
      </c>
      <c r="D404">
        <v>1</v>
      </c>
      <c r="E404">
        <f>WeeklyPicks!D136</f>
        <v>0</v>
      </c>
      <c r="F404">
        <f>IF(E404="","",SUMIFS(RaceResults!$C:$C,RaceResults!$A:$A,A404,RaceResults!$D:$D,E404))</f>
        <v>0</v>
      </c>
      <c r="G404">
        <f>IF(E404="","",SUMIFS(RaceResults!$E:$E,RaceResults!$A:$A,A404,RaceResults!$D:$D,E404))</f>
        <v>0</v>
      </c>
    </row>
    <row r="405" spans="1:7" x14ac:dyDescent="0.3">
      <c r="A405">
        <v>14</v>
      </c>
      <c r="B405" t="s">
        <v>76</v>
      </c>
      <c r="C405" t="s">
        <v>27</v>
      </c>
      <c r="D405">
        <v>2</v>
      </c>
      <c r="E405">
        <f>WeeklyPicks!E136</f>
        <v>0</v>
      </c>
      <c r="F405">
        <f>IF(E405="","",SUMIFS(RaceResults!$C:$C,RaceResults!$A:$A,A405,RaceResults!$D:$D,E405))</f>
        <v>0</v>
      </c>
      <c r="G405">
        <f>IF(E405="","",SUMIFS(RaceResults!$E:$E,RaceResults!$A:$A,A405,RaceResults!$D:$D,E405))</f>
        <v>0</v>
      </c>
    </row>
    <row r="406" spans="1:7" x14ac:dyDescent="0.3">
      <c r="A406">
        <v>14</v>
      </c>
      <c r="B406" t="s">
        <v>76</v>
      </c>
      <c r="C406" t="s">
        <v>27</v>
      </c>
      <c r="D406">
        <v>3</v>
      </c>
      <c r="E406">
        <f>WeeklyPicks!F136</f>
        <v>0</v>
      </c>
      <c r="F406">
        <f>IF(E406="","",SUMIFS(RaceResults!$C:$C,RaceResults!$A:$A,A406,RaceResults!$D:$D,E406))</f>
        <v>0</v>
      </c>
      <c r="G406">
        <f>IF(E406="","",SUMIFS(RaceResults!$E:$E,RaceResults!$A:$A,A406,RaceResults!$D:$D,E406))</f>
        <v>0</v>
      </c>
    </row>
    <row r="407" spans="1:7" x14ac:dyDescent="0.3">
      <c r="A407">
        <v>14</v>
      </c>
      <c r="B407" t="s">
        <v>76</v>
      </c>
      <c r="C407" t="s">
        <v>28</v>
      </c>
      <c r="D407">
        <v>1</v>
      </c>
      <c r="E407">
        <f>WeeklyPicks!D137</f>
        <v>0</v>
      </c>
      <c r="F407">
        <f>IF(E407="","",SUMIFS(RaceResults!$C:$C,RaceResults!$A:$A,A407,RaceResults!$D:$D,E407))</f>
        <v>0</v>
      </c>
      <c r="G407">
        <f>IF(E407="","",SUMIFS(RaceResults!$E:$E,RaceResults!$A:$A,A407,RaceResults!$D:$D,E407))</f>
        <v>0</v>
      </c>
    </row>
    <row r="408" spans="1:7" x14ac:dyDescent="0.3">
      <c r="A408">
        <v>14</v>
      </c>
      <c r="B408" t="s">
        <v>76</v>
      </c>
      <c r="C408" t="s">
        <v>28</v>
      </c>
      <c r="D408">
        <v>2</v>
      </c>
      <c r="E408">
        <f>WeeklyPicks!E137</f>
        <v>0</v>
      </c>
      <c r="F408">
        <f>IF(E408="","",SUMIFS(RaceResults!$C:$C,RaceResults!$A:$A,A408,RaceResults!$D:$D,E408))</f>
        <v>0</v>
      </c>
      <c r="G408">
        <f>IF(E408="","",SUMIFS(RaceResults!$E:$E,RaceResults!$A:$A,A408,RaceResults!$D:$D,E408))</f>
        <v>0</v>
      </c>
    </row>
    <row r="409" spans="1:7" x14ac:dyDescent="0.3">
      <c r="A409">
        <v>14</v>
      </c>
      <c r="B409" t="s">
        <v>76</v>
      </c>
      <c r="C409" t="s">
        <v>28</v>
      </c>
      <c r="D409">
        <v>3</v>
      </c>
      <c r="E409">
        <f>WeeklyPicks!F137</f>
        <v>0</v>
      </c>
      <c r="F409">
        <f>IF(E409="","",SUMIFS(RaceResults!$C:$C,RaceResults!$A:$A,A409,RaceResults!$D:$D,E409))</f>
        <v>0</v>
      </c>
      <c r="G409">
        <f>IF(E409="","",SUMIFS(RaceResults!$E:$E,RaceResults!$A:$A,A409,RaceResults!$D:$D,E409))</f>
        <v>0</v>
      </c>
    </row>
    <row r="410" spans="1:7" x14ac:dyDescent="0.3">
      <c r="A410">
        <v>14</v>
      </c>
      <c r="B410" t="s">
        <v>76</v>
      </c>
      <c r="C410" t="s">
        <v>29</v>
      </c>
      <c r="D410">
        <v>1</v>
      </c>
      <c r="E410">
        <f>WeeklyPicks!D138</f>
        <v>0</v>
      </c>
      <c r="F410">
        <f>IF(E410="","",SUMIFS(RaceResults!$C:$C,RaceResults!$A:$A,A410,RaceResults!$D:$D,E410))</f>
        <v>0</v>
      </c>
      <c r="G410">
        <f>IF(E410="","",SUMIFS(RaceResults!$E:$E,RaceResults!$A:$A,A410,RaceResults!$D:$D,E410))</f>
        <v>0</v>
      </c>
    </row>
    <row r="411" spans="1:7" x14ac:dyDescent="0.3">
      <c r="A411">
        <v>14</v>
      </c>
      <c r="B411" t="s">
        <v>76</v>
      </c>
      <c r="C411" t="s">
        <v>29</v>
      </c>
      <c r="D411">
        <v>2</v>
      </c>
      <c r="E411">
        <f>WeeklyPicks!E138</f>
        <v>0</v>
      </c>
      <c r="F411">
        <f>IF(E411="","",SUMIFS(RaceResults!$C:$C,RaceResults!$A:$A,A411,RaceResults!$D:$D,E411))</f>
        <v>0</v>
      </c>
      <c r="G411">
        <f>IF(E411="","",SUMIFS(RaceResults!$E:$E,RaceResults!$A:$A,A411,RaceResults!$D:$D,E411))</f>
        <v>0</v>
      </c>
    </row>
    <row r="412" spans="1:7" x14ac:dyDescent="0.3">
      <c r="A412">
        <v>14</v>
      </c>
      <c r="B412" t="s">
        <v>76</v>
      </c>
      <c r="C412" t="s">
        <v>29</v>
      </c>
      <c r="D412">
        <v>3</v>
      </c>
      <c r="E412">
        <f>WeeklyPicks!F138</f>
        <v>0</v>
      </c>
      <c r="F412">
        <f>IF(E412="","",SUMIFS(RaceResults!$C:$C,RaceResults!$A:$A,A412,RaceResults!$D:$D,E412))</f>
        <v>0</v>
      </c>
      <c r="G412">
        <f>IF(E412="","",SUMIFS(RaceResults!$E:$E,RaceResults!$A:$A,A412,RaceResults!$D:$D,E412))</f>
        <v>0</v>
      </c>
    </row>
    <row r="413" spans="1:7" x14ac:dyDescent="0.3">
      <c r="A413">
        <v>14</v>
      </c>
      <c r="B413" t="s">
        <v>76</v>
      </c>
      <c r="C413" t="s">
        <v>30</v>
      </c>
      <c r="D413">
        <v>1</v>
      </c>
      <c r="E413">
        <f>WeeklyPicks!D139</f>
        <v>0</v>
      </c>
      <c r="F413">
        <f>IF(E413="","",SUMIFS(RaceResults!$C:$C,RaceResults!$A:$A,A413,RaceResults!$D:$D,E413))</f>
        <v>0</v>
      </c>
      <c r="G413">
        <f>IF(E413="","",SUMIFS(RaceResults!$E:$E,RaceResults!$A:$A,A413,RaceResults!$D:$D,E413))</f>
        <v>0</v>
      </c>
    </row>
    <row r="414" spans="1:7" x14ac:dyDescent="0.3">
      <c r="A414">
        <v>14</v>
      </c>
      <c r="B414" t="s">
        <v>76</v>
      </c>
      <c r="C414" t="s">
        <v>30</v>
      </c>
      <c r="D414">
        <v>2</v>
      </c>
      <c r="E414">
        <f>WeeklyPicks!E139</f>
        <v>0</v>
      </c>
      <c r="F414">
        <f>IF(E414="","",SUMIFS(RaceResults!$C:$C,RaceResults!$A:$A,A414,RaceResults!$D:$D,E414))</f>
        <v>0</v>
      </c>
      <c r="G414">
        <f>IF(E414="","",SUMIFS(RaceResults!$E:$E,RaceResults!$A:$A,A414,RaceResults!$D:$D,E414))</f>
        <v>0</v>
      </c>
    </row>
    <row r="415" spans="1:7" x14ac:dyDescent="0.3">
      <c r="A415">
        <v>14</v>
      </c>
      <c r="B415" t="s">
        <v>76</v>
      </c>
      <c r="C415" t="s">
        <v>30</v>
      </c>
      <c r="D415">
        <v>3</v>
      </c>
      <c r="E415">
        <f>WeeklyPicks!F139</f>
        <v>0</v>
      </c>
      <c r="F415">
        <f>IF(E415="","",SUMIFS(RaceResults!$C:$C,RaceResults!$A:$A,A415,RaceResults!$D:$D,E415))</f>
        <v>0</v>
      </c>
      <c r="G415">
        <f>IF(E415="","",SUMIFS(RaceResults!$E:$E,RaceResults!$A:$A,A415,RaceResults!$D:$D,E415))</f>
        <v>0</v>
      </c>
    </row>
    <row r="416" spans="1:7" x14ac:dyDescent="0.3">
      <c r="A416">
        <v>14</v>
      </c>
      <c r="B416" t="s">
        <v>76</v>
      </c>
      <c r="C416" t="s">
        <v>31</v>
      </c>
      <c r="D416">
        <v>1</v>
      </c>
      <c r="E416">
        <f>WeeklyPicks!D140</f>
        <v>0</v>
      </c>
      <c r="F416">
        <f>IF(E416="","",SUMIFS(RaceResults!$C:$C,RaceResults!$A:$A,A416,RaceResults!$D:$D,E416))</f>
        <v>0</v>
      </c>
      <c r="G416">
        <f>IF(E416="","",SUMIFS(RaceResults!$E:$E,RaceResults!$A:$A,A416,RaceResults!$D:$D,E416))</f>
        <v>0</v>
      </c>
    </row>
    <row r="417" spans="1:7" x14ac:dyDescent="0.3">
      <c r="A417">
        <v>14</v>
      </c>
      <c r="B417" t="s">
        <v>76</v>
      </c>
      <c r="C417" t="s">
        <v>31</v>
      </c>
      <c r="D417">
        <v>2</v>
      </c>
      <c r="E417">
        <f>WeeklyPicks!E140</f>
        <v>0</v>
      </c>
      <c r="F417">
        <f>IF(E417="","",SUMIFS(RaceResults!$C:$C,RaceResults!$A:$A,A417,RaceResults!$D:$D,E417))</f>
        <v>0</v>
      </c>
      <c r="G417">
        <f>IF(E417="","",SUMIFS(RaceResults!$E:$E,RaceResults!$A:$A,A417,RaceResults!$D:$D,E417))</f>
        <v>0</v>
      </c>
    </row>
    <row r="418" spans="1:7" x14ac:dyDescent="0.3">
      <c r="A418">
        <v>14</v>
      </c>
      <c r="B418" t="s">
        <v>76</v>
      </c>
      <c r="C418" t="s">
        <v>31</v>
      </c>
      <c r="D418">
        <v>3</v>
      </c>
      <c r="E418">
        <f>WeeklyPicks!F140</f>
        <v>0</v>
      </c>
      <c r="F418">
        <f>IF(E418="","",SUMIFS(RaceResults!$C:$C,RaceResults!$A:$A,A418,RaceResults!$D:$D,E418))</f>
        <v>0</v>
      </c>
      <c r="G418">
        <f>IF(E418="","",SUMIFS(RaceResults!$E:$E,RaceResults!$A:$A,A418,RaceResults!$D:$D,E418))</f>
        <v>0</v>
      </c>
    </row>
    <row r="419" spans="1:7" x14ac:dyDescent="0.3">
      <c r="A419">
        <v>14</v>
      </c>
      <c r="B419" t="s">
        <v>76</v>
      </c>
      <c r="C419" t="s">
        <v>32</v>
      </c>
      <c r="D419">
        <v>1</v>
      </c>
      <c r="E419">
        <f>WeeklyPicks!D141</f>
        <v>0</v>
      </c>
      <c r="F419">
        <f>IF(E419="","",SUMIFS(RaceResults!$C:$C,RaceResults!$A:$A,A419,RaceResults!$D:$D,E419))</f>
        <v>0</v>
      </c>
      <c r="G419">
        <f>IF(E419="","",SUMIFS(RaceResults!$E:$E,RaceResults!$A:$A,A419,RaceResults!$D:$D,E419))</f>
        <v>0</v>
      </c>
    </row>
    <row r="420" spans="1:7" x14ac:dyDescent="0.3">
      <c r="A420">
        <v>14</v>
      </c>
      <c r="B420" t="s">
        <v>76</v>
      </c>
      <c r="C420" t="s">
        <v>32</v>
      </c>
      <c r="D420">
        <v>2</v>
      </c>
      <c r="E420">
        <f>WeeklyPicks!E141</f>
        <v>0</v>
      </c>
      <c r="F420">
        <f>IF(E420="","",SUMIFS(RaceResults!$C:$C,RaceResults!$A:$A,A420,RaceResults!$D:$D,E420))</f>
        <v>0</v>
      </c>
      <c r="G420">
        <f>IF(E420="","",SUMIFS(RaceResults!$E:$E,RaceResults!$A:$A,A420,RaceResults!$D:$D,E420))</f>
        <v>0</v>
      </c>
    </row>
    <row r="421" spans="1:7" x14ac:dyDescent="0.3">
      <c r="A421">
        <v>14</v>
      </c>
      <c r="B421" t="s">
        <v>76</v>
      </c>
      <c r="C421" t="s">
        <v>32</v>
      </c>
      <c r="D421">
        <v>3</v>
      </c>
      <c r="E421">
        <f>WeeklyPicks!F141</f>
        <v>0</v>
      </c>
      <c r="F421">
        <f>IF(E421="","",SUMIFS(RaceResults!$C:$C,RaceResults!$A:$A,A421,RaceResults!$D:$D,E421))</f>
        <v>0</v>
      </c>
      <c r="G421">
        <f>IF(E421="","",SUMIFS(RaceResults!$E:$E,RaceResults!$A:$A,A421,RaceResults!$D:$D,E421))</f>
        <v>0</v>
      </c>
    </row>
    <row r="422" spans="1:7" x14ac:dyDescent="0.3">
      <c r="A422">
        <v>15</v>
      </c>
      <c r="B422" t="s">
        <v>78</v>
      </c>
      <c r="C422" t="s">
        <v>21</v>
      </c>
      <c r="D422">
        <v>1</v>
      </c>
      <c r="E422">
        <f>WeeklyPicks!D142</f>
        <v>0</v>
      </c>
      <c r="F422">
        <f>IF(E422="","",SUMIFS(RaceResults!$C:$C,RaceResults!$A:$A,A422,RaceResults!$D:$D,E422))</f>
        <v>0</v>
      </c>
      <c r="G422">
        <f>IF(E422="","",SUMIFS(RaceResults!$E:$E,RaceResults!$A:$A,A422,RaceResults!$D:$D,E422))</f>
        <v>0</v>
      </c>
    </row>
    <row r="423" spans="1:7" x14ac:dyDescent="0.3">
      <c r="A423">
        <v>15</v>
      </c>
      <c r="B423" t="s">
        <v>78</v>
      </c>
      <c r="C423" t="s">
        <v>21</v>
      </c>
      <c r="D423">
        <v>2</v>
      </c>
      <c r="E423">
        <f>WeeklyPicks!E142</f>
        <v>0</v>
      </c>
      <c r="F423">
        <f>IF(E423="","",SUMIFS(RaceResults!$C:$C,RaceResults!$A:$A,A423,RaceResults!$D:$D,E423))</f>
        <v>0</v>
      </c>
      <c r="G423">
        <f>IF(E423="","",SUMIFS(RaceResults!$E:$E,RaceResults!$A:$A,A423,RaceResults!$D:$D,E423))</f>
        <v>0</v>
      </c>
    </row>
    <row r="424" spans="1:7" x14ac:dyDescent="0.3">
      <c r="A424">
        <v>15</v>
      </c>
      <c r="B424" t="s">
        <v>78</v>
      </c>
      <c r="C424" t="s">
        <v>21</v>
      </c>
      <c r="D424">
        <v>3</v>
      </c>
      <c r="E424">
        <f>WeeklyPicks!F142</f>
        <v>0</v>
      </c>
      <c r="F424">
        <f>IF(E424="","",SUMIFS(RaceResults!$C:$C,RaceResults!$A:$A,A424,RaceResults!$D:$D,E424))</f>
        <v>0</v>
      </c>
      <c r="G424">
        <f>IF(E424="","",SUMIFS(RaceResults!$E:$E,RaceResults!$A:$A,A424,RaceResults!$D:$D,E424))</f>
        <v>0</v>
      </c>
    </row>
    <row r="425" spans="1:7" x14ac:dyDescent="0.3">
      <c r="A425">
        <v>15</v>
      </c>
      <c r="B425" t="s">
        <v>78</v>
      </c>
      <c r="C425" t="s">
        <v>22</v>
      </c>
      <c r="D425">
        <v>1</v>
      </c>
      <c r="E425">
        <f>WeeklyPicks!D143</f>
        <v>0</v>
      </c>
      <c r="F425">
        <f>IF(E425="","",SUMIFS(RaceResults!$C:$C,RaceResults!$A:$A,A425,RaceResults!$D:$D,E425))</f>
        <v>0</v>
      </c>
      <c r="G425">
        <f>IF(E425="","",SUMIFS(RaceResults!$E:$E,RaceResults!$A:$A,A425,RaceResults!$D:$D,E425))</f>
        <v>0</v>
      </c>
    </row>
    <row r="426" spans="1:7" x14ac:dyDescent="0.3">
      <c r="A426">
        <v>15</v>
      </c>
      <c r="B426" t="s">
        <v>78</v>
      </c>
      <c r="C426" t="s">
        <v>22</v>
      </c>
      <c r="D426">
        <v>2</v>
      </c>
      <c r="E426">
        <f>WeeklyPicks!E143</f>
        <v>0</v>
      </c>
      <c r="F426">
        <f>IF(E426="","",SUMIFS(RaceResults!$C:$C,RaceResults!$A:$A,A426,RaceResults!$D:$D,E426))</f>
        <v>0</v>
      </c>
      <c r="G426">
        <f>IF(E426="","",SUMIFS(RaceResults!$E:$E,RaceResults!$A:$A,A426,RaceResults!$D:$D,E426))</f>
        <v>0</v>
      </c>
    </row>
    <row r="427" spans="1:7" x14ac:dyDescent="0.3">
      <c r="A427">
        <v>15</v>
      </c>
      <c r="B427" t="s">
        <v>78</v>
      </c>
      <c r="C427" t="s">
        <v>22</v>
      </c>
      <c r="D427">
        <v>3</v>
      </c>
      <c r="E427">
        <f>WeeklyPicks!F143</f>
        <v>0</v>
      </c>
      <c r="F427">
        <f>IF(E427="","",SUMIFS(RaceResults!$C:$C,RaceResults!$A:$A,A427,RaceResults!$D:$D,E427))</f>
        <v>0</v>
      </c>
      <c r="G427">
        <f>IF(E427="","",SUMIFS(RaceResults!$E:$E,RaceResults!$A:$A,A427,RaceResults!$D:$D,E427))</f>
        <v>0</v>
      </c>
    </row>
    <row r="428" spans="1:7" x14ac:dyDescent="0.3">
      <c r="A428">
        <v>15</v>
      </c>
      <c r="B428" t="s">
        <v>78</v>
      </c>
      <c r="C428" t="s">
        <v>25</v>
      </c>
      <c r="D428">
        <v>1</v>
      </c>
      <c r="E428">
        <f>WeeklyPicks!D144</f>
        <v>0</v>
      </c>
      <c r="F428">
        <f>IF(E428="","",SUMIFS(RaceResults!$C:$C,RaceResults!$A:$A,A428,RaceResults!$D:$D,E428))</f>
        <v>0</v>
      </c>
      <c r="G428">
        <f>IF(E428="","",SUMIFS(RaceResults!$E:$E,RaceResults!$A:$A,A428,RaceResults!$D:$D,E428))</f>
        <v>0</v>
      </c>
    </row>
    <row r="429" spans="1:7" x14ac:dyDescent="0.3">
      <c r="A429">
        <v>15</v>
      </c>
      <c r="B429" t="s">
        <v>78</v>
      </c>
      <c r="C429" t="s">
        <v>25</v>
      </c>
      <c r="D429">
        <v>2</v>
      </c>
      <c r="E429">
        <f>WeeklyPicks!E144</f>
        <v>0</v>
      </c>
      <c r="F429">
        <f>IF(E429="","",SUMIFS(RaceResults!$C:$C,RaceResults!$A:$A,A429,RaceResults!$D:$D,E429))</f>
        <v>0</v>
      </c>
      <c r="G429">
        <f>IF(E429="","",SUMIFS(RaceResults!$E:$E,RaceResults!$A:$A,A429,RaceResults!$D:$D,E429))</f>
        <v>0</v>
      </c>
    </row>
    <row r="430" spans="1:7" x14ac:dyDescent="0.3">
      <c r="A430">
        <v>15</v>
      </c>
      <c r="B430" t="s">
        <v>78</v>
      </c>
      <c r="C430" t="s">
        <v>25</v>
      </c>
      <c r="D430">
        <v>3</v>
      </c>
      <c r="E430">
        <f>WeeklyPicks!F144</f>
        <v>0</v>
      </c>
      <c r="F430">
        <f>IF(E430="","",SUMIFS(RaceResults!$C:$C,RaceResults!$A:$A,A430,RaceResults!$D:$D,E430))</f>
        <v>0</v>
      </c>
      <c r="G430">
        <f>IF(E430="","",SUMIFS(RaceResults!$E:$E,RaceResults!$A:$A,A430,RaceResults!$D:$D,E430))</f>
        <v>0</v>
      </c>
    </row>
    <row r="431" spans="1:7" x14ac:dyDescent="0.3">
      <c r="A431">
        <v>15</v>
      </c>
      <c r="B431" t="s">
        <v>78</v>
      </c>
      <c r="C431" t="s">
        <v>26</v>
      </c>
      <c r="D431">
        <v>1</v>
      </c>
      <c r="E431">
        <f>WeeklyPicks!D145</f>
        <v>0</v>
      </c>
      <c r="F431">
        <f>IF(E431="","",SUMIFS(RaceResults!$C:$C,RaceResults!$A:$A,A431,RaceResults!$D:$D,E431))</f>
        <v>0</v>
      </c>
      <c r="G431">
        <f>IF(E431="","",SUMIFS(RaceResults!$E:$E,RaceResults!$A:$A,A431,RaceResults!$D:$D,E431))</f>
        <v>0</v>
      </c>
    </row>
    <row r="432" spans="1:7" x14ac:dyDescent="0.3">
      <c r="A432">
        <v>15</v>
      </c>
      <c r="B432" t="s">
        <v>78</v>
      </c>
      <c r="C432" t="s">
        <v>26</v>
      </c>
      <c r="D432">
        <v>2</v>
      </c>
      <c r="E432">
        <f>WeeklyPicks!E145</f>
        <v>0</v>
      </c>
      <c r="F432">
        <f>IF(E432="","",SUMIFS(RaceResults!$C:$C,RaceResults!$A:$A,A432,RaceResults!$D:$D,E432))</f>
        <v>0</v>
      </c>
      <c r="G432">
        <f>IF(E432="","",SUMIFS(RaceResults!$E:$E,RaceResults!$A:$A,A432,RaceResults!$D:$D,E432))</f>
        <v>0</v>
      </c>
    </row>
    <row r="433" spans="1:7" x14ac:dyDescent="0.3">
      <c r="A433">
        <v>15</v>
      </c>
      <c r="B433" t="s">
        <v>78</v>
      </c>
      <c r="C433" t="s">
        <v>26</v>
      </c>
      <c r="D433">
        <v>3</v>
      </c>
      <c r="E433">
        <f>WeeklyPicks!F145</f>
        <v>0</v>
      </c>
      <c r="F433">
        <f>IF(E433="","",SUMIFS(RaceResults!$C:$C,RaceResults!$A:$A,A433,RaceResults!$D:$D,E433))</f>
        <v>0</v>
      </c>
      <c r="G433">
        <f>IF(E433="","",SUMIFS(RaceResults!$E:$E,RaceResults!$A:$A,A433,RaceResults!$D:$D,E433))</f>
        <v>0</v>
      </c>
    </row>
    <row r="434" spans="1:7" x14ac:dyDescent="0.3">
      <c r="A434">
        <v>15</v>
      </c>
      <c r="B434" t="s">
        <v>78</v>
      </c>
      <c r="C434" t="s">
        <v>27</v>
      </c>
      <c r="D434">
        <v>1</v>
      </c>
      <c r="E434">
        <f>WeeklyPicks!D146</f>
        <v>0</v>
      </c>
      <c r="F434">
        <f>IF(E434="","",SUMIFS(RaceResults!$C:$C,RaceResults!$A:$A,A434,RaceResults!$D:$D,E434))</f>
        <v>0</v>
      </c>
      <c r="G434">
        <f>IF(E434="","",SUMIFS(RaceResults!$E:$E,RaceResults!$A:$A,A434,RaceResults!$D:$D,E434))</f>
        <v>0</v>
      </c>
    </row>
    <row r="435" spans="1:7" x14ac:dyDescent="0.3">
      <c r="A435">
        <v>15</v>
      </c>
      <c r="B435" t="s">
        <v>78</v>
      </c>
      <c r="C435" t="s">
        <v>27</v>
      </c>
      <c r="D435">
        <v>2</v>
      </c>
      <c r="E435">
        <f>WeeklyPicks!E146</f>
        <v>0</v>
      </c>
      <c r="F435">
        <f>IF(E435="","",SUMIFS(RaceResults!$C:$C,RaceResults!$A:$A,A435,RaceResults!$D:$D,E435))</f>
        <v>0</v>
      </c>
      <c r="G435">
        <f>IF(E435="","",SUMIFS(RaceResults!$E:$E,RaceResults!$A:$A,A435,RaceResults!$D:$D,E435))</f>
        <v>0</v>
      </c>
    </row>
    <row r="436" spans="1:7" x14ac:dyDescent="0.3">
      <c r="A436">
        <v>15</v>
      </c>
      <c r="B436" t="s">
        <v>78</v>
      </c>
      <c r="C436" t="s">
        <v>27</v>
      </c>
      <c r="D436">
        <v>3</v>
      </c>
      <c r="E436">
        <f>WeeklyPicks!F146</f>
        <v>0</v>
      </c>
      <c r="F436">
        <f>IF(E436="","",SUMIFS(RaceResults!$C:$C,RaceResults!$A:$A,A436,RaceResults!$D:$D,E436))</f>
        <v>0</v>
      </c>
      <c r="G436">
        <f>IF(E436="","",SUMIFS(RaceResults!$E:$E,RaceResults!$A:$A,A436,RaceResults!$D:$D,E436))</f>
        <v>0</v>
      </c>
    </row>
    <row r="437" spans="1:7" x14ac:dyDescent="0.3">
      <c r="A437">
        <v>15</v>
      </c>
      <c r="B437" t="s">
        <v>78</v>
      </c>
      <c r="C437" t="s">
        <v>28</v>
      </c>
      <c r="D437">
        <v>1</v>
      </c>
      <c r="E437">
        <f>WeeklyPicks!D147</f>
        <v>0</v>
      </c>
      <c r="F437">
        <f>IF(E437="","",SUMIFS(RaceResults!$C:$C,RaceResults!$A:$A,A437,RaceResults!$D:$D,E437))</f>
        <v>0</v>
      </c>
      <c r="G437">
        <f>IF(E437="","",SUMIFS(RaceResults!$E:$E,RaceResults!$A:$A,A437,RaceResults!$D:$D,E437))</f>
        <v>0</v>
      </c>
    </row>
    <row r="438" spans="1:7" x14ac:dyDescent="0.3">
      <c r="A438">
        <v>15</v>
      </c>
      <c r="B438" t="s">
        <v>78</v>
      </c>
      <c r="C438" t="s">
        <v>28</v>
      </c>
      <c r="D438">
        <v>2</v>
      </c>
      <c r="E438">
        <f>WeeklyPicks!E147</f>
        <v>0</v>
      </c>
      <c r="F438">
        <f>IF(E438="","",SUMIFS(RaceResults!$C:$C,RaceResults!$A:$A,A438,RaceResults!$D:$D,E438))</f>
        <v>0</v>
      </c>
      <c r="G438">
        <f>IF(E438="","",SUMIFS(RaceResults!$E:$E,RaceResults!$A:$A,A438,RaceResults!$D:$D,E438))</f>
        <v>0</v>
      </c>
    </row>
    <row r="439" spans="1:7" x14ac:dyDescent="0.3">
      <c r="A439">
        <v>15</v>
      </c>
      <c r="B439" t="s">
        <v>78</v>
      </c>
      <c r="C439" t="s">
        <v>28</v>
      </c>
      <c r="D439">
        <v>3</v>
      </c>
      <c r="E439">
        <f>WeeklyPicks!F147</f>
        <v>0</v>
      </c>
      <c r="F439">
        <f>IF(E439="","",SUMIFS(RaceResults!$C:$C,RaceResults!$A:$A,A439,RaceResults!$D:$D,E439))</f>
        <v>0</v>
      </c>
      <c r="G439">
        <f>IF(E439="","",SUMIFS(RaceResults!$E:$E,RaceResults!$A:$A,A439,RaceResults!$D:$D,E439))</f>
        <v>0</v>
      </c>
    </row>
    <row r="440" spans="1:7" x14ac:dyDescent="0.3">
      <c r="A440">
        <v>15</v>
      </c>
      <c r="B440" t="s">
        <v>78</v>
      </c>
      <c r="C440" t="s">
        <v>29</v>
      </c>
      <c r="D440">
        <v>1</v>
      </c>
      <c r="E440">
        <f>WeeklyPicks!D148</f>
        <v>0</v>
      </c>
      <c r="F440">
        <f>IF(E440="","",SUMIFS(RaceResults!$C:$C,RaceResults!$A:$A,A440,RaceResults!$D:$D,E440))</f>
        <v>0</v>
      </c>
      <c r="G440">
        <f>IF(E440="","",SUMIFS(RaceResults!$E:$E,RaceResults!$A:$A,A440,RaceResults!$D:$D,E440))</f>
        <v>0</v>
      </c>
    </row>
    <row r="441" spans="1:7" x14ac:dyDescent="0.3">
      <c r="A441">
        <v>15</v>
      </c>
      <c r="B441" t="s">
        <v>78</v>
      </c>
      <c r="C441" t="s">
        <v>29</v>
      </c>
      <c r="D441">
        <v>2</v>
      </c>
      <c r="E441">
        <f>WeeklyPicks!E148</f>
        <v>0</v>
      </c>
      <c r="F441">
        <f>IF(E441="","",SUMIFS(RaceResults!$C:$C,RaceResults!$A:$A,A441,RaceResults!$D:$D,E441))</f>
        <v>0</v>
      </c>
      <c r="G441">
        <f>IF(E441="","",SUMIFS(RaceResults!$E:$E,RaceResults!$A:$A,A441,RaceResults!$D:$D,E441))</f>
        <v>0</v>
      </c>
    </row>
    <row r="442" spans="1:7" x14ac:dyDescent="0.3">
      <c r="A442">
        <v>15</v>
      </c>
      <c r="B442" t="s">
        <v>78</v>
      </c>
      <c r="C442" t="s">
        <v>29</v>
      </c>
      <c r="D442">
        <v>3</v>
      </c>
      <c r="E442">
        <f>WeeklyPicks!F148</f>
        <v>0</v>
      </c>
      <c r="F442">
        <f>IF(E442="","",SUMIFS(RaceResults!$C:$C,RaceResults!$A:$A,A442,RaceResults!$D:$D,E442))</f>
        <v>0</v>
      </c>
      <c r="G442">
        <f>IF(E442="","",SUMIFS(RaceResults!$E:$E,RaceResults!$A:$A,A442,RaceResults!$D:$D,E442))</f>
        <v>0</v>
      </c>
    </row>
    <row r="443" spans="1:7" x14ac:dyDescent="0.3">
      <c r="A443">
        <v>15</v>
      </c>
      <c r="B443" t="s">
        <v>78</v>
      </c>
      <c r="C443" t="s">
        <v>30</v>
      </c>
      <c r="D443">
        <v>1</v>
      </c>
      <c r="E443">
        <f>WeeklyPicks!D149</f>
        <v>0</v>
      </c>
      <c r="F443">
        <f>IF(E443="","",SUMIFS(RaceResults!$C:$C,RaceResults!$A:$A,A443,RaceResults!$D:$D,E443))</f>
        <v>0</v>
      </c>
      <c r="G443">
        <f>IF(E443="","",SUMIFS(RaceResults!$E:$E,RaceResults!$A:$A,A443,RaceResults!$D:$D,E443))</f>
        <v>0</v>
      </c>
    </row>
    <row r="444" spans="1:7" x14ac:dyDescent="0.3">
      <c r="A444">
        <v>15</v>
      </c>
      <c r="B444" t="s">
        <v>78</v>
      </c>
      <c r="C444" t="s">
        <v>30</v>
      </c>
      <c r="D444">
        <v>2</v>
      </c>
      <c r="E444">
        <f>WeeklyPicks!E149</f>
        <v>0</v>
      </c>
      <c r="F444">
        <f>IF(E444="","",SUMIFS(RaceResults!$C:$C,RaceResults!$A:$A,A444,RaceResults!$D:$D,E444))</f>
        <v>0</v>
      </c>
      <c r="G444">
        <f>IF(E444="","",SUMIFS(RaceResults!$E:$E,RaceResults!$A:$A,A444,RaceResults!$D:$D,E444))</f>
        <v>0</v>
      </c>
    </row>
    <row r="445" spans="1:7" x14ac:dyDescent="0.3">
      <c r="A445">
        <v>15</v>
      </c>
      <c r="B445" t="s">
        <v>78</v>
      </c>
      <c r="C445" t="s">
        <v>30</v>
      </c>
      <c r="D445">
        <v>3</v>
      </c>
      <c r="E445">
        <f>WeeklyPicks!F149</f>
        <v>0</v>
      </c>
      <c r="F445">
        <f>IF(E445="","",SUMIFS(RaceResults!$C:$C,RaceResults!$A:$A,A445,RaceResults!$D:$D,E445))</f>
        <v>0</v>
      </c>
      <c r="G445">
        <f>IF(E445="","",SUMIFS(RaceResults!$E:$E,RaceResults!$A:$A,A445,RaceResults!$D:$D,E445))</f>
        <v>0</v>
      </c>
    </row>
    <row r="446" spans="1:7" x14ac:dyDescent="0.3">
      <c r="A446">
        <v>15</v>
      </c>
      <c r="B446" t="s">
        <v>78</v>
      </c>
      <c r="C446" t="s">
        <v>31</v>
      </c>
      <c r="D446">
        <v>1</v>
      </c>
      <c r="E446">
        <f>WeeklyPicks!D150</f>
        <v>0</v>
      </c>
      <c r="F446">
        <f>IF(E446="","",SUMIFS(RaceResults!$C:$C,RaceResults!$A:$A,A446,RaceResults!$D:$D,E446))</f>
        <v>0</v>
      </c>
      <c r="G446">
        <f>IF(E446="","",SUMIFS(RaceResults!$E:$E,RaceResults!$A:$A,A446,RaceResults!$D:$D,E446))</f>
        <v>0</v>
      </c>
    </row>
    <row r="447" spans="1:7" x14ac:dyDescent="0.3">
      <c r="A447">
        <v>15</v>
      </c>
      <c r="B447" t="s">
        <v>78</v>
      </c>
      <c r="C447" t="s">
        <v>31</v>
      </c>
      <c r="D447">
        <v>2</v>
      </c>
      <c r="E447">
        <f>WeeklyPicks!E150</f>
        <v>0</v>
      </c>
      <c r="F447">
        <f>IF(E447="","",SUMIFS(RaceResults!$C:$C,RaceResults!$A:$A,A447,RaceResults!$D:$D,E447))</f>
        <v>0</v>
      </c>
      <c r="G447">
        <f>IF(E447="","",SUMIFS(RaceResults!$E:$E,RaceResults!$A:$A,A447,RaceResults!$D:$D,E447))</f>
        <v>0</v>
      </c>
    </row>
    <row r="448" spans="1:7" x14ac:dyDescent="0.3">
      <c r="A448">
        <v>15</v>
      </c>
      <c r="B448" t="s">
        <v>78</v>
      </c>
      <c r="C448" t="s">
        <v>31</v>
      </c>
      <c r="D448">
        <v>3</v>
      </c>
      <c r="E448">
        <f>WeeklyPicks!F150</f>
        <v>0</v>
      </c>
      <c r="F448">
        <f>IF(E448="","",SUMIFS(RaceResults!$C:$C,RaceResults!$A:$A,A448,RaceResults!$D:$D,E448))</f>
        <v>0</v>
      </c>
      <c r="G448">
        <f>IF(E448="","",SUMIFS(RaceResults!$E:$E,RaceResults!$A:$A,A448,RaceResults!$D:$D,E448))</f>
        <v>0</v>
      </c>
    </row>
    <row r="449" spans="1:7" x14ac:dyDescent="0.3">
      <c r="A449">
        <v>15</v>
      </c>
      <c r="B449" t="s">
        <v>78</v>
      </c>
      <c r="C449" t="s">
        <v>32</v>
      </c>
      <c r="D449">
        <v>1</v>
      </c>
      <c r="E449">
        <f>WeeklyPicks!D151</f>
        <v>0</v>
      </c>
      <c r="F449">
        <f>IF(E449="","",SUMIFS(RaceResults!$C:$C,RaceResults!$A:$A,A449,RaceResults!$D:$D,E449))</f>
        <v>0</v>
      </c>
      <c r="G449">
        <f>IF(E449="","",SUMIFS(RaceResults!$E:$E,RaceResults!$A:$A,A449,RaceResults!$D:$D,E449))</f>
        <v>0</v>
      </c>
    </row>
    <row r="450" spans="1:7" x14ac:dyDescent="0.3">
      <c r="A450">
        <v>15</v>
      </c>
      <c r="B450" t="s">
        <v>78</v>
      </c>
      <c r="C450" t="s">
        <v>32</v>
      </c>
      <c r="D450">
        <v>2</v>
      </c>
      <c r="E450">
        <f>WeeklyPicks!E151</f>
        <v>0</v>
      </c>
      <c r="F450">
        <f>IF(E450="","",SUMIFS(RaceResults!$C:$C,RaceResults!$A:$A,A450,RaceResults!$D:$D,E450))</f>
        <v>0</v>
      </c>
      <c r="G450">
        <f>IF(E450="","",SUMIFS(RaceResults!$E:$E,RaceResults!$A:$A,A450,RaceResults!$D:$D,E450))</f>
        <v>0</v>
      </c>
    </row>
    <row r="451" spans="1:7" x14ac:dyDescent="0.3">
      <c r="A451">
        <v>15</v>
      </c>
      <c r="B451" t="s">
        <v>78</v>
      </c>
      <c r="C451" t="s">
        <v>32</v>
      </c>
      <c r="D451">
        <v>3</v>
      </c>
      <c r="E451">
        <f>WeeklyPicks!F151</f>
        <v>0</v>
      </c>
      <c r="F451">
        <f>IF(E451="","",SUMIFS(RaceResults!$C:$C,RaceResults!$A:$A,A451,RaceResults!$D:$D,E451))</f>
        <v>0</v>
      </c>
      <c r="G451">
        <f>IF(E451="","",SUMIFS(RaceResults!$E:$E,RaceResults!$A:$A,A451,RaceResults!$D:$D,E451))</f>
        <v>0</v>
      </c>
    </row>
    <row r="452" spans="1:7" x14ac:dyDescent="0.3">
      <c r="A452">
        <v>16</v>
      </c>
      <c r="B452" t="s">
        <v>80</v>
      </c>
      <c r="C452" t="s">
        <v>21</v>
      </c>
      <c r="D452">
        <v>1</v>
      </c>
      <c r="E452">
        <f>WeeklyPicks!D152</f>
        <v>0</v>
      </c>
      <c r="F452">
        <f>IF(E452="","",SUMIFS(RaceResults!$C:$C,RaceResults!$A:$A,A452,RaceResults!$D:$D,E452))</f>
        <v>0</v>
      </c>
      <c r="G452">
        <f>IF(E452="","",SUMIFS(RaceResults!$E:$E,RaceResults!$A:$A,A452,RaceResults!$D:$D,E452))</f>
        <v>0</v>
      </c>
    </row>
    <row r="453" spans="1:7" x14ac:dyDescent="0.3">
      <c r="A453">
        <v>16</v>
      </c>
      <c r="B453" t="s">
        <v>80</v>
      </c>
      <c r="C453" t="s">
        <v>21</v>
      </c>
      <c r="D453">
        <v>2</v>
      </c>
      <c r="E453">
        <f>WeeklyPicks!E152</f>
        <v>0</v>
      </c>
      <c r="F453">
        <f>IF(E453="","",SUMIFS(RaceResults!$C:$C,RaceResults!$A:$A,A453,RaceResults!$D:$D,E453))</f>
        <v>0</v>
      </c>
      <c r="G453">
        <f>IF(E453="","",SUMIFS(RaceResults!$E:$E,RaceResults!$A:$A,A453,RaceResults!$D:$D,E453))</f>
        <v>0</v>
      </c>
    </row>
    <row r="454" spans="1:7" x14ac:dyDescent="0.3">
      <c r="A454">
        <v>16</v>
      </c>
      <c r="B454" t="s">
        <v>80</v>
      </c>
      <c r="C454" t="s">
        <v>21</v>
      </c>
      <c r="D454">
        <v>3</v>
      </c>
      <c r="E454">
        <f>WeeklyPicks!F152</f>
        <v>0</v>
      </c>
      <c r="F454">
        <f>IF(E454="","",SUMIFS(RaceResults!$C:$C,RaceResults!$A:$A,A454,RaceResults!$D:$D,E454))</f>
        <v>0</v>
      </c>
      <c r="G454">
        <f>IF(E454="","",SUMIFS(RaceResults!$E:$E,RaceResults!$A:$A,A454,RaceResults!$D:$D,E454))</f>
        <v>0</v>
      </c>
    </row>
    <row r="455" spans="1:7" x14ac:dyDescent="0.3">
      <c r="A455">
        <v>16</v>
      </c>
      <c r="B455" t="s">
        <v>80</v>
      </c>
      <c r="C455" t="s">
        <v>22</v>
      </c>
      <c r="D455">
        <v>1</v>
      </c>
      <c r="E455">
        <f>WeeklyPicks!D153</f>
        <v>0</v>
      </c>
      <c r="F455">
        <f>IF(E455="","",SUMIFS(RaceResults!$C:$C,RaceResults!$A:$A,A455,RaceResults!$D:$D,E455))</f>
        <v>0</v>
      </c>
      <c r="G455">
        <f>IF(E455="","",SUMIFS(RaceResults!$E:$E,RaceResults!$A:$A,A455,RaceResults!$D:$D,E455))</f>
        <v>0</v>
      </c>
    </row>
    <row r="456" spans="1:7" x14ac:dyDescent="0.3">
      <c r="A456">
        <v>16</v>
      </c>
      <c r="B456" t="s">
        <v>80</v>
      </c>
      <c r="C456" t="s">
        <v>22</v>
      </c>
      <c r="D456">
        <v>2</v>
      </c>
      <c r="E456">
        <f>WeeklyPicks!E153</f>
        <v>0</v>
      </c>
      <c r="F456">
        <f>IF(E456="","",SUMIFS(RaceResults!$C:$C,RaceResults!$A:$A,A456,RaceResults!$D:$D,E456))</f>
        <v>0</v>
      </c>
      <c r="G456">
        <f>IF(E456="","",SUMIFS(RaceResults!$E:$E,RaceResults!$A:$A,A456,RaceResults!$D:$D,E456))</f>
        <v>0</v>
      </c>
    </row>
    <row r="457" spans="1:7" x14ac:dyDescent="0.3">
      <c r="A457">
        <v>16</v>
      </c>
      <c r="B457" t="s">
        <v>80</v>
      </c>
      <c r="C457" t="s">
        <v>22</v>
      </c>
      <c r="D457">
        <v>3</v>
      </c>
      <c r="E457">
        <f>WeeklyPicks!F153</f>
        <v>0</v>
      </c>
      <c r="F457">
        <f>IF(E457="","",SUMIFS(RaceResults!$C:$C,RaceResults!$A:$A,A457,RaceResults!$D:$D,E457))</f>
        <v>0</v>
      </c>
      <c r="G457">
        <f>IF(E457="","",SUMIFS(RaceResults!$E:$E,RaceResults!$A:$A,A457,RaceResults!$D:$D,E457))</f>
        <v>0</v>
      </c>
    </row>
    <row r="458" spans="1:7" x14ac:dyDescent="0.3">
      <c r="A458">
        <v>16</v>
      </c>
      <c r="B458" t="s">
        <v>80</v>
      </c>
      <c r="C458" t="s">
        <v>25</v>
      </c>
      <c r="D458">
        <v>1</v>
      </c>
      <c r="E458">
        <f>WeeklyPicks!D154</f>
        <v>0</v>
      </c>
      <c r="F458">
        <f>IF(E458="","",SUMIFS(RaceResults!$C:$C,RaceResults!$A:$A,A458,RaceResults!$D:$D,E458))</f>
        <v>0</v>
      </c>
      <c r="G458">
        <f>IF(E458="","",SUMIFS(RaceResults!$E:$E,RaceResults!$A:$A,A458,RaceResults!$D:$D,E458))</f>
        <v>0</v>
      </c>
    </row>
    <row r="459" spans="1:7" x14ac:dyDescent="0.3">
      <c r="A459">
        <v>16</v>
      </c>
      <c r="B459" t="s">
        <v>80</v>
      </c>
      <c r="C459" t="s">
        <v>25</v>
      </c>
      <c r="D459">
        <v>2</v>
      </c>
      <c r="E459">
        <f>WeeklyPicks!E154</f>
        <v>0</v>
      </c>
      <c r="F459">
        <f>IF(E459="","",SUMIFS(RaceResults!$C:$C,RaceResults!$A:$A,A459,RaceResults!$D:$D,E459))</f>
        <v>0</v>
      </c>
      <c r="G459">
        <f>IF(E459="","",SUMIFS(RaceResults!$E:$E,RaceResults!$A:$A,A459,RaceResults!$D:$D,E459))</f>
        <v>0</v>
      </c>
    </row>
    <row r="460" spans="1:7" x14ac:dyDescent="0.3">
      <c r="A460">
        <v>16</v>
      </c>
      <c r="B460" t="s">
        <v>80</v>
      </c>
      <c r="C460" t="s">
        <v>25</v>
      </c>
      <c r="D460">
        <v>3</v>
      </c>
      <c r="E460">
        <f>WeeklyPicks!F154</f>
        <v>0</v>
      </c>
      <c r="F460">
        <f>IF(E460="","",SUMIFS(RaceResults!$C:$C,RaceResults!$A:$A,A460,RaceResults!$D:$D,E460))</f>
        <v>0</v>
      </c>
      <c r="G460">
        <f>IF(E460="","",SUMIFS(RaceResults!$E:$E,RaceResults!$A:$A,A460,RaceResults!$D:$D,E460))</f>
        <v>0</v>
      </c>
    </row>
    <row r="461" spans="1:7" x14ac:dyDescent="0.3">
      <c r="A461">
        <v>16</v>
      </c>
      <c r="B461" t="s">
        <v>80</v>
      </c>
      <c r="C461" t="s">
        <v>26</v>
      </c>
      <c r="D461">
        <v>1</v>
      </c>
      <c r="E461">
        <f>WeeklyPicks!D155</f>
        <v>0</v>
      </c>
      <c r="F461">
        <f>IF(E461="","",SUMIFS(RaceResults!$C:$C,RaceResults!$A:$A,A461,RaceResults!$D:$D,E461))</f>
        <v>0</v>
      </c>
      <c r="G461">
        <f>IF(E461="","",SUMIFS(RaceResults!$E:$E,RaceResults!$A:$A,A461,RaceResults!$D:$D,E461))</f>
        <v>0</v>
      </c>
    </row>
    <row r="462" spans="1:7" x14ac:dyDescent="0.3">
      <c r="A462">
        <v>16</v>
      </c>
      <c r="B462" t="s">
        <v>80</v>
      </c>
      <c r="C462" t="s">
        <v>26</v>
      </c>
      <c r="D462">
        <v>2</v>
      </c>
      <c r="E462">
        <f>WeeklyPicks!E155</f>
        <v>0</v>
      </c>
      <c r="F462">
        <f>IF(E462="","",SUMIFS(RaceResults!$C:$C,RaceResults!$A:$A,A462,RaceResults!$D:$D,E462))</f>
        <v>0</v>
      </c>
      <c r="G462">
        <f>IF(E462="","",SUMIFS(RaceResults!$E:$E,RaceResults!$A:$A,A462,RaceResults!$D:$D,E462))</f>
        <v>0</v>
      </c>
    </row>
    <row r="463" spans="1:7" x14ac:dyDescent="0.3">
      <c r="A463">
        <v>16</v>
      </c>
      <c r="B463" t="s">
        <v>80</v>
      </c>
      <c r="C463" t="s">
        <v>26</v>
      </c>
      <c r="D463">
        <v>3</v>
      </c>
      <c r="E463">
        <f>WeeklyPicks!F155</f>
        <v>0</v>
      </c>
      <c r="F463">
        <f>IF(E463="","",SUMIFS(RaceResults!$C:$C,RaceResults!$A:$A,A463,RaceResults!$D:$D,E463))</f>
        <v>0</v>
      </c>
      <c r="G463">
        <f>IF(E463="","",SUMIFS(RaceResults!$E:$E,RaceResults!$A:$A,A463,RaceResults!$D:$D,E463))</f>
        <v>0</v>
      </c>
    </row>
    <row r="464" spans="1:7" x14ac:dyDescent="0.3">
      <c r="A464">
        <v>16</v>
      </c>
      <c r="B464" t="s">
        <v>80</v>
      </c>
      <c r="C464" t="s">
        <v>27</v>
      </c>
      <c r="D464">
        <v>1</v>
      </c>
      <c r="E464">
        <f>WeeklyPicks!D156</f>
        <v>0</v>
      </c>
      <c r="F464">
        <f>IF(E464="","",SUMIFS(RaceResults!$C:$C,RaceResults!$A:$A,A464,RaceResults!$D:$D,E464))</f>
        <v>0</v>
      </c>
      <c r="G464">
        <f>IF(E464="","",SUMIFS(RaceResults!$E:$E,RaceResults!$A:$A,A464,RaceResults!$D:$D,E464))</f>
        <v>0</v>
      </c>
    </row>
    <row r="465" spans="1:7" x14ac:dyDescent="0.3">
      <c r="A465">
        <v>16</v>
      </c>
      <c r="B465" t="s">
        <v>80</v>
      </c>
      <c r="C465" t="s">
        <v>27</v>
      </c>
      <c r="D465">
        <v>2</v>
      </c>
      <c r="E465">
        <f>WeeklyPicks!E156</f>
        <v>0</v>
      </c>
      <c r="F465">
        <f>IF(E465="","",SUMIFS(RaceResults!$C:$C,RaceResults!$A:$A,A465,RaceResults!$D:$D,E465))</f>
        <v>0</v>
      </c>
      <c r="G465">
        <f>IF(E465="","",SUMIFS(RaceResults!$E:$E,RaceResults!$A:$A,A465,RaceResults!$D:$D,E465))</f>
        <v>0</v>
      </c>
    </row>
    <row r="466" spans="1:7" x14ac:dyDescent="0.3">
      <c r="A466">
        <v>16</v>
      </c>
      <c r="B466" t="s">
        <v>80</v>
      </c>
      <c r="C466" t="s">
        <v>27</v>
      </c>
      <c r="D466">
        <v>3</v>
      </c>
      <c r="E466">
        <f>WeeklyPicks!F156</f>
        <v>0</v>
      </c>
      <c r="F466">
        <f>IF(E466="","",SUMIFS(RaceResults!$C:$C,RaceResults!$A:$A,A466,RaceResults!$D:$D,E466))</f>
        <v>0</v>
      </c>
      <c r="G466">
        <f>IF(E466="","",SUMIFS(RaceResults!$E:$E,RaceResults!$A:$A,A466,RaceResults!$D:$D,E466))</f>
        <v>0</v>
      </c>
    </row>
    <row r="467" spans="1:7" x14ac:dyDescent="0.3">
      <c r="A467">
        <v>16</v>
      </c>
      <c r="B467" t="s">
        <v>80</v>
      </c>
      <c r="C467" t="s">
        <v>28</v>
      </c>
      <c r="D467">
        <v>1</v>
      </c>
      <c r="E467">
        <f>WeeklyPicks!D157</f>
        <v>0</v>
      </c>
      <c r="F467">
        <f>IF(E467="","",SUMIFS(RaceResults!$C:$C,RaceResults!$A:$A,A467,RaceResults!$D:$D,E467))</f>
        <v>0</v>
      </c>
      <c r="G467">
        <f>IF(E467="","",SUMIFS(RaceResults!$E:$E,RaceResults!$A:$A,A467,RaceResults!$D:$D,E467))</f>
        <v>0</v>
      </c>
    </row>
    <row r="468" spans="1:7" x14ac:dyDescent="0.3">
      <c r="A468">
        <v>16</v>
      </c>
      <c r="B468" t="s">
        <v>80</v>
      </c>
      <c r="C468" t="s">
        <v>28</v>
      </c>
      <c r="D468">
        <v>2</v>
      </c>
      <c r="E468">
        <f>WeeklyPicks!E157</f>
        <v>0</v>
      </c>
      <c r="F468">
        <f>IF(E468="","",SUMIFS(RaceResults!$C:$C,RaceResults!$A:$A,A468,RaceResults!$D:$D,E468))</f>
        <v>0</v>
      </c>
      <c r="G468">
        <f>IF(E468="","",SUMIFS(RaceResults!$E:$E,RaceResults!$A:$A,A468,RaceResults!$D:$D,E468))</f>
        <v>0</v>
      </c>
    </row>
    <row r="469" spans="1:7" x14ac:dyDescent="0.3">
      <c r="A469">
        <v>16</v>
      </c>
      <c r="B469" t="s">
        <v>80</v>
      </c>
      <c r="C469" t="s">
        <v>28</v>
      </c>
      <c r="D469">
        <v>3</v>
      </c>
      <c r="E469">
        <f>WeeklyPicks!F157</f>
        <v>0</v>
      </c>
      <c r="F469">
        <f>IF(E469="","",SUMIFS(RaceResults!$C:$C,RaceResults!$A:$A,A469,RaceResults!$D:$D,E469))</f>
        <v>0</v>
      </c>
      <c r="G469">
        <f>IF(E469="","",SUMIFS(RaceResults!$E:$E,RaceResults!$A:$A,A469,RaceResults!$D:$D,E469))</f>
        <v>0</v>
      </c>
    </row>
    <row r="470" spans="1:7" x14ac:dyDescent="0.3">
      <c r="A470">
        <v>16</v>
      </c>
      <c r="B470" t="s">
        <v>80</v>
      </c>
      <c r="C470" t="s">
        <v>29</v>
      </c>
      <c r="D470">
        <v>1</v>
      </c>
      <c r="E470">
        <f>WeeklyPicks!D158</f>
        <v>0</v>
      </c>
      <c r="F470">
        <f>IF(E470="","",SUMIFS(RaceResults!$C:$C,RaceResults!$A:$A,A470,RaceResults!$D:$D,E470))</f>
        <v>0</v>
      </c>
      <c r="G470">
        <f>IF(E470="","",SUMIFS(RaceResults!$E:$E,RaceResults!$A:$A,A470,RaceResults!$D:$D,E470))</f>
        <v>0</v>
      </c>
    </row>
    <row r="471" spans="1:7" x14ac:dyDescent="0.3">
      <c r="A471">
        <v>16</v>
      </c>
      <c r="B471" t="s">
        <v>80</v>
      </c>
      <c r="C471" t="s">
        <v>29</v>
      </c>
      <c r="D471">
        <v>2</v>
      </c>
      <c r="E471">
        <f>WeeklyPicks!E158</f>
        <v>0</v>
      </c>
      <c r="F471">
        <f>IF(E471="","",SUMIFS(RaceResults!$C:$C,RaceResults!$A:$A,A471,RaceResults!$D:$D,E471))</f>
        <v>0</v>
      </c>
      <c r="G471">
        <f>IF(E471="","",SUMIFS(RaceResults!$E:$E,RaceResults!$A:$A,A471,RaceResults!$D:$D,E471))</f>
        <v>0</v>
      </c>
    </row>
    <row r="472" spans="1:7" x14ac:dyDescent="0.3">
      <c r="A472">
        <v>16</v>
      </c>
      <c r="B472" t="s">
        <v>80</v>
      </c>
      <c r="C472" t="s">
        <v>29</v>
      </c>
      <c r="D472">
        <v>3</v>
      </c>
      <c r="E472">
        <f>WeeklyPicks!F158</f>
        <v>0</v>
      </c>
      <c r="F472">
        <f>IF(E472="","",SUMIFS(RaceResults!$C:$C,RaceResults!$A:$A,A472,RaceResults!$D:$D,E472))</f>
        <v>0</v>
      </c>
      <c r="G472">
        <f>IF(E472="","",SUMIFS(RaceResults!$E:$E,RaceResults!$A:$A,A472,RaceResults!$D:$D,E472))</f>
        <v>0</v>
      </c>
    </row>
    <row r="473" spans="1:7" x14ac:dyDescent="0.3">
      <c r="A473">
        <v>16</v>
      </c>
      <c r="B473" t="s">
        <v>80</v>
      </c>
      <c r="C473" t="s">
        <v>30</v>
      </c>
      <c r="D473">
        <v>1</v>
      </c>
      <c r="E473">
        <f>WeeklyPicks!D159</f>
        <v>0</v>
      </c>
      <c r="F473">
        <f>IF(E473="","",SUMIFS(RaceResults!$C:$C,RaceResults!$A:$A,A473,RaceResults!$D:$D,E473))</f>
        <v>0</v>
      </c>
      <c r="G473">
        <f>IF(E473="","",SUMIFS(RaceResults!$E:$E,RaceResults!$A:$A,A473,RaceResults!$D:$D,E473))</f>
        <v>0</v>
      </c>
    </row>
    <row r="474" spans="1:7" x14ac:dyDescent="0.3">
      <c r="A474">
        <v>16</v>
      </c>
      <c r="B474" t="s">
        <v>80</v>
      </c>
      <c r="C474" t="s">
        <v>30</v>
      </c>
      <c r="D474">
        <v>2</v>
      </c>
      <c r="E474">
        <f>WeeklyPicks!E159</f>
        <v>0</v>
      </c>
      <c r="F474">
        <f>IF(E474="","",SUMIFS(RaceResults!$C:$C,RaceResults!$A:$A,A474,RaceResults!$D:$D,E474))</f>
        <v>0</v>
      </c>
      <c r="G474">
        <f>IF(E474="","",SUMIFS(RaceResults!$E:$E,RaceResults!$A:$A,A474,RaceResults!$D:$D,E474))</f>
        <v>0</v>
      </c>
    </row>
    <row r="475" spans="1:7" x14ac:dyDescent="0.3">
      <c r="A475">
        <v>16</v>
      </c>
      <c r="B475" t="s">
        <v>80</v>
      </c>
      <c r="C475" t="s">
        <v>30</v>
      </c>
      <c r="D475">
        <v>3</v>
      </c>
      <c r="E475">
        <f>WeeklyPicks!F159</f>
        <v>0</v>
      </c>
      <c r="F475">
        <f>IF(E475="","",SUMIFS(RaceResults!$C:$C,RaceResults!$A:$A,A475,RaceResults!$D:$D,E475))</f>
        <v>0</v>
      </c>
      <c r="G475">
        <f>IF(E475="","",SUMIFS(RaceResults!$E:$E,RaceResults!$A:$A,A475,RaceResults!$D:$D,E475))</f>
        <v>0</v>
      </c>
    </row>
    <row r="476" spans="1:7" x14ac:dyDescent="0.3">
      <c r="A476">
        <v>16</v>
      </c>
      <c r="B476" t="s">
        <v>80</v>
      </c>
      <c r="C476" t="s">
        <v>31</v>
      </c>
      <c r="D476">
        <v>1</v>
      </c>
      <c r="E476">
        <f>WeeklyPicks!D160</f>
        <v>0</v>
      </c>
      <c r="F476">
        <f>IF(E476="","",SUMIFS(RaceResults!$C:$C,RaceResults!$A:$A,A476,RaceResults!$D:$D,E476))</f>
        <v>0</v>
      </c>
      <c r="G476">
        <f>IF(E476="","",SUMIFS(RaceResults!$E:$E,RaceResults!$A:$A,A476,RaceResults!$D:$D,E476))</f>
        <v>0</v>
      </c>
    </row>
    <row r="477" spans="1:7" x14ac:dyDescent="0.3">
      <c r="A477">
        <v>16</v>
      </c>
      <c r="B477" t="s">
        <v>80</v>
      </c>
      <c r="C477" t="s">
        <v>31</v>
      </c>
      <c r="D477">
        <v>2</v>
      </c>
      <c r="E477">
        <f>WeeklyPicks!E160</f>
        <v>0</v>
      </c>
      <c r="F477">
        <f>IF(E477="","",SUMIFS(RaceResults!$C:$C,RaceResults!$A:$A,A477,RaceResults!$D:$D,E477))</f>
        <v>0</v>
      </c>
      <c r="G477">
        <f>IF(E477="","",SUMIFS(RaceResults!$E:$E,RaceResults!$A:$A,A477,RaceResults!$D:$D,E477))</f>
        <v>0</v>
      </c>
    </row>
    <row r="478" spans="1:7" x14ac:dyDescent="0.3">
      <c r="A478">
        <v>16</v>
      </c>
      <c r="B478" t="s">
        <v>80</v>
      </c>
      <c r="C478" t="s">
        <v>31</v>
      </c>
      <c r="D478">
        <v>3</v>
      </c>
      <c r="E478">
        <f>WeeklyPicks!F160</f>
        <v>0</v>
      </c>
      <c r="F478">
        <f>IF(E478="","",SUMIFS(RaceResults!$C:$C,RaceResults!$A:$A,A478,RaceResults!$D:$D,E478))</f>
        <v>0</v>
      </c>
      <c r="G478">
        <f>IF(E478="","",SUMIFS(RaceResults!$E:$E,RaceResults!$A:$A,A478,RaceResults!$D:$D,E478))</f>
        <v>0</v>
      </c>
    </row>
    <row r="479" spans="1:7" x14ac:dyDescent="0.3">
      <c r="A479">
        <v>16</v>
      </c>
      <c r="B479" t="s">
        <v>80</v>
      </c>
      <c r="C479" t="s">
        <v>32</v>
      </c>
      <c r="D479">
        <v>1</v>
      </c>
      <c r="E479">
        <f>WeeklyPicks!D161</f>
        <v>0</v>
      </c>
      <c r="F479">
        <f>IF(E479="","",SUMIFS(RaceResults!$C:$C,RaceResults!$A:$A,A479,RaceResults!$D:$D,E479))</f>
        <v>0</v>
      </c>
      <c r="G479">
        <f>IF(E479="","",SUMIFS(RaceResults!$E:$E,RaceResults!$A:$A,A479,RaceResults!$D:$D,E479))</f>
        <v>0</v>
      </c>
    </row>
    <row r="480" spans="1:7" x14ac:dyDescent="0.3">
      <c r="A480">
        <v>16</v>
      </c>
      <c r="B480" t="s">
        <v>80</v>
      </c>
      <c r="C480" t="s">
        <v>32</v>
      </c>
      <c r="D480">
        <v>2</v>
      </c>
      <c r="E480">
        <f>WeeklyPicks!E161</f>
        <v>0</v>
      </c>
      <c r="F480">
        <f>IF(E480="","",SUMIFS(RaceResults!$C:$C,RaceResults!$A:$A,A480,RaceResults!$D:$D,E480))</f>
        <v>0</v>
      </c>
      <c r="G480">
        <f>IF(E480="","",SUMIFS(RaceResults!$E:$E,RaceResults!$A:$A,A480,RaceResults!$D:$D,E480))</f>
        <v>0</v>
      </c>
    </row>
    <row r="481" spans="1:7" x14ac:dyDescent="0.3">
      <c r="A481">
        <v>16</v>
      </c>
      <c r="B481" t="s">
        <v>80</v>
      </c>
      <c r="C481" t="s">
        <v>32</v>
      </c>
      <c r="D481">
        <v>3</v>
      </c>
      <c r="E481">
        <f>WeeklyPicks!F161</f>
        <v>0</v>
      </c>
      <c r="F481">
        <f>IF(E481="","",SUMIFS(RaceResults!$C:$C,RaceResults!$A:$A,A481,RaceResults!$D:$D,E481))</f>
        <v>0</v>
      </c>
      <c r="G481">
        <f>IF(E481="","",SUMIFS(RaceResults!$E:$E,RaceResults!$A:$A,A481,RaceResults!$D:$D,E481))</f>
        <v>0</v>
      </c>
    </row>
    <row r="482" spans="1:7" x14ac:dyDescent="0.3">
      <c r="A482">
        <v>17</v>
      </c>
      <c r="B482" t="s">
        <v>82</v>
      </c>
      <c r="C482" t="s">
        <v>21</v>
      </c>
      <c r="D482">
        <v>1</v>
      </c>
      <c r="E482">
        <f>WeeklyPicks!D162</f>
        <v>0</v>
      </c>
      <c r="F482">
        <f>IF(E482="","",SUMIFS(RaceResults!$C:$C,RaceResults!$A:$A,A482,RaceResults!$D:$D,E482))</f>
        <v>0</v>
      </c>
      <c r="G482">
        <f>IF(E482="","",SUMIFS(RaceResults!$E:$E,RaceResults!$A:$A,A482,RaceResults!$D:$D,E482))</f>
        <v>0</v>
      </c>
    </row>
    <row r="483" spans="1:7" x14ac:dyDescent="0.3">
      <c r="A483">
        <v>17</v>
      </c>
      <c r="B483" t="s">
        <v>82</v>
      </c>
      <c r="C483" t="s">
        <v>21</v>
      </c>
      <c r="D483">
        <v>2</v>
      </c>
      <c r="E483">
        <f>WeeklyPicks!E162</f>
        <v>0</v>
      </c>
      <c r="F483">
        <f>IF(E483="","",SUMIFS(RaceResults!$C:$C,RaceResults!$A:$A,A483,RaceResults!$D:$D,E483))</f>
        <v>0</v>
      </c>
      <c r="G483">
        <f>IF(E483="","",SUMIFS(RaceResults!$E:$E,RaceResults!$A:$A,A483,RaceResults!$D:$D,E483))</f>
        <v>0</v>
      </c>
    </row>
    <row r="484" spans="1:7" x14ac:dyDescent="0.3">
      <c r="A484">
        <v>17</v>
      </c>
      <c r="B484" t="s">
        <v>82</v>
      </c>
      <c r="C484" t="s">
        <v>21</v>
      </c>
      <c r="D484">
        <v>3</v>
      </c>
      <c r="E484">
        <f>WeeklyPicks!F162</f>
        <v>0</v>
      </c>
      <c r="F484">
        <f>IF(E484="","",SUMIFS(RaceResults!$C:$C,RaceResults!$A:$A,A484,RaceResults!$D:$D,E484))</f>
        <v>0</v>
      </c>
      <c r="G484">
        <f>IF(E484="","",SUMIFS(RaceResults!$E:$E,RaceResults!$A:$A,A484,RaceResults!$D:$D,E484))</f>
        <v>0</v>
      </c>
    </row>
    <row r="485" spans="1:7" x14ac:dyDescent="0.3">
      <c r="A485">
        <v>17</v>
      </c>
      <c r="B485" t="s">
        <v>82</v>
      </c>
      <c r="C485" t="s">
        <v>22</v>
      </c>
      <c r="D485">
        <v>1</v>
      </c>
      <c r="E485">
        <f>WeeklyPicks!D163</f>
        <v>0</v>
      </c>
      <c r="F485">
        <f>IF(E485="","",SUMIFS(RaceResults!$C:$C,RaceResults!$A:$A,A485,RaceResults!$D:$D,E485))</f>
        <v>0</v>
      </c>
      <c r="G485">
        <f>IF(E485="","",SUMIFS(RaceResults!$E:$E,RaceResults!$A:$A,A485,RaceResults!$D:$D,E485))</f>
        <v>0</v>
      </c>
    </row>
    <row r="486" spans="1:7" x14ac:dyDescent="0.3">
      <c r="A486">
        <v>17</v>
      </c>
      <c r="B486" t="s">
        <v>82</v>
      </c>
      <c r="C486" t="s">
        <v>22</v>
      </c>
      <c r="D486">
        <v>2</v>
      </c>
      <c r="E486">
        <f>WeeklyPicks!E163</f>
        <v>0</v>
      </c>
      <c r="F486">
        <f>IF(E486="","",SUMIFS(RaceResults!$C:$C,RaceResults!$A:$A,A486,RaceResults!$D:$D,E486))</f>
        <v>0</v>
      </c>
      <c r="G486">
        <f>IF(E486="","",SUMIFS(RaceResults!$E:$E,RaceResults!$A:$A,A486,RaceResults!$D:$D,E486))</f>
        <v>0</v>
      </c>
    </row>
    <row r="487" spans="1:7" x14ac:dyDescent="0.3">
      <c r="A487">
        <v>17</v>
      </c>
      <c r="B487" t="s">
        <v>82</v>
      </c>
      <c r="C487" t="s">
        <v>22</v>
      </c>
      <c r="D487">
        <v>3</v>
      </c>
      <c r="E487">
        <f>WeeklyPicks!F163</f>
        <v>0</v>
      </c>
      <c r="F487">
        <f>IF(E487="","",SUMIFS(RaceResults!$C:$C,RaceResults!$A:$A,A487,RaceResults!$D:$D,E487))</f>
        <v>0</v>
      </c>
      <c r="G487">
        <f>IF(E487="","",SUMIFS(RaceResults!$E:$E,RaceResults!$A:$A,A487,RaceResults!$D:$D,E487))</f>
        <v>0</v>
      </c>
    </row>
    <row r="488" spans="1:7" x14ac:dyDescent="0.3">
      <c r="A488">
        <v>17</v>
      </c>
      <c r="B488" t="s">
        <v>82</v>
      </c>
      <c r="C488" t="s">
        <v>25</v>
      </c>
      <c r="D488">
        <v>1</v>
      </c>
      <c r="E488">
        <f>WeeklyPicks!D164</f>
        <v>0</v>
      </c>
      <c r="F488">
        <f>IF(E488="","",SUMIFS(RaceResults!$C:$C,RaceResults!$A:$A,A488,RaceResults!$D:$D,E488))</f>
        <v>0</v>
      </c>
      <c r="G488">
        <f>IF(E488="","",SUMIFS(RaceResults!$E:$E,RaceResults!$A:$A,A488,RaceResults!$D:$D,E488))</f>
        <v>0</v>
      </c>
    </row>
    <row r="489" spans="1:7" x14ac:dyDescent="0.3">
      <c r="A489">
        <v>17</v>
      </c>
      <c r="B489" t="s">
        <v>82</v>
      </c>
      <c r="C489" t="s">
        <v>25</v>
      </c>
      <c r="D489">
        <v>2</v>
      </c>
      <c r="E489">
        <f>WeeklyPicks!E164</f>
        <v>0</v>
      </c>
      <c r="F489">
        <f>IF(E489="","",SUMIFS(RaceResults!$C:$C,RaceResults!$A:$A,A489,RaceResults!$D:$D,E489))</f>
        <v>0</v>
      </c>
      <c r="G489">
        <f>IF(E489="","",SUMIFS(RaceResults!$E:$E,RaceResults!$A:$A,A489,RaceResults!$D:$D,E489))</f>
        <v>0</v>
      </c>
    </row>
    <row r="490" spans="1:7" x14ac:dyDescent="0.3">
      <c r="A490">
        <v>17</v>
      </c>
      <c r="B490" t="s">
        <v>82</v>
      </c>
      <c r="C490" t="s">
        <v>25</v>
      </c>
      <c r="D490">
        <v>3</v>
      </c>
      <c r="E490">
        <f>WeeklyPicks!F164</f>
        <v>0</v>
      </c>
      <c r="F490">
        <f>IF(E490="","",SUMIFS(RaceResults!$C:$C,RaceResults!$A:$A,A490,RaceResults!$D:$D,E490))</f>
        <v>0</v>
      </c>
      <c r="G490">
        <f>IF(E490="","",SUMIFS(RaceResults!$E:$E,RaceResults!$A:$A,A490,RaceResults!$D:$D,E490))</f>
        <v>0</v>
      </c>
    </row>
    <row r="491" spans="1:7" x14ac:dyDescent="0.3">
      <c r="A491">
        <v>17</v>
      </c>
      <c r="B491" t="s">
        <v>82</v>
      </c>
      <c r="C491" t="s">
        <v>26</v>
      </c>
      <c r="D491">
        <v>1</v>
      </c>
      <c r="E491">
        <f>WeeklyPicks!D165</f>
        <v>0</v>
      </c>
      <c r="F491">
        <f>IF(E491="","",SUMIFS(RaceResults!$C:$C,RaceResults!$A:$A,A491,RaceResults!$D:$D,E491))</f>
        <v>0</v>
      </c>
      <c r="G491">
        <f>IF(E491="","",SUMIFS(RaceResults!$E:$E,RaceResults!$A:$A,A491,RaceResults!$D:$D,E491))</f>
        <v>0</v>
      </c>
    </row>
    <row r="492" spans="1:7" x14ac:dyDescent="0.3">
      <c r="A492">
        <v>17</v>
      </c>
      <c r="B492" t="s">
        <v>82</v>
      </c>
      <c r="C492" t="s">
        <v>26</v>
      </c>
      <c r="D492">
        <v>2</v>
      </c>
      <c r="E492">
        <f>WeeklyPicks!E165</f>
        <v>0</v>
      </c>
      <c r="F492">
        <f>IF(E492="","",SUMIFS(RaceResults!$C:$C,RaceResults!$A:$A,A492,RaceResults!$D:$D,E492))</f>
        <v>0</v>
      </c>
      <c r="G492">
        <f>IF(E492="","",SUMIFS(RaceResults!$E:$E,RaceResults!$A:$A,A492,RaceResults!$D:$D,E492))</f>
        <v>0</v>
      </c>
    </row>
    <row r="493" spans="1:7" x14ac:dyDescent="0.3">
      <c r="A493">
        <v>17</v>
      </c>
      <c r="B493" t="s">
        <v>82</v>
      </c>
      <c r="C493" t="s">
        <v>26</v>
      </c>
      <c r="D493">
        <v>3</v>
      </c>
      <c r="E493">
        <f>WeeklyPicks!F165</f>
        <v>0</v>
      </c>
      <c r="F493">
        <f>IF(E493="","",SUMIFS(RaceResults!$C:$C,RaceResults!$A:$A,A493,RaceResults!$D:$D,E493))</f>
        <v>0</v>
      </c>
      <c r="G493">
        <f>IF(E493="","",SUMIFS(RaceResults!$E:$E,RaceResults!$A:$A,A493,RaceResults!$D:$D,E493))</f>
        <v>0</v>
      </c>
    </row>
    <row r="494" spans="1:7" x14ac:dyDescent="0.3">
      <c r="A494">
        <v>17</v>
      </c>
      <c r="B494" t="s">
        <v>82</v>
      </c>
      <c r="C494" t="s">
        <v>27</v>
      </c>
      <c r="D494">
        <v>1</v>
      </c>
      <c r="E494">
        <f>WeeklyPicks!D166</f>
        <v>0</v>
      </c>
      <c r="F494">
        <f>IF(E494="","",SUMIFS(RaceResults!$C:$C,RaceResults!$A:$A,A494,RaceResults!$D:$D,E494))</f>
        <v>0</v>
      </c>
      <c r="G494">
        <f>IF(E494="","",SUMIFS(RaceResults!$E:$E,RaceResults!$A:$A,A494,RaceResults!$D:$D,E494))</f>
        <v>0</v>
      </c>
    </row>
    <row r="495" spans="1:7" x14ac:dyDescent="0.3">
      <c r="A495">
        <v>17</v>
      </c>
      <c r="B495" t="s">
        <v>82</v>
      </c>
      <c r="C495" t="s">
        <v>27</v>
      </c>
      <c r="D495">
        <v>2</v>
      </c>
      <c r="E495">
        <f>WeeklyPicks!E166</f>
        <v>0</v>
      </c>
      <c r="F495">
        <f>IF(E495="","",SUMIFS(RaceResults!$C:$C,RaceResults!$A:$A,A495,RaceResults!$D:$D,E495))</f>
        <v>0</v>
      </c>
      <c r="G495">
        <f>IF(E495="","",SUMIFS(RaceResults!$E:$E,RaceResults!$A:$A,A495,RaceResults!$D:$D,E495))</f>
        <v>0</v>
      </c>
    </row>
    <row r="496" spans="1:7" x14ac:dyDescent="0.3">
      <c r="A496">
        <v>17</v>
      </c>
      <c r="B496" t="s">
        <v>82</v>
      </c>
      <c r="C496" t="s">
        <v>27</v>
      </c>
      <c r="D496">
        <v>3</v>
      </c>
      <c r="E496">
        <f>WeeklyPicks!F166</f>
        <v>0</v>
      </c>
      <c r="F496">
        <f>IF(E496="","",SUMIFS(RaceResults!$C:$C,RaceResults!$A:$A,A496,RaceResults!$D:$D,E496))</f>
        <v>0</v>
      </c>
      <c r="G496">
        <f>IF(E496="","",SUMIFS(RaceResults!$E:$E,RaceResults!$A:$A,A496,RaceResults!$D:$D,E496))</f>
        <v>0</v>
      </c>
    </row>
    <row r="497" spans="1:7" x14ac:dyDescent="0.3">
      <c r="A497">
        <v>17</v>
      </c>
      <c r="B497" t="s">
        <v>82</v>
      </c>
      <c r="C497" t="s">
        <v>28</v>
      </c>
      <c r="D497">
        <v>1</v>
      </c>
      <c r="E497">
        <f>WeeklyPicks!D167</f>
        <v>0</v>
      </c>
      <c r="F497">
        <f>IF(E497="","",SUMIFS(RaceResults!$C:$C,RaceResults!$A:$A,A497,RaceResults!$D:$D,E497))</f>
        <v>0</v>
      </c>
      <c r="G497">
        <f>IF(E497="","",SUMIFS(RaceResults!$E:$E,RaceResults!$A:$A,A497,RaceResults!$D:$D,E497))</f>
        <v>0</v>
      </c>
    </row>
    <row r="498" spans="1:7" x14ac:dyDescent="0.3">
      <c r="A498">
        <v>17</v>
      </c>
      <c r="B498" t="s">
        <v>82</v>
      </c>
      <c r="C498" t="s">
        <v>28</v>
      </c>
      <c r="D498">
        <v>2</v>
      </c>
      <c r="E498">
        <f>WeeklyPicks!E167</f>
        <v>0</v>
      </c>
      <c r="F498">
        <f>IF(E498="","",SUMIFS(RaceResults!$C:$C,RaceResults!$A:$A,A498,RaceResults!$D:$D,E498))</f>
        <v>0</v>
      </c>
      <c r="G498">
        <f>IF(E498="","",SUMIFS(RaceResults!$E:$E,RaceResults!$A:$A,A498,RaceResults!$D:$D,E498))</f>
        <v>0</v>
      </c>
    </row>
    <row r="499" spans="1:7" x14ac:dyDescent="0.3">
      <c r="A499">
        <v>17</v>
      </c>
      <c r="B499" t="s">
        <v>82</v>
      </c>
      <c r="C499" t="s">
        <v>28</v>
      </c>
      <c r="D499">
        <v>3</v>
      </c>
      <c r="E499">
        <f>WeeklyPicks!F167</f>
        <v>0</v>
      </c>
      <c r="F499">
        <f>IF(E499="","",SUMIFS(RaceResults!$C:$C,RaceResults!$A:$A,A499,RaceResults!$D:$D,E499))</f>
        <v>0</v>
      </c>
      <c r="G499">
        <f>IF(E499="","",SUMIFS(RaceResults!$E:$E,RaceResults!$A:$A,A499,RaceResults!$D:$D,E499))</f>
        <v>0</v>
      </c>
    </row>
    <row r="500" spans="1:7" x14ac:dyDescent="0.3">
      <c r="A500">
        <v>17</v>
      </c>
      <c r="B500" t="s">
        <v>82</v>
      </c>
      <c r="C500" t="s">
        <v>29</v>
      </c>
      <c r="D500">
        <v>1</v>
      </c>
      <c r="E500">
        <f>WeeklyPicks!D168</f>
        <v>0</v>
      </c>
      <c r="F500">
        <f>IF(E500="","",SUMIFS(RaceResults!$C:$C,RaceResults!$A:$A,A500,RaceResults!$D:$D,E500))</f>
        <v>0</v>
      </c>
      <c r="G500">
        <f>IF(E500="","",SUMIFS(RaceResults!$E:$E,RaceResults!$A:$A,A500,RaceResults!$D:$D,E500))</f>
        <v>0</v>
      </c>
    </row>
    <row r="501" spans="1:7" x14ac:dyDescent="0.3">
      <c r="A501">
        <v>17</v>
      </c>
      <c r="B501" t="s">
        <v>82</v>
      </c>
      <c r="C501" t="s">
        <v>29</v>
      </c>
      <c r="D501">
        <v>2</v>
      </c>
      <c r="E501">
        <f>WeeklyPicks!E168</f>
        <v>0</v>
      </c>
      <c r="F501">
        <f>IF(E501="","",SUMIFS(RaceResults!$C:$C,RaceResults!$A:$A,A501,RaceResults!$D:$D,E501))</f>
        <v>0</v>
      </c>
      <c r="G501">
        <f>IF(E501="","",SUMIFS(RaceResults!$E:$E,RaceResults!$A:$A,A501,RaceResults!$D:$D,E501))</f>
        <v>0</v>
      </c>
    </row>
    <row r="502" spans="1:7" x14ac:dyDescent="0.3">
      <c r="A502">
        <v>17</v>
      </c>
      <c r="B502" t="s">
        <v>82</v>
      </c>
      <c r="C502" t="s">
        <v>29</v>
      </c>
      <c r="D502">
        <v>3</v>
      </c>
      <c r="E502">
        <f>WeeklyPicks!F168</f>
        <v>0</v>
      </c>
      <c r="F502">
        <f>IF(E502="","",SUMIFS(RaceResults!$C:$C,RaceResults!$A:$A,A502,RaceResults!$D:$D,E502))</f>
        <v>0</v>
      </c>
      <c r="G502">
        <f>IF(E502="","",SUMIFS(RaceResults!$E:$E,RaceResults!$A:$A,A502,RaceResults!$D:$D,E502))</f>
        <v>0</v>
      </c>
    </row>
    <row r="503" spans="1:7" x14ac:dyDescent="0.3">
      <c r="A503">
        <v>17</v>
      </c>
      <c r="B503" t="s">
        <v>82</v>
      </c>
      <c r="C503" t="s">
        <v>30</v>
      </c>
      <c r="D503">
        <v>1</v>
      </c>
      <c r="E503">
        <f>WeeklyPicks!D169</f>
        <v>0</v>
      </c>
      <c r="F503">
        <f>IF(E503="","",SUMIFS(RaceResults!$C:$C,RaceResults!$A:$A,A503,RaceResults!$D:$D,E503))</f>
        <v>0</v>
      </c>
      <c r="G503">
        <f>IF(E503="","",SUMIFS(RaceResults!$E:$E,RaceResults!$A:$A,A503,RaceResults!$D:$D,E503))</f>
        <v>0</v>
      </c>
    </row>
    <row r="504" spans="1:7" x14ac:dyDescent="0.3">
      <c r="A504">
        <v>17</v>
      </c>
      <c r="B504" t="s">
        <v>82</v>
      </c>
      <c r="C504" t="s">
        <v>30</v>
      </c>
      <c r="D504">
        <v>2</v>
      </c>
      <c r="E504">
        <f>WeeklyPicks!E169</f>
        <v>0</v>
      </c>
      <c r="F504">
        <f>IF(E504="","",SUMIFS(RaceResults!$C:$C,RaceResults!$A:$A,A504,RaceResults!$D:$D,E504))</f>
        <v>0</v>
      </c>
      <c r="G504">
        <f>IF(E504="","",SUMIFS(RaceResults!$E:$E,RaceResults!$A:$A,A504,RaceResults!$D:$D,E504))</f>
        <v>0</v>
      </c>
    </row>
    <row r="505" spans="1:7" x14ac:dyDescent="0.3">
      <c r="A505">
        <v>17</v>
      </c>
      <c r="B505" t="s">
        <v>82</v>
      </c>
      <c r="C505" t="s">
        <v>30</v>
      </c>
      <c r="D505">
        <v>3</v>
      </c>
      <c r="E505">
        <f>WeeklyPicks!F169</f>
        <v>0</v>
      </c>
      <c r="F505">
        <f>IF(E505="","",SUMIFS(RaceResults!$C:$C,RaceResults!$A:$A,A505,RaceResults!$D:$D,E505))</f>
        <v>0</v>
      </c>
      <c r="G505">
        <f>IF(E505="","",SUMIFS(RaceResults!$E:$E,RaceResults!$A:$A,A505,RaceResults!$D:$D,E505))</f>
        <v>0</v>
      </c>
    </row>
    <row r="506" spans="1:7" x14ac:dyDescent="0.3">
      <c r="A506">
        <v>17</v>
      </c>
      <c r="B506" t="s">
        <v>82</v>
      </c>
      <c r="C506" t="s">
        <v>31</v>
      </c>
      <c r="D506">
        <v>1</v>
      </c>
      <c r="E506">
        <f>WeeklyPicks!D170</f>
        <v>0</v>
      </c>
      <c r="F506">
        <f>IF(E506="","",SUMIFS(RaceResults!$C:$C,RaceResults!$A:$A,A506,RaceResults!$D:$D,E506))</f>
        <v>0</v>
      </c>
      <c r="G506">
        <f>IF(E506="","",SUMIFS(RaceResults!$E:$E,RaceResults!$A:$A,A506,RaceResults!$D:$D,E506))</f>
        <v>0</v>
      </c>
    </row>
    <row r="507" spans="1:7" x14ac:dyDescent="0.3">
      <c r="A507">
        <v>17</v>
      </c>
      <c r="B507" t="s">
        <v>82</v>
      </c>
      <c r="C507" t="s">
        <v>31</v>
      </c>
      <c r="D507">
        <v>2</v>
      </c>
      <c r="E507">
        <f>WeeklyPicks!E170</f>
        <v>0</v>
      </c>
      <c r="F507">
        <f>IF(E507="","",SUMIFS(RaceResults!$C:$C,RaceResults!$A:$A,A507,RaceResults!$D:$D,E507))</f>
        <v>0</v>
      </c>
      <c r="G507">
        <f>IF(E507="","",SUMIFS(RaceResults!$E:$E,RaceResults!$A:$A,A507,RaceResults!$D:$D,E507))</f>
        <v>0</v>
      </c>
    </row>
    <row r="508" spans="1:7" x14ac:dyDescent="0.3">
      <c r="A508">
        <v>17</v>
      </c>
      <c r="B508" t="s">
        <v>82</v>
      </c>
      <c r="C508" t="s">
        <v>31</v>
      </c>
      <c r="D508">
        <v>3</v>
      </c>
      <c r="E508">
        <f>WeeklyPicks!F170</f>
        <v>0</v>
      </c>
      <c r="F508">
        <f>IF(E508="","",SUMIFS(RaceResults!$C:$C,RaceResults!$A:$A,A508,RaceResults!$D:$D,E508))</f>
        <v>0</v>
      </c>
      <c r="G508">
        <f>IF(E508="","",SUMIFS(RaceResults!$E:$E,RaceResults!$A:$A,A508,RaceResults!$D:$D,E508))</f>
        <v>0</v>
      </c>
    </row>
    <row r="509" spans="1:7" x14ac:dyDescent="0.3">
      <c r="A509">
        <v>17</v>
      </c>
      <c r="B509" t="s">
        <v>82</v>
      </c>
      <c r="C509" t="s">
        <v>32</v>
      </c>
      <c r="D509">
        <v>1</v>
      </c>
      <c r="E509">
        <f>WeeklyPicks!D171</f>
        <v>0</v>
      </c>
      <c r="F509">
        <f>IF(E509="","",SUMIFS(RaceResults!$C:$C,RaceResults!$A:$A,A509,RaceResults!$D:$D,E509))</f>
        <v>0</v>
      </c>
      <c r="G509">
        <f>IF(E509="","",SUMIFS(RaceResults!$E:$E,RaceResults!$A:$A,A509,RaceResults!$D:$D,E509))</f>
        <v>0</v>
      </c>
    </row>
    <row r="510" spans="1:7" x14ac:dyDescent="0.3">
      <c r="A510">
        <v>17</v>
      </c>
      <c r="B510" t="s">
        <v>82</v>
      </c>
      <c r="C510" t="s">
        <v>32</v>
      </c>
      <c r="D510">
        <v>2</v>
      </c>
      <c r="E510">
        <f>WeeklyPicks!E171</f>
        <v>0</v>
      </c>
      <c r="F510">
        <f>IF(E510="","",SUMIFS(RaceResults!$C:$C,RaceResults!$A:$A,A510,RaceResults!$D:$D,E510))</f>
        <v>0</v>
      </c>
      <c r="G510">
        <f>IF(E510="","",SUMIFS(RaceResults!$E:$E,RaceResults!$A:$A,A510,RaceResults!$D:$D,E510))</f>
        <v>0</v>
      </c>
    </row>
    <row r="511" spans="1:7" x14ac:dyDescent="0.3">
      <c r="A511">
        <v>17</v>
      </c>
      <c r="B511" t="s">
        <v>82</v>
      </c>
      <c r="C511" t="s">
        <v>32</v>
      </c>
      <c r="D511">
        <v>3</v>
      </c>
      <c r="E511">
        <f>WeeklyPicks!F171</f>
        <v>0</v>
      </c>
      <c r="F511">
        <f>IF(E511="","",SUMIFS(RaceResults!$C:$C,RaceResults!$A:$A,A511,RaceResults!$D:$D,E511))</f>
        <v>0</v>
      </c>
      <c r="G511">
        <f>IF(E511="","",SUMIFS(RaceResults!$E:$E,RaceResults!$A:$A,A511,RaceResults!$D:$D,E511))</f>
        <v>0</v>
      </c>
    </row>
    <row r="512" spans="1:7" x14ac:dyDescent="0.3">
      <c r="A512">
        <v>18</v>
      </c>
      <c r="B512" t="s">
        <v>84</v>
      </c>
      <c r="C512" t="s">
        <v>21</v>
      </c>
      <c r="D512">
        <v>1</v>
      </c>
      <c r="E512">
        <f>WeeklyPicks!D172</f>
        <v>0</v>
      </c>
      <c r="F512">
        <f>IF(E512="","",SUMIFS(RaceResults!$C:$C,RaceResults!$A:$A,A512,RaceResults!$D:$D,E512))</f>
        <v>0</v>
      </c>
      <c r="G512">
        <f>IF(E512="","",SUMIFS(RaceResults!$E:$E,RaceResults!$A:$A,A512,RaceResults!$D:$D,E512))</f>
        <v>0</v>
      </c>
    </row>
    <row r="513" spans="1:7" x14ac:dyDescent="0.3">
      <c r="A513">
        <v>18</v>
      </c>
      <c r="B513" t="s">
        <v>84</v>
      </c>
      <c r="C513" t="s">
        <v>21</v>
      </c>
      <c r="D513">
        <v>2</v>
      </c>
      <c r="E513">
        <f>WeeklyPicks!E172</f>
        <v>0</v>
      </c>
      <c r="F513">
        <f>IF(E513="","",SUMIFS(RaceResults!$C:$C,RaceResults!$A:$A,A513,RaceResults!$D:$D,E513))</f>
        <v>0</v>
      </c>
      <c r="G513">
        <f>IF(E513="","",SUMIFS(RaceResults!$E:$E,RaceResults!$A:$A,A513,RaceResults!$D:$D,E513))</f>
        <v>0</v>
      </c>
    </row>
    <row r="514" spans="1:7" x14ac:dyDescent="0.3">
      <c r="A514">
        <v>18</v>
      </c>
      <c r="B514" t="s">
        <v>84</v>
      </c>
      <c r="C514" t="s">
        <v>21</v>
      </c>
      <c r="D514">
        <v>3</v>
      </c>
      <c r="E514">
        <f>WeeklyPicks!F172</f>
        <v>0</v>
      </c>
      <c r="F514">
        <f>IF(E514="","",SUMIFS(RaceResults!$C:$C,RaceResults!$A:$A,A514,RaceResults!$D:$D,E514))</f>
        <v>0</v>
      </c>
      <c r="G514">
        <f>IF(E514="","",SUMIFS(RaceResults!$E:$E,RaceResults!$A:$A,A514,RaceResults!$D:$D,E514))</f>
        <v>0</v>
      </c>
    </row>
    <row r="515" spans="1:7" x14ac:dyDescent="0.3">
      <c r="A515">
        <v>18</v>
      </c>
      <c r="B515" t="s">
        <v>84</v>
      </c>
      <c r="C515" t="s">
        <v>22</v>
      </c>
      <c r="D515">
        <v>1</v>
      </c>
      <c r="E515">
        <f>WeeklyPicks!D173</f>
        <v>0</v>
      </c>
      <c r="F515">
        <f>IF(E515="","",SUMIFS(RaceResults!$C:$C,RaceResults!$A:$A,A515,RaceResults!$D:$D,E515))</f>
        <v>0</v>
      </c>
      <c r="G515">
        <f>IF(E515="","",SUMIFS(RaceResults!$E:$E,RaceResults!$A:$A,A515,RaceResults!$D:$D,E515))</f>
        <v>0</v>
      </c>
    </row>
    <row r="516" spans="1:7" x14ac:dyDescent="0.3">
      <c r="A516">
        <v>18</v>
      </c>
      <c r="B516" t="s">
        <v>84</v>
      </c>
      <c r="C516" t="s">
        <v>22</v>
      </c>
      <c r="D516">
        <v>2</v>
      </c>
      <c r="E516">
        <f>WeeklyPicks!E173</f>
        <v>0</v>
      </c>
      <c r="F516">
        <f>IF(E516="","",SUMIFS(RaceResults!$C:$C,RaceResults!$A:$A,A516,RaceResults!$D:$D,E516))</f>
        <v>0</v>
      </c>
      <c r="G516">
        <f>IF(E516="","",SUMIFS(RaceResults!$E:$E,RaceResults!$A:$A,A516,RaceResults!$D:$D,E516))</f>
        <v>0</v>
      </c>
    </row>
    <row r="517" spans="1:7" x14ac:dyDescent="0.3">
      <c r="A517">
        <v>18</v>
      </c>
      <c r="B517" t="s">
        <v>84</v>
      </c>
      <c r="C517" t="s">
        <v>22</v>
      </c>
      <c r="D517">
        <v>3</v>
      </c>
      <c r="E517">
        <f>WeeklyPicks!F173</f>
        <v>0</v>
      </c>
      <c r="F517">
        <f>IF(E517="","",SUMIFS(RaceResults!$C:$C,RaceResults!$A:$A,A517,RaceResults!$D:$D,E517))</f>
        <v>0</v>
      </c>
      <c r="G517">
        <f>IF(E517="","",SUMIFS(RaceResults!$E:$E,RaceResults!$A:$A,A517,RaceResults!$D:$D,E517))</f>
        <v>0</v>
      </c>
    </row>
    <row r="518" spans="1:7" x14ac:dyDescent="0.3">
      <c r="A518">
        <v>18</v>
      </c>
      <c r="B518" t="s">
        <v>84</v>
      </c>
      <c r="C518" t="s">
        <v>25</v>
      </c>
      <c r="D518">
        <v>1</v>
      </c>
      <c r="E518">
        <f>WeeklyPicks!D174</f>
        <v>0</v>
      </c>
      <c r="F518">
        <f>IF(E518="","",SUMIFS(RaceResults!$C:$C,RaceResults!$A:$A,A518,RaceResults!$D:$D,E518))</f>
        <v>0</v>
      </c>
      <c r="G518">
        <f>IF(E518="","",SUMIFS(RaceResults!$E:$E,RaceResults!$A:$A,A518,RaceResults!$D:$D,E518))</f>
        <v>0</v>
      </c>
    </row>
    <row r="519" spans="1:7" x14ac:dyDescent="0.3">
      <c r="A519">
        <v>18</v>
      </c>
      <c r="B519" t="s">
        <v>84</v>
      </c>
      <c r="C519" t="s">
        <v>25</v>
      </c>
      <c r="D519">
        <v>2</v>
      </c>
      <c r="E519">
        <f>WeeklyPicks!E174</f>
        <v>0</v>
      </c>
      <c r="F519">
        <f>IF(E519="","",SUMIFS(RaceResults!$C:$C,RaceResults!$A:$A,A519,RaceResults!$D:$D,E519))</f>
        <v>0</v>
      </c>
      <c r="G519">
        <f>IF(E519="","",SUMIFS(RaceResults!$E:$E,RaceResults!$A:$A,A519,RaceResults!$D:$D,E519))</f>
        <v>0</v>
      </c>
    </row>
    <row r="520" spans="1:7" x14ac:dyDescent="0.3">
      <c r="A520">
        <v>18</v>
      </c>
      <c r="B520" t="s">
        <v>84</v>
      </c>
      <c r="C520" t="s">
        <v>25</v>
      </c>
      <c r="D520">
        <v>3</v>
      </c>
      <c r="E520">
        <f>WeeklyPicks!F174</f>
        <v>0</v>
      </c>
      <c r="F520">
        <f>IF(E520="","",SUMIFS(RaceResults!$C:$C,RaceResults!$A:$A,A520,RaceResults!$D:$D,E520))</f>
        <v>0</v>
      </c>
      <c r="G520">
        <f>IF(E520="","",SUMIFS(RaceResults!$E:$E,RaceResults!$A:$A,A520,RaceResults!$D:$D,E520))</f>
        <v>0</v>
      </c>
    </row>
    <row r="521" spans="1:7" x14ac:dyDescent="0.3">
      <c r="A521">
        <v>18</v>
      </c>
      <c r="B521" t="s">
        <v>84</v>
      </c>
      <c r="C521" t="s">
        <v>26</v>
      </c>
      <c r="D521">
        <v>1</v>
      </c>
      <c r="E521">
        <f>WeeklyPicks!D175</f>
        <v>0</v>
      </c>
      <c r="F521">
        <f>IF(E521="","",SUMIFS(RaceResults!$C:$C,RaceResults!$A:$A,A521,RaceResults!$D:$D,E521))</f>
        <v>0</v>
      </c>
      <c r="G521">
        <f>IF(E521="","",SUMIFS(RaceResults!$E:$E,RaceResults!$A:$A,A521,RaceResults!$D:$D,E521))</f>
        <v>0</v>
      </c>
    </row>
    <row r="522" spans="1:7" x14ac:dyDescent="0.3">
      <c r="A522">
        <v>18</v>
      </c>
      <c r="B522" t="s">
        <v>84</v>
      </c>
      <c r="C522" t="s">
        <v>26</v>
      </c>
      <c r="D522">
        <v>2</v>
      </c>
      <c r="E522">
        <f>WeeklyPicks!E175</f>
        <v>0</v>
      </c>
      <c r="F522">
        <f>IF(E522="","",SUMIFS(RaceResults!$C:$C,RaceResults!$A:$A,A522,RaceResults!$D:$D,E522))</f>
        <v>0</v>
      </c>
      <c r="G522">
        <f>IF(E522="","",SUMIFS(RaceResults!$E:$E,RaceResults!$A:$A,A522,RaceResults!$D:$D,E522))</f>
        <v>0</v>
      </c>
    </row>
    <row r="523" spans="1:7" x14ac:dyDescent="0.3">
      <c r="A523">
        <v>18</v>
      </c>
      <c r="B523" t="s">
        <v>84</v>
      </c>
      <c r="C523" t="s">
        <v>26</v>
      </c>
      <c r="D523">
        <v>3</v>
      </c>
      <c r="E523">
        <f>WeeklyPicks!F175</f>
        <v>0</v>
      </c>
      <c r="F523">
        <f>IF(E523="","",SUMIFS(RaceResults!$C:$C,RaceResults!$A:$A,A523,RaceResults!$D:$D,E523))</f>
        <v>0</v>
      </c>
      <c r="G523">
        <f>IF(E523="","",SUMIFS(RaceResults!$E:$E,RaceResults!$A:$A,A523,RaceResults!$D:$D,E523))</f>
        <v>0</v>
      </c>
    </row>
    <row r="524" spans="1:7" x14ac:dyDescent="0.3">
      <c r="A524">
        <v>18</v>
      </c>
      <c r="B524" t="s">
        <v>84</v>
      </c>
      <c r="C524" t="s">
        <v>27</v>
      </c>
      <c r="D524">
        <v>1</v>
      </c>
      <c r="E524">
        <f>WeeklyPicks!D176</f>
        <v>0</v>
      </c>
      <c r="F524">
        <f>IF(E524="","",SUMIFS(RaceResults!$C:$C,RaceResults!$A:$A,A524,RaceResults!$D:$D,E524))</f>
        <v>0</v>
      </c>
      <c r="G524">
        <f>IF(E524="","",SUMIFS(RaceResults!$E:$E,RaceResults!$A:$A,A524,RaceResults!$D:$D,E524))</f>
        <v>0</v>
      </c>
    </row>
    <row r="525" spans="1:7" x14ac:dyDescent="0.3">
      <c r="A525">
        <v>18</v>
      </c>
      <c r="B525" t="s">
        <v>84</v>
      </c>
      <c r="C525" t="s">
        <v>27</v>
      </c>
      <c r="D525">
        <v>2</v>
      </c>
      <c r="E525">
        <f>WeeklyPicks!E176</f>
        <v>0</v>
      </c>
      <c r="F525">
        <f>IF(E525="","",SUMIFS(RaceResults!$C:$C,RaceResults!$A:$A,A525,RaceResults!$D:$D,E525))</f>
        <v>0</v>
      </c>
      <c r="G525">
        <f>IF(E525="","",SUMIFS(RaceResults!$E:$E,RaceResults!$A:$A,A525,RaceResults!$D:$D,E525))</f>
        <v>0</v>
      </c>
    </row>
    <row r="526" spans="1:7" x14ac:dyDescent="0.3">
      <c r="A526">
        <v>18</v>
      </c>
      <c r="B526" t="s">
        <v>84</v>
      </c>
      <c r="C526" t="s">
        <v>27</v>
      </c>
      <c r="D526">
        <v>3</v>
      </c>
      <c r="E526">
        <f>WeeklyPicks!F176</f>
        <v>0</v>
      </c>
      <c r="F526">
        <f>IF(E526="","",SUMIFS(RaceResults!$C:$C,RaceResults!$A:$A,A526,RaceResults!$D:$D,E526))</f>
        <v>0</v>
      </c>
      <c r="G526">
        <f>IF(E526="","",SUMIFS(RaceResults!$E:$E,RaceResults!$A:$A,A526,RaceResults!$D:$D,E526))</f>
        <v>0</v>
      </c>
    </row>
    <row r="527" spans="1:7" x14ac:dyDescent="0.3">
      <c r="A527">
        <v>18</v>
      </c>
      <c r="B527" t="s">
        <v>84</v>
      </c>
      <c r="C527" t="s">
        <v>28</v>
      </c>
      <c r="D527">
        <v>1</v>
      </c>
      <c r="E527">
        <f>WeeklyPicks!D177</f>
        <v>0</v>
      </c>
      <c r="F527">
        <f>IF(E527="","",SUMIFS(RaceResults!$C:$C,RaceResults!$A:$A,A527,RaceResults!$D:$D,E527))</f>
        <v>0</v>
      </c>
      <c r="G527">
        <f>IF(E527="","",SUMIFS(RaceResults!$E:$E,RaceResults!$A:$A,A527,RaceResults!$D:$D,E527))</f>
        <v>0</v>
      </c>
    </row>
    <row r="528" spans="1:7" x14ac:dyDescent="0.3">
      <c r="A528">
        <v>18</v>
      </c>
      <c r="B528" t="s">
        <v>84</v>
      </c>
      <c r="C528" t="s">
        <v>28</v>
      </c>
      <c r="D528">
        <v>2</v>
      </c>
      <c r="E528">
        <f>WeeklyPicks!E177</f>
        <v>0</v>
      </c>
      <c r="F528">
        <f>IF(E528="","",SUMIFS(RaceResults!$C:$C,RaceResults!$A:$A,A528,RaceResults!$D:$D,E528))</f>
        <v>0</v>
      </c>
      <c r="G528">
        <f>IF(E528="","",SUMIFS(RaceResults!$E:$E,RaceResults!$A:$A,A528,RaceResults!$D:$D,E528))</f>
        <v>0</v>
      </c>
    </row>
    <row r="529" spans="1:7" x14ac:dyDescent="0.3">
      <c r="A529">
        <v>18</v>
      </c>
      <c r="B529" t="s">
        <v>84</v>
      </c>
      <c r="C529" t="s">
        <v>28</v>
      </c>
      <c r="D529">
        <v>3</v>
      </c>
      <c r="E529">
        <f>WeeklyPicks!F177</f>
        <v>0</v>
      </c>
      <c r="F529">
        <f>IF(E529="","",SUMIFS(RaceResults!$C:$C,RaceResults!$A:$A,A529,RaceResults!$D:$D,E529))</f>
        <v>0</v>
      </c>
      <c r="G529">
        <f>IF(E529="","",SUMIFS(RaceResults!$E:$E,RaceResults!$A:$A,A529,RaceResults!$D:$D,E529))</f>
        <v>0</v>
      </c>
    </row>
    <row r="530" spans="1:7" x14ac:dyDescent="0.3">
      <c r="A530">
        <v>18</v>
      </c>
      <c r="B530" t="s">
        <v>84</v>
      </c>
      <c r="C530" t="s">
        <v>29</v>
      </c>
      <c r="D530">
        <v>1</v>
      </c>
      <c r="E530">
        <f>WeeklyPicks!D178</f>
        <v>0</v>
      </c>
      <c r="F530">
        <f>IF(E530="","",SUMIFS(RaceResults!$C:$C,RaceResults!$A:$A,A530,RaceResults!$D:$D,E530))</f>
        <v>0</v>
      </c>
      <c r="G530">
        <f>IF(E530="","",SUMIFS(RaceResults!$E:$E,RaceResults!$A:$A,A530,RaceResults!$D:$D,E530))</f>
        <v>0</v>
      </c>
    </row>
    <row r="531" spans="1:7" x14ac:dyDescent="0.3">
      <c r="A531">
        <v>18</v>
      </c>
      <c r="B531" t="s">
        <v>84</v>
      </c>
      <c r="C531" t="s">
        <v>29</v>
      </c>
      <c r="D531">
        <v>2</v>
      </c>
      <c r="E531">
        <f>WeeklyPicks!E178</f>
        <v>0</v>
      </c>
      <c r="F531">
        <f>IF(E531="","",SUMIFS(RaceResults!$C:$C,RaceResults!$A:$A,A531,RaceResults!$D:$D,E531))</f>
        <v>0</v>
      </c>
      <c r="G531">
        <f>IF(E531="","",SUMIFS(RaceResults!$E:$E,RaceResults!$A:$A,A531,RaceResults!$D:$D,E531))</f>
        <v>0</v>
      </c>
    </row>
    <row r="532" spans="1:7" x14ac:dyDescent="0.3">
      <c r="A532">
        <v>18</v>
      </c>
      <c r="B532" t="s">
        <v>84</v>
      </c>
      <c r="C532" t="s">
        <v>29</v>
      </c>
      <c r="D532">
        <v>3</v>
      </c>
      <c r="E532">
        <f>WeeklyPicks!F178</f>
        <v>0</v>
      </c>
      <c r="F532">
        <f>IF(E532="","",SUMIFS(RaceResults!$C:$C,RaceResults!$A:$A,A532,RaceResults!$D:$D,E532))</f>
        <v>0</v>
      </c>
      <c r="G532">
        <f>IF(E532="","",SUMIFS(RaceResults!$E:$E,RaceResults!$A:$A,A532,RaceResults!$D:$D,E532))</f>
        <v>0</v>
      </c>
    </row>
    <row r="533" spans="1:7" x14ac:dyDescent="0.3">
      <c r="A533">
        <v>18</v>
      </c>
      <c r="B533" t="s">
        <v>84</v>
      </c>
      <c r="C533" t="s">
        <v>30</v>
      </c>
      <c r="D533">
        <v>1</v>
      </c>
      <c r="E533">
        <f>WeeklyPicks!D179</f>
        <v>0</v>
      </c>
      <c r="F533">
        <f>IF(E533="","",SUMIFS(RaceResults!$C:$C,RaceResults!$A:$A,A533,RaceResults!$D:$D,E533))</f>
        <v>0</v>
      </c>
      <c r="G533">
        <f>IF(E533="","",SUMIFS(RaceResults!$E:$E,RaceResults!$A:$A,A533,RaceResults!$D:$D,E533))</f>
        <v>0</v>
      </c>
    </row>
    <row r="534" spans="1:7" x14ac:dyDescent="0.3">
      <c r="A534">
        <v>18</v>
      </c>
      <c r="B534" t="s">
        <v>84</v>
      </c>
      <c r="C534" t="s">
        <v>30</v>
      </c>
      <c r="D534">
        <v>2</v>
      </c>
      <c r="E534">
        <f>WeeklyPicks!E179</f>
        <v>0</v>
      </c>
      <c r="F534">
        <f>IF(E534="","",SUMIFS(RaceResults!$C:$C,RaceResults!$A:$A,A534,RaceResults!$D:$D,E534))</f>
        <v>0</v>
      </c>
      <c r="G534">
        <f>IF(E534="","",SUMIFS(RaceResults!$E:$E,RaceResults!$A:$A,A534,RaceResults!$D:$D,E534))</f>
        <v>0</v>
      </c>
    </row>
    <row r="535" spans="1:7" x14ac:dyDescent="0.3">
      <c r="A535">
        <v>18</v>
      </c>
      <c r="B535" t="s">
        <v>84</v>
      </c>
      <c r="C535" t="s">
        <v>30</v>
      </c>
      <c r="D535">
        <v>3</v>
      </c>
      <c r="E535">
        <f>WeeklyPicks!F179</f>
        <v>0</v>
      </c>
      <c r="F535">
        <f>IF(E535="","",SUMIFS(RaceResults!$C:$C,RaceResults!$A:$A,A535,RaceResults!$D:$D,E535))</f>
        <v>0</v>
      </c>
      <c r="G535">
        <f>IF(E535="","",SUMIFS(RaceResults!$E:$E,RaceResults!$A:$A,A535,RaceResults!$D:$D,E535))</f>
        <v>0</v>
      </c>
    </row>
    <row r="536" spans="1:7" x14ac:dyDescent="0.3">
      <c r="A536">
        <v>18</v>
      </c>
      <c r="B536" t="s">
        <v>84</v>
      </c>
      <c r="C536" t="s">
        <v>31</v>
      </c>
      <c r="D536">
        <v>1</v>
      </c>
      <c r="E536">
        <f>WeeklyPicks!D180</f>
        <v>0</v>
      </c>
      <c r="F536">
        <f>IF(E536="","",SUMIFS(RaceResults!$C:$C,RaceResults!$A:$A,A536,RaceResults!$D:$D,E536))</f>
        <v>0</v>
      </c>
      <c r="G536">
        <f>IF(E536="","",SUMIFS(RaceResults!$E:$E,RaceResults!$A:$A,A536,RaceResults!$D:$D,E536))</f>
        <v>0</v>
      </c>
    </row>
    <row r="537" spans="1:7" x14ac:dyDescent="0.3">
      <c r="A537">
        <v>18</v>
      </c>
      <c r="B537" t="s">
        <v>84</v>
      </c>
      <c r="C537" t="s">
        <v>31</v>
      </c>
      <c r="D537">
        <v>2</v>
      </c>
      <c r="E537">
        <f>WeeklyPicks!E180</f>
        <v>0</v>
      </c>
      <c r="F537">
        <f>IF(E537="","",SUMIFS(RaceResults!$C:$C,RaceResults!$A:$A,A537,RaceResults!$D:$D,E537))</f>
        <v>0</v>
      </c>
      <c r="G537">
        <f>IF(E537="","",SUMIFS(RaceResults!$E:$E,RaceResults!$A:$A,A537,RaceResults!$D:$D,E537))</f>
        <v>0</v>
      </c>
    </row>
    <row r="538" spans="1:7" x14ac:dyDescent="0.3">
      <c r="A538">
        <v>18</v>
      </c>
      <c r="B538" t="s">
        <v>84</v>
      </c>
      <c r="C538" t="s">
        <v>31</v>
      </c>
      <c r="D538">
        <v>3</v>
      </c>
      <c r="E538">
        <f>WeeklyPicks!F180</f>
        <v>0</v>
      </c>
      <c r="F538">
        <f>IF(E538="","",SUMIFS(RaceResults!$C:$C,RaceResults!$A:$A,A538,RaceResults!$D:$D,E538))</f>
        <v>0</v>
      </c>
      <c r="G538">
        <f>IF(E538="","",SUMIFS(RaceResults!$E:$E,RaceResults!$A:$A,A538,RaceResults!$D:$D,E538))</f>
        <v>0</v>
      </c>
    </row>
    <row r="539" spans="1:7" x14ac:dyDescent="0.3">
      <c r="A539">
        <v>18</v>
      </c>
      <c r="B539" t="s">
        <v>84</v>
      </c>
      <c r="C539" t="s">
        <v>32</v>
      </c>
      <c r="D539">
        <v>1</v>
      </c>
      <c r="E539">
        <f>WeeklyPicks!D181</f>
        <v>0</v>
      </c>
      <c r="F539">
        <f>IF(E539="","",SUMIFS(RaceResults!$C:$C,RaceResults!$A:$A,A539,RaceResults!$D:$D,E539))</f>
        <v>0</v>
      </c>
      <c r="G539">
        <f>IF(E539="","",SUMIFS(RaceResults!$E:$E,RaceResults!$A:$A,A539,RaceResults!$D:$D,E539))</f>
        <v>0</v>
      </c>
    </row>
    <row r="540" spans="1:7" x14ac:dyDescent="0.3">
      <c r="A540">
        <v>18</v>
      </c>
      <c r="B540" t="s">
        <v>84</v>
      </c>
      <c r="C540" t="s">
        <v>32</v>
      </c>
      <c r="D540">
        <v>2</v>
      </c>
      <c r="E540">
        <f>WeeklyPicks!E181</f>
        <v>0</v>
      </c>
      <c r="F540">
        <f>IF(E540="","",SUMIFS(RaceResults!$C:$C,RaceResults!$A:$A,A540,RaceResults!$D:$D,E540))</f>
        <v>0</v>
      </c>
      <c r="G540">
        <f>IF(E540="","",SUMIFS(RaceResults!$E:$E,RaceResults!$A:$A,A540,RaceResults!$D:$D,E540))</f>
        <v>0</v>
      </c>
    </row>
    <row r="541" spans="1:7" x14ac:dyDescent="0.3">
      <c r="A541">
        <v>18</v>
      </c>
      <c r="B541" t="s">
        <v>84</v>
      </c>
      <c r="C541" t="s">
        <v>32</v>
      </c>
      <c r="D541">
        <v>3</v>
      </c>
      <c r="E541">
        <f>WeeklyPicks!F181</f>
        <v>0</v>
      </c>
      <c r="F541">
        <f>IF(E541="","",SUMIFS(RaceResults!$C:$C,RaceResults!$A:$A,A541,RaceResults!$D:$D,E541))</f>
        <v>0</v>
      </c>
      <c r="G541">
        <f>IF(E541="","",SUMIFS(RaceResults!$E:$E,RaceResults!$A:$A,A541,RaceResults!$D:$D,E541))</f>
        <v>0</v>
      </c>
    </row>
    <row r="542" spans="1:7" x14ac:dyDescent="0.3">
      <c r="A542">
        <v>19</v>
      </c>
      <c r="B542" t="s">
        <v>87</v>
      </c>
      <c r="C542" t="s">
        <v>21</v>
      </c>
      <c r="D542">
        <v>1</v>
      </c>
      <c r="E542">
        <f>WeeklyPicks!D182</f>
        <v>0</v>
      </c>
      <c r="F542">
        <f>IF(E542="","",SUMIFS(RaceResults!$C:$C,RaceResults!$A:$A,A542,RaceResults!$D:$D,E542))</f>
        <v>0</v>
      </c>
      <c r="G542">
        <f>IF(E542="","",SUMIFS(RaceResults!$E:$E,RaceResults!$A:$A,A542,RaceResults!$D:$D,E542))</f>
        <v>0</v>
      </c>
    </row>
    <row r="543" spans="1:7" x14ac:dyDescent="0.3">
      <c r="A543">
        <v>19</v>
      </c>
      <c r="B543" t="s">
        <v>87</v>
      </c>
      <c r="C543" t="s">
        <v>21</v>
      </c>
      <c r="D543">
        <v>2</v>
      </c>
      <c r="E543">
        <f>WeeklyPicks!E182</f>
        <v>0</v>
      </c>
      <c r="F543">
        <f>IF(E543="","",SUMIFS(RaceResults!$C:$C,RaceResults!$A:$A,A543,RaceResults!$D:$D,E543))</f>
        <v>0</v>
      </c>
      <c r="G543">
        <f>IF(E543="","",SUMIFS(RaceResults!$E:$E,RaceResults!$A:$A,A543,RaceResults!$D:$D,E543))</f>
        <v>0</v>
      </c>
    </row>
    <row r="544" spans="1:7" x14ac:dyDescent="0.3">
      <c r="A544">
        <v>19</v>
      </c>
      <c r="B544" t="s">
        <v>87</v>
      </c>
      <c r="C544" t="s">
        <v>21</v>
      </c>
      <c r="D544">
        <v>3</v>
      </c>
      <c r="E544">
        <f>WeeklyPicks!F182</f>
        <v>0</v>
      </c>
      <c r="F544">
        <f>IF(E544="","",SUMIFS(RaceResults!$C:$C,RaceResults!$A:$A,A544,RaceResults!$D:$D,E544))</f>
        <v>0</v>
      </c>
      <c r="G544">
        <f>IF(E544="","",SUMIFS(RaceResults!$E:$E,RaceResults!$A:$A,A544,RaceResults!$D:$D,E544))</f>
        <v>0</v>
      </c>
    </row>
    <row r="545" spans="1:7" x14ac:dyDescent="0.3">
      <c r="A545">
        <v>19</v>
      </c>
      <c r="B545" t="s">
        <v>87</v>
      </c>
      <c r="C545" t="s">
        <v>22</v>
      </c>
      <c r="D545">
        <v>1</v>
      </c>
      <c r="E545">
        <f>WeeklyPicks!D183</f>
        <v>0</v>
      </c>
      <c r="F545">
        <f>IF(E545="","",SUMIFS(RaceResults!$C:$C,RaceResults!$A:$A,A545,RaceResults!$D:$D,E545))</f>
        <v>0</v>
      </c>
      <c r="G545">
        <f>IF(E545="","",SUMIFS(RaceResults!$E:$E,RaceResults!$A:$A,A545,RaceResults!$D:$D,E545))</f>
        <v>0</v>
      </c>
    </row>
    <row r="546" spans="1:7" x14ac:dyDescent="0.3">
      <c r="A546">
        <v>19</v>
      </c>
      <c r="B546" t="s">
        <v>87</v>
      </c>
      <c r="C546" t="s">
        <v>22</v>
      </c>
      <c r="D546">
        <v>2</v>
      </c>
      <c r="E546">
        <f>WeeklyPicks!E183</f>
        <v>0</v>
      </c>
      <c r="F546">
        <f>IF(E546="","",SUMIFS(RaceResults!$C:$C,RaceResults!$A:$A,A546,RaceResults!$D:$D,E546))</f>
        <v>0</v>
      </c>
      <c r="G546">
        <f>IF(E546="","",SUMIFS(RaceResults!$E:$E,RaceResults!$A:$A,A546,RaceResults!$D:$D,E546))</f>
        <v>0</v>
      </c>
    </row>
    <row r="547" spans="1:7" x14ac:dyDescent="0.3">
      <c r="A547">
        <v>19</v>
      </c>
      <c r="B547" t="s">
        <v>87</v>
      </c>
      <c r="C547" t="s">
        <v>22</v>
      </c>
      <c r="D547">
        <v>3</v>
      </c>
      <c r="E547">
        <f>WeeklyPicks!F183</f>
        <v>0</v>
      </c>
      <c r="F547">
        <f>IF(E547="","",SUMIFS(RaceResults!$C:$C,RaceResults!$A:$A,A547,RaceResults!$D:$D,E547))</f>
        <v>0</v>
      </c>
      <c r="G547">
        <f>IF(E547="","",SUMIFS(RaceResults!$E:$E,RaceResults!$A:$A,A547,RaceResults!$D:$D,E547))</f>
        <v>0</v>
      </c>
    </row>
    <row r="548" spans="1:7" x14ac:dyDescent="0.3">
      <c r="A548">
        <v>19</v>
      </c>
      <c r="B548" t="s">
        <v>87</v>
      </c>
      <c r="C548" t="s">
        <v>25</v>
      </c>
      <c r="D548">
        <v>1</v>
      </c>
      <c r="E548">
        <f>WeeklyPicks!D184</f>
        <v>0</v>
      </c>
      <c r="F548">
        <f>IF(E548="","",SUMIFS(RaceResults!$C:$C,RaceResults!$A:$A,A548,RaceResults!$D:$D,E548))</f>
        <v>0</v>
      </c>
      <c r="G548">
        <f>IF(E548="","",SUMIFS(RaceResults!$E:$E,RaceResults!$A:$A,A548,RaceResults!$D:$D,E548))</f>
        <v>0</v>
      </c>
    </row>
    <row r="549" spans="1:7" x14ac:dyDescent="0.3">
      <c r="A549">
        <v>19</v>
      </c>
      <c r="B549" t="s">
        <v>87</v>
      </c>
      <c r="C549" t="s">
        <v>25</v>
      </c>
      <c r="D549">
        <v>2</v>
      </c>
      <c r="E549">
        <f>WeeklyPicks!E184</f>
        <v>0</v>
      </c>
      <c r="F549">
        <f>IF(E549="","",SUMIFS(RaceResults!$C:$C,RaceResults!$A:$A,A549,RaceResults!$D:$D,E549))</f>
        <v>0</v>
      </c>
      <c r="G549">
        <f>IF(E549="","",SUMIFS(RaceResults!$E:$E,RaceResults!$A:$A,A549,RaceResults!$D:$D,E549))</f>
        <v>0</v>
      </c>
    </row>
    <row r="550" spans="1:7" x14ac:dyDescent="0.3">
      <c r="A550">
        <v>19</v>
      </c>
      <c r="B550" t="s">
        <v>87</v>
      </c>
      <c r="C550" t="s">
        <v>25</v>
      </c>
      <c r="D550">
        <v>3</v>
      </c>
      <c r="E550">
        <f>WeeklyPicks!F184</f>
        <v>0</v>
      </c>
      <c r="F550">
        <f>IF(E550="","",SUMIFS(RaceResults!$C:$C,RaceResults!$A:$A,A550,RaceResults!$D:$D,E550))</f>
        <v>0</v>
      </c>
      <c r="G550">
        <f>IF(E550="","",SUMIFS(RaceResults!$E:$E,RaceResults!$A:$A,A550,RaceResults!$D:$D,E550))</f>
        <v>0</v>
      </c>
    </row>
    <row r="551" spans="1:7" x14ac:dyDescent="0.3">
      <c r="A551">
        <v>19</v>
      </c>
      <c r="B551" t="s">
        <v>87</v>
      </c>
      <c r="C551" t="s">
        <v>26</v>
      </c>
      <c r="D551">
        <v>1</v>
      </c>
      <c r="E551">
        <f>WeeklyPicks!D185</f>
        <v>0</v>
      </c>
      <c r="F551">
        <f>IF(E551="","",SUMIFS(RaceResults!$C:$C,RaceResults!$A:$A,A551,RaceResults!$D:$D,E551))</f>
        <v>0</v>
      </c>
      <c r="G551">
        <f>IF(E551="","",SUMIFS(RaceResults!$E:$E,RaceResults!$A:$A,A551,RaceResults!$D:$D,E551))</f>
        <v>0</v>
      </c>
    </row>
    <row r="552" spans="1:7" x14ac:dyDescent="0.3">
      <c r="A552">
        <v>19</v>
      </c>
      <c r="B552" t="s">
        <v>87</v>
      </c>
      <c r="C552" t="s">
        <v>26</v>
      </c>
      <c r="D552">
        <v>2</v>
      </c>
      <c r="E552">
        <f>WeeklyPicks!E185</f>
        <v>0</v>
      </c>
      <c r="F552">
        <f>IF(E552="","",SUMIFS(RaceResults!$C:$C,RaceResults!$A:$A,A552,RaceResults!$D:$D,E552))</f>
        <v>0</v>
      </c>
      <c r="G552">
        <f>IF(E552="","",SUMIFS(RaceResults!$E:$E,RaceResults!$A:$A,A552,RaceResults!$D:$D,E552))</f>
        <v>0</v>
      </c>
    </row>
    <row r="553" spans="1:7" x14ac:dyDescent="0.3">
      <c r="A553">
        <v>19</v>
      </c>
      <c r="B553" t="s">
        <v>87</v>
      </c>
      <c r="C553" t="s">
        <v>26</v>
      </c>
      <c r="D553">
        <v>3</v>
      </c>
      <c r="E553">
        <f>WeeklyPicks!F185</f>
        <v>0</v>
      </c>
      <c r="F553">
        <f>IF(E553="","",SUMIFS(RaceResults!$C:$C,RaceResults!$A:$A,A553,RaceResults!$D:$D,E553))</f>
        <v>0</v>
      </c>
      <c r="G553">
        <f>IF(E553="","",SUMIFS(RaceResults!$E:$E,RaceResults!$A:$A,A553,RaceResults!$D:$D,E553))</f>
        <v>0</v>
      </c>
    </row>
    <row r="554" spans="1:7" x14ac:dyDescent="0.3">
      <c r="A554">
        <v>19</v>
      </c>
      <c r="B554" t="s">
        <v>87</v>
      </c>
      <c r="C554" t="s">
        <v>27</v>
      </c>
      <c r="D554">
        <v>1</v>
      </c>
      <c r="E554">
        <f>WeeklyPicks!D186</f>
        <v>0</v>
      </c>
      <c r="F554">
        <f>IF(E554="","",SUMIFS(RaceResults!$C:$C,RaceResults!$A:$A,A554,RaceResults!$D:$D,E554))</f>
        <v>0</v>
      </c>
      <c r="G554">
        <f>IF(E554="","",SUMIFS(RaceResults!$E:$E,RaceResults!$A:$A,A554,RaceResults!$D:$D,E554))</f>
        <v>0</v>
      </c>
    </row>
    <row r="555" spans="1:7" x14ac:dyDescent="0.3">
      <c r="A555">
        <v>19</v>
      </c>
      <c r="B555" t="s">
        <v>87</v>
      </c>
      <c r="C555" t="s">
        <v>27</v>
      </c>
      <c r="D555">
        <v>2</v>
      </c>
      <c r="E555">
        <f>WeeklyPicks!E186</f>
        <v>0</v>
      </c>
      <c r="F555">
        <f>IF(E555="","",SUMIFS(RaceResults!$C:$C,RaceResults!$A:$A,A555,RaceResults!$D:$D,E555))</f>
        <v>0</v>
      </c>
      <c r="G555">
        <f>IF(E555="","",SUMIFS(RaceResults!$E:$E,RaceResults!$A:$A,A555,RaceResults!$D:$D,E555))</f>
        <v>0</v>
      </c>
    </row>
    <row r="556" spans="1:7" x14ac:dyDescent="0.3">
      <c r="A556">
        <v>19</v>
      </c>
      <c r="B556" t="s">
        <v>87</v>
      </c>
      <c r="C556" t="s">
        <v>27</v>
      </c>
      <c r="D556">
        <v>3</v>
      </c>
      <c r="E556">
        <f>WeeklyPicks!F186</f>
        <v>0</v>
      </c>
      <c r="F556">
        <f>IF(E556="","",SUMIFS(RaceResults!$C:$C,RaceResults!$A:$A,A556,RaceResults!$D:$D,E556))</f>
        <v>0</v>
      </c>
      <c r="G556">
        <f>IF(E556="","",SUMIFS(RaceResults!$E:$E,RaceResults!$A:$A,A556,RaceResults!$D:$D,E556))</f>
        <v>0</v>
      </c>
    </row>
    <row r="557" spans="1:7" x14ac:dyDescent="0.3">
      <c r="A557">
        <v>19</v>
      </c>
      <c r="B557" t="s">
        <v>87</v>
      </c>
      <c r="C557" t="s">
        <v>28</v>
      </c>
      <c r="D557">
        <v>1</v>
      </c>
      <c r="E557">
        <f>WeeklyPicks!D187</f>
        <v>0</v>
      </c>
      <c r="F557">
        <f>IF(E557="","",SUMIFS(RaceResults!$C:$C,RaceResults!$A:$A,A557,RaceResults!$D:$D,E557))</f>
        <v>0</v>
      </c>
      <c r="G557">
        <f>IF(E557="","",SUMIFS(RaceResults!$E:$E,RaceResults!$A:$A,A557,RaceResults!$D:$D,E557))</f>
        <v>0</v>
      </c>
    </row>
    <row r="558" spans="1:7" x14ac:dyDescent="0.3">
      <c r="A558">
        <v>19</v>
      </c>
      <c r="B558" t="s">
        <v>87</v>
      </c>
      <c r="C558" t="s">
        <v>28</v>
      </c>
      <c r="D558">
        <v>2</v>
      </c>
      <c r="E558">
        <f>WeeklyPicks!E187</f>
        <v>0</v>
      </c>
      <c r="F558">
        <f>IF(E558="","",SUMIFS(RaceResults!$C:$C,RaceResults!$A:$A,A558,RaceResults!$D:$D,E558))</f>
        <v>0</v>
      </c>
      <c r="G558">
        <f>IF(E558="","",SUMIFS(RaceResults!$E:$E,RaceResults!$A:$A,A558,RaceResults!$D:$D,E558))</f>
        <v>0</v>
      </c>
    </row>
    <row r="559" spans="1:7" x14ac:dyDescent="0.3">
      <c r="A559">
        <v>19</v>
      </c>
      <c r="B559" t="s">
        <v>87</v>
      </c>
      <c r="C559" t="s">
        <v>28</v>
      </c>
      <c r="D559">
        <v>3</v>
      </c>
      <c r="E559">
        <f>WeeklyPicks!F187</f>
        <v>0</v>
      </c>
      <c r="F559">
        <f>IF(E559="","",SUMIFS(RaceResults!$C:$C,RaceResults!$A:$A,A559,RaceResults!$D:$D,E559))</f>
        <v>0</v>
      </c>
      <c r="G559">
        <f>IF(E559="","",SUMIFS(RaceResults!$E:$E,RaceResults!$A:$A,A559,RaceResults!$D:$D,E559))</f>
        <v>0</v>
      </c>
    </row>
    <row r="560" spans="1:7" x14ac:dyDescent="0.3">
      <c r="A560">
        <v>19</v>
      </c>
      <c r="B560" t="s">
        <v>87</v>
      </c>
      <c r="C560" t="s">
        <v>29</v>
      </c>
      <c r="D560">
        <v>1</v>
      </c>
      <c r="E560">
        <f>WeeklyPicks!D188</f>
        <v>0</v>
      </c>
      <c r="F560">
        <f>IF(E560="","",SUMIFS(RaceResults!$C:$C,RaceResults!$A:$A,A560,RaceResults!$D:$D,E560))</f>
        <v>0</v>
      </c>
      <c r="G560">
        <f>IF(E560="","",SUMIFS(RaceResults!$E:$E,RaceResults!$A:$A,A560,RaceResults!$D:$D,E560))</f>
        <v>0</v>
      </c>
    </row>
    <row r="561" spans="1:7" x14ac:dyDescent="0.3">
      <c r="A561">
        <v>19</v>
      </c>
      <c r="B561" t="s">
        <v>87</v>
      </c>
      <c r="C561" t="s">
        <v>29</v>
      </c>
      <c r="D561">
        <v>2</v>
      </c>
      <c r="E561">
        <f>WeeklyPicks!E188</f>
        <v>0</v>
      </c>
      <c r="F561">
        <f>IF(E561="","",SUMIFS(RaceResults!$C:$C,RaceResults!$A:$A,A561,RaceResults!$D:$D,E561))</f>
        <v>0</v>
      </c>
      <c r="G561">
        <f>IF(E561="","",SUMIFS(RaceResults!$E:$E,RaceResults!$A:$A,A561,RaceResults!$D:$D,E561))</f>
        <v>0</v>
      </c>
    </row>
    <row r="562" spans="1:7" x14ac:dyDescent="0.3">
      <c r="A562">
        <v>19</v>
      </c>
      <c r="B562" t="s">
        <v>87</v>
      </c>
      <c r="C562" t="s">
        <v>29</v>
      </c>
      <c r="D562">
        <v>3</v>
      </c>
      <c r="E562">
        <f>WeeklyPicks!F188</f>
        <v>0</v>
      </c>
      <c r="F562">
        <f>IF(E562="","",SUMIFS(RaceResults!$C:$C,RaceResults!$A:$A,A562,RaceResults!$D:$D,E562))</f>
        <v>0</v>
      </c>
      <c r="G562">
        <f>IF(E562="","",SUMIFS(RaceResults!$E:$E,RaceResults!$A:$A,A562,RaceResults!$D:$D,E562))</f>
        <v>0</v>
      </c>
    </row>
    <row r="563" spans="1:7" x14ac:dyDescent="0.3">
      <c r="A563">
        <v>19</v>
      </c>
      <c r="B563" t="s">
        <v>87</v>
      </c>
      <c r="C563" t="s">
        <v>30</v>
      </c>
      <c r="D563">
        <v>1</v>
      </c>
      <c r="E563">
        <f>WeeklyPicks!D189</f>
        <v>0</v>
      </c>
      <c r="F563">
        <f>IF(E563="","",SUMIFS(RaceResults!$C:$C,RaceResults!$A:$A,A563,RaceResults!$D:$D,E563))</f>
        <v>0</v>
      </c>
      <c r="G563">
        <f>IF(E563="","",SUMIFS(RaceResults!$E:$E,RaceResults!$A:$A,A563,RaceResults!$D:$D,E563))</f>
        <v>0</v>
      </c>
    </row>
    <row r="564" spans="1:7" x14ac:dyDescent="0.3">
      <c r="A564">
        <v>19</v>
      </c>
      <c r="B564" t="s">
        <v>87</v>
      </c>
      <c r="C564" t="s">
        <v>30</v>
      </c>
      <c r="D564">
        <v>2</v>
      </c>
      <c r="E564">
        <f>WeeklyPicks!E189</f>
        <v>0</v>
      </c>
      <c r="F564">
        <f>IF(E564="","",SUMIFS(RaceResults!$C:$C,RaceResults!$A:$A,A564,RaceResults!$D:$D,E564))</f>
        <v>0</v>
      </c>
      <c r="G564">
        <f>IF(E564="","",SUMIFS(RaceResults!$E:$E,RaceResults!$A:$A,A564,RaceResults!$D:$D,E564))</f>
        <v>0</v>
      </c>
    </row>
    <row r="565" spans="1:7" x14ac:dyDescent="0.3">
      <c r="A565">
        <v>19</v>
      </c>
      <c r="B565" t="s">
        <v>87</v>
      </c>
      <c r="C565" t="s">
        <v>30</v>
      </c>
      <c r="D565">
        <v>3</v>
      </c>
      <c r="E565">
        <f>WeeklyPicks!F189</f>
        <v>0</v>
      </c>
      <c r="F565">
        <f>IF(E565="","",SUMIFS(RaceResults!$C:$C,RaceResults!$A:$A,A565,RaceResults!$D:$D,E565))</f>
        <v>0</v>
      </c>
      <c r="G565">
        <f>IF(E565="","",SUMIFS(RaceResults!$E:$E,RaceResults!$A:$A,A565,RaceResults!$D:$D,E565))</f>
        <v>0</v>
      </c>
    </row>
    <row r="566" spans="1:7" x14ac:dyDescent="0.3">
      <c r="A566">
        <v>19</v>
      </c>
      <c r="B566" t="s">
        <v>87</v>
      </c>
      <c r="C566" t="s">
        <v>31</v>
      </c>
      <c r="D566">
        <v>1</v>
      </c>
      <c r="E566">
        <f>WeeklyPicks!D190</f>
        <v>0</v>
      </c>
      <c r="F566">
        <f>IF(E566="","",SUMIFS(RaceResults!$C:$C,RaceResults!$A:$A,A566,RaceResults!$D:$D,E566))</f>
        <v>0</v>
      </c>
      <c r="G566">
        <f>IF(E566="","",SUMIFS(RaceResults!$E:$E,RaceResults!$A:$A,A566,RaceResults!$D:$D,E566))</f>
        <v>0</v>
      </c>
    </row>
    <row r="567" spans="1:7" x14ac:dyDescent="0.3">
      <c r="A567">
        <v>19</v>
      </c>
      <c r="B567" t="s">
        <v>87</v>
      </c>
      <c r="C567" t="s">
        <v>31</v>
      </c>
      <c r="D567">
        <v>2</v>
      </c>
      <c r="E567">
        <f>WeeklyPicks!E190</f>
        <v>0</v>
      </c>
      <c r="F567">
        <f>IF(E567="","",SUMIFS(RaceResults!$C:$C,RaceResults!$A:$A,A567,RaceResults!$D:$D,E567))</f>
        <v>0</v>
      </c>
      <c r="G567">
        <f>IF(E567="","",SUMIFS(RaceResults!$E:$E,RaceResults!$A:$A,A567,RaceResults!$D:$D,E567))</f>
        <v>0</v>
      </c>
    </row>
    <row r="568" spans="1:7" x14ac:dyDescent="0.3">
      <c r="A568">
        <v>19</v>
      </c>
      <c r="B568" t="s">
        <v>87</v>
      </c>
      <c r="C568" t="s">
        <v>31</v>
      </c>
      <c r="D568">
        <v>3</v>
      </c>
      <c r="E568">
        <f>WeeklyPicks!F190</f>
        <v>0</v>
      </c>
      <c r="F568">
        <f>IF(E568="","",SUMIFS(RaceResults!$C:$C,RaceResults!$A:$A,A568,RaceResults!$D:$D,E568))</f>
        <v>0</v>
      </c>
      <c r="G568">
        <f>IF(E568="","",SUMIFS(RaceResults!$E:$E,RaceResults!$A:$A,A568,RaceResults!$D:$D,E568))</f>
        <v>0</v>
      </c>
    </row>
    <row r="569" spans="1:7" x14ac:dyDescent="0.3">
      <c r="A569">
        <v>19</v>
      </c>
      <c r="B569" t="s">
        <v>87</v>
      </c>
      <c r="C569" t="s">
        <v>32</v>
      </c>
      <c r="D569">
        <v>1</v>
      </c>
      <c r="E569">
        <f>WeeklyPicks!D191</f>
        <v>0</v>
      </c>
      <c r="F569">
        <f>IF(E569="","",SUMIFS(RaceResults!$C:$C,RaceResults!$A:$A,A569,RaceResults!$D:$D,E569))</f>
        <v>0</v>
      </c>
      <c r="G569">
        <f>IF(E569="","",SUMIFS(RaceResults!$E:$E,RaceResults!$A:$A,A569,RaceResults!$D:$D,E569))</f>
        <v>0</v>
      </c>
    </row>
    <row r="570" spans="1:7" x14ac:dyDescent="0.3">
      <c r="A570">
        <v>19</v>
      </c>
      <c r="B570" t="s">
        <v>87</v>
      </c>
      <c r="C570" t="s">
        <v>32</v>
      </c>
      <c r="D570">
        <v>2</v>
      </c>
      <c r="E570">
        <f>WeeklyPicks!E191</f>
        <v>0</v>
      </c>
      <c r="F570">
        <f>IF(E570="","",SUMIFS(RaceResults!$C:$C,RaceResults!$A:$A,A570,RaceResults!$D:$D,E570))</f>
        <v>0</v>
      </c>
      <c r="G570">
        <f>IF(E570="","",SUMIFS(RaceResults!$E:$E,RaceResults!$A:$A,A570,RaceResults!$D:$D,E570))</f>
        <v>0</v>
      </c>
    </row>
    <row r="571" spans="1:7" x14ac:dyDescent="0.3">
      <c r="A571">
        <v>19</v>
      </c>
      <c r="B571" t="s">
        <v>87</v>
      </c>
      <c r="C571" t="s">
        <v>32</v>
      </c>
      <c r="D571">
        <v>3</v>
      </c>
      <c r="E571">
        <f>WeeklyPicks!F191</f>
        <v>0</v>
      </c>
      <c r="F571">
        <f>IF(E571="","",SUMIFS(RaceResults!$C:$C,RaceResults!$A:$A,A571,RaceResults!$D:$D,E571))</f>
        <v>0</v>
      </c>
      <c r="G571">
        <f>IF(E571="","",SUMIFS(RaceResults!$E:$E,RaceResults!$A:$A,A571,RaceResults!$D:$D,E571))</f>
        <v>0</v>
      </c>
    </row>
    <row r="572" spans="1:7" x14ac:dyDescent="0.3">
      <c r="A572">
        <v>20</v>
      </c>
      <c r="B572" t="s">
        <v>50</v>
      </c>
      <c r="C572" t="s">
        <v>21</v>
      </c>
      <c r="D572">
        <v>1</v>
      </c>
      <c r="E572">
        <f>WeeklyPicks!D192</f>
        <v>0</v>
      </c>
      <c r="F572">
        <f>IF(E572="","",SUMIFS(RaceResults!$C:$C,RaceResults!$A:$A,A572,RaceResults!$D:$D,E572))</f>
        <v>0</v>
      </c>
      <c r="G572">
        <f>IF(E572="","",SUMIFS(RaceResults!$E:$E,RaceResults!$A:$A,A572,RaceResults!$D:$D,E572))</f>
        <v>0</v>
      </c>
    </row>
    <row r="573" spans="1:7" x14ac:dyDescent="0.3">
      <c r="A573">
        <v>20</v>
      </c>
      <c r="B573" t="s">
        <v>50</v>
      </c>
      <c r="C573" t="s">
        <v>21</v>
      </c>
      <c r="D573">
        <v>2</v>
      </c>
      <c r="E573">
        <f>WeeklyPicks!E192</f>
        <v>0</v>
      </c>
      <c r="F573">
        <f>IF(E573="","",SUMIFS(RaceResults!$C:$C,RaceResults!$A:$A,A573,RaceResults!$D:$D,E573))</f>
        <v>0</v>
      </c>
      <c r="G573">
        <f>IF(E573="","",SUMIFS(RaceResults!$E:$E,RaceResults!$A:$A,A573,RaceResults!$D:$D,E573))</f>
        <v>0</v>
      </c>
    </row>
    <row r="574" spans="1:7" x14ac:dyDescent="0.3">
      <c r="A574">
        <v>20</v>
      </c>
      <c r="B574" t="s">
        <v>50</v>
      </c>
      <c r="C574" t="s">
        <v>21</v>
      </c>
      <c r="D574">
        <v>3</v>
      </c>
      <c r="E574">
        <f>WeeklyPicks!F192</f>
        <v>0</v>
      </c>
      <c r="F574">
        <f>IF(E574="","",SUMIFS(RaceResults!$C:$C,RaceResults!$A:$A,A574,RaceResults!$D:$D,E574))</f>
        <v>0</v>
      </c>
      <c r="G574">
        <f>IF(E574="","",SUMIFS(RaceResults!$E:$E,RaceResults!$A:$A,A574,RaceResults!$D:$D,E574))</f>
        <v>0</v>
      </c>
    </row>
    <row r="575" spans="1:7" x14ac:dyDescent="0.3">
      <c r="A575">
        <v>20</v>
      </c>
      <c r="B575" t="s">
        <v>50</v>
      </c>
      <c r="C575" t="s">
        <v>22</v>
      </c>
      <c r="D575">
        <v>1</v>
      </c>
      <c r="E575">
        <f>WeeklyPicks!D193</f>
        <v>0</v>
      </c>
      <c r="F575">
        <f>IF(E575="","",SUMIFS(RaceResults!$C:$C,RaceResults!$A:$A,A575,RaceResults!$D:$D,E575))</f>
        <v>0</v>
      </c>
      <c r="G575">
        <f>IF(E575="","",SUMIFS(RaceResults!$E:$E,RaceResults!$A:$A,A575,RaceResults!$D:$D,E575))</f>
        <v>0</v>
      </c>
    </row>
    <row r="576" spans="1:7" x14ac:dyDescent="0.3">
      <c r="A576">
        <v>20</v>
      </c>
      <c r="B576" t="s">
        <v>50</v>
      </c>
      <c r="C576" t="s">
        <v>22</v>
      </c>
      <c r="D576">
        <v>2</v>
      </c>
      <c r="E576">
        <f>WeeklyPicks!E193</f>
        <v>0</v>
      </c>
      <c r="F576">
        <f>IF(E576="","",SUMIFS(RaceResults!$C:$C,RaceResults!$A:$A,A576,RaceResults!$D:$D,E576))</f>
        <v>0</v>
      </c>
      <c r="G576">
        <f>IF(E576="","",SUMIFS(RaceResults!$E:$E,RaceResults!$A:$A,A576,RaceResults!$D:$D,E576))</f>
        <v>0</v>
      </c>
    </row>
    <row r="577" spans="1:7" x14ac:dyDescent="0.3">
      <c r="A577">
        <v>20</v>
      </c>
      <c r="B577" t="s">
        <v>50</v>
      </c>
      <c r="C577" t="s">
        <v>22</v>
      </c>
      <c r="D577">
        <v>3</v>
      </c>
      <c r="E577">
        <f>WeeklyPicks!F193</f>
        <v>0</v>
      </c>
      <c r="F577">
        <f>IF(E577="","",SUMIFS(RaceResults!$C:$C,RaceResults!$A:$A,A577,RaceResults!$D:$D,E577))</f>
        <v>0</v>
      </c>
      <c r="G577">
        <f>IF(E577="","",SUMIFS(RaceResults!$E:$E,RaceResults!$A:$A,A577,RaceResults!$D:$D,E577))</f>
        <v>0</v>
      </c>
    </row>
    <row r="578" spans="1:7" x14ac:dyDescent="0.3">
      <c r="A578">
        <v>20</v>
      </c>
      <c r="B578" t="s">
        <v>50</v>
      </c>
      <c r="C578" t="s">
        <v>25</v>
      </c>
      <c r="D578">
        <v>1</v>
      </c>
      <c r="E578">
        <f>WeeklyPicks!D194</f>
        <v>0</v>
      </c>
      <c r="F578">
        <f>IF(E578="","",SUMIFS(RaceResults!$C:$C,RaceResults!$A:$A,A578,RaceResults!$D:$D,E578))</f>
        <v>0</v>
      </c>
      <c r="G578">
        <f>IF(E578="","",SUMIFS(RaceResults!$E:$E,RaceResults!$A:$A,A578,RaceResults!$D:$D,E578))</f>
        <v>0</v>
      </c>
    </row>
    <row r="579" spans="1:7" x14ac:dyDescent="0.3">
      <c r="A579">
        <v>20</v>
      </c>
      <c r="B579" t="s">
        <v>50</v>
      </c>
      <c r="C579" t="s">
        <v>25</v>
      </c>
      <c r="D579">
        <v>2</v>
      </c>
      <c r="E579">
        <f>WeeklyPicks!E194</f>
        <v>0</v>
      </c>
      <c r="F579">
        <f>IF(E579="","",SUMIFS(RaceResults!$C:$C,RaceResults!$A:$A,A579,RaceResults!$D:$D,E579))</f>
        <v>0</v>
      </c>
      <c r="G579">
        <f>IF(E579="","",SUMIFS(RaceResults!$E:$E,RaceResults!$A:$A,A579,RaceResults!$D:$D,E579))</f>
        <v>0</v>
      </c>
    </row>
    <row r="580" spans="1:7" x14ac:dyDescent="0.3">
      <c r="A580">
        <v>20</v>
      </c>
      <c r="B580" t="s">
        <v>50</v>
      </c>
      <c r="C580" t="s">
        <v>25</v>
      </c>
      <c r="D580">
        <v>3</v>
      </c>
      <c r="E580">
        <f>WeeklyPicks!F194</f>
        <v>0</v>
      </c>
      <c r="F580">
        <f>IF(E580="","",SUMIFS(RaceResults!$C:$C,RaceResults!$A:$A,A580,RaceResults!$D:$D,E580))</f>
        <v>0</v>
      </c>
      <c r="G580">
        <f>IF(E580="","",SUMIFS(RaceResults!$E:$E,RaceResults!$A:$A,A580,RaceResults!$D:$D,E580))</f>
        <v>0</v>
      </c>
    </row>
    <row r="581" spans="1:7" x14ac:dyDescent="0.3">
      <c r="A581">
        <v>20</v>
      </c>
      <c r="B581" t="s">
        <v>50</v>
      </c>
      <c r="C581" t="s">
        <v>26</v>
      </c>
      <c r="D581">
        <v>1</v>
      </c>
      <c r="E581">
        <f>WeeklyPicks!D195</f>
        <v>0</v>
      </c>
      <c r="F581">
        <f>IF(E581="","",SUMIFS(RaceResults!$C:$C,RaceResults!$A:$A,A581,RaceResults!$D:$D,E581))</f>
        <v>0</v>
      </c>
      <c r="G581">
        <f>IF(E581="","",SUMIFS(RaceResults!$E:$E,RaceResults!$A:$A,A581,RaceResults!$D:$D,E581))</f>
        <v>0</v>
      </c>
    </row>
    <row r="582" spans="1:7" x14ac:dyDescent="0.3">
      <c r="A582">
        <v>20</v>
      </c>
      <c r="B582" t="s">
        <v>50</v>
      </c>
      <c r="C582" t="s">
        <v>26</v>
      </c>
      <c r="D582">
        <v>2</v>
      </c>
      <c r="E582">
        <f>WeeklyPicks!E195</f>
        <v>0</v>
      </c>
      <c r="F582">
        <f>IF(E582="","",SUMIFS(RaceResults!$C:$C,RaceResults!$A:$A,A582,RaceResults!$D:$D,E582))</f>
        <v>0</v>
      </c>
      <c r="G582">
        <f>IF(E582="","",SUMIFS(RaceResults!$E:$E,RaceResults!$A:$A,A582,RaceResults!$D:$D,E582))</f>
        <v>0</v>
      </c>
    </row>
    <row r="583" spans="1:7" x14ac:dyDescent="0.3">
      <c r="A583">
        <v>20</v>
      </c>
      <c r="B583" t="s">
        <v>50</v>
      </c>
      <c r="C583" t="s">
        <v>26</v>
      </c>
      <c r="D583">
        <v>3</v>
      </c>
      <c r="E583">
        <f>WeeklyPicks!F195</f>
        <v>0</v>
      </c>
      <c r="F583">
        <f>IF(E583="","",SUMIFS(RaceResults!$C:$C,RaceResults!$A:$A,A583,RaceResults!$D:$D,E583))</f>
        <v>0</v>
      </c>
      <c r="G583">
        <f>IF(E583="","",SUMIFS(RaceResults!$E:$E,RaceResults!$A:$A,A583,RaceResults!$D:$D,E583))</f>
        <v>0</v>
      </c>
    </row>
    <row r="584" spans="1:7" x14ac:dyDescent="0.3">
      <c r="A584">
        <v>20</v>
      </c>
      <c r="B584" t="s">
        <v>50</v>
      </c>
      <c r="C584" t="s">
        <v>27</v>
      </c>
      <c r="D584">
        <v>1</v>
      </c>
      <c r="E584">
        <f>WeeklyPicks!D196</f>
        <v>0</v>
      </c>
      <c r="F584">
        <f>IF(E584="","",SUMIFS(RaceResults!$C:$C,RaceResults!$A:$A,A584,RaceResults!$D:$D,E584))</f>
        <v>0</v>
      </c>
      <c r="G584">
        <f>IF(E584="","",SUMIFS(RaceResults!$E:$E,RaceResults!$A:$A,A584,RaceResults!$D:$D,E584))</f>
        <v>0</v>
      </c>
    </row>
    <row r="585" spans="1:7" x14ac:dyDescent="0.3">
      <c r="A585">
        <v>20</v>
      </c>
      <c r="B585" t="s">
        <v>50</v>
      </c>
      <c r="C585" t="s">
        <v>27</v>
      </c>
      <c r="D585">
        <v>2</v>
      </c>
      <c r="E585">
        <f>WeeklyPicks!E196</f>
        <v>0</v>
      </c>
      <c r="F585">
        <f>IF(E585="","",SUMIFS(RaceResults!$C:$C,RaceResults!$A:$A,A585,RaceResults!$D:$D,E585))</f>
        <v>0</v>
      </c>
      <c r="G585">
        <f>IF(E585="","",SUMIFS(RaceResults!$E:$E,RaceResults!$A:$A,A585,RaceResults!$D:$D,E585))</f>
        <v>0</v>
      </c>
    </row>
    <row r="586" spans="1:7" x14ac:dyDescent="0.3">
      <c r="A586">
        <v>20</v>
      </c>
      <c r="B586" t="s">
        <v>50</v>
      </c>
      <c r="C586" t="s">
        <v>27</v>
      </c>
      <c r="D586">
        <v>3</v>
      </c>
      <c r="E586">
        <f>WeeklyPicks!F196</f>
        <v>0</v>
      </c>
      <c r="F586">
        <f>IF(E586="","",SUMIFS(RaceResults!$C:$C,RaceResults!$A:$A,A586,RaceResults!$D:$D,E586))</f>
        <v>0</v>
      </c>
      <c r="G586">
        <f>IF(E586="","",SUMIFS(RaceResults!$E:$E,RaceResults!$A:$A,A586,RaceResults!$D:$D,E586))</f>
        <v>0</v>
      </c>
    </row>
    <row r="587" spans="1:7" x14ac:dyDescent="0.3">
      <c r="A587">
        <v>20</v>
      </c>
      <c r="B587" t="s">
        <v>50</v>
      </c>
      <c r="C587" t="s">
        <v>28</v>
      </c>
      <c r="D587">
        <v>1</v>
      </c>
      <c r="E587">
        <f>WeeklyPicks!D197</f>
        <v>0</v>
      </c>
      <c r="F587">
        <f>IF(E587="","",SUMIFS(RaceResults!$C:$C,RaceResults!$A:$A,A587,RaceResults!$D:$D,E587))</f>
        <v>0</v>
      </c>
      <c r="G587">
        <f>IF(E587="","",SUMIFS(RaceResults!$E:$E,RaceResults!$A:$A,A587,RaceResults!$D:$D,E587))</f>
        <v>0</v>
      </c>
    </row>
    <row r="588" spans="1:7" x14ac:dyDescent="0.3">
      <c r="A588">
        <v>20</v>
      </c>
      <c r="B588" t="s">
        <v>50</v>
      </c>
      <c r="C588" t="s">
        <v>28</v>
      </c>
      <c r="D588">
        <v>2</v>
      </c>
      <c r="E588">
        <f>WeeklyPicks!E197</f>
        <v>0</v>
      </c>
      <c r="F588">
        <f>IF(E588="","",SUMIFS(RaceResults!$C:$C,RaceResults!$A:$A,A588,RaceResults!$D:$D,E588))</f>
        <v>0</v>
      </c>
      <c r="G588">
        <f>IF(E588="","",SUMIFS(RaceResults!$E:$E,RaceResults!$A:$A,A588,RaceResults!$D:$D,E588))</f>
        <v>0</v>
      </c>
    </row>
    <row r="589" spans="1:7" x14ac:dyDescent="0.3">
      <c r="A589">
        <v>20</v>
      </c>
      <c r="B589" t="s">
        <v>50</v>
      </c>
      <c r="C589" t="s">
        <v>28</v>
      </c>
      <c r="D589">
        <v>3</v>
      </c>
      <c r="E589">
        <f>WeeklyPicks!F197</f>
        <v>0</v>
      </c>
      <c r="F589">
        <f>IF(E589="","",SUMIFS(RaceResults!$C:$C,RaceResults!$A:$A,A589,RaceResults!$D:$D,E589))</f>
        <v>0</v>
      </c>
      <c r="G589">
        <f>IF(E589="","",SUMIFS(RaceResults!$E:$E,RaceResults!$A:$A,A589,RaceResults!$D:$D,E589))</f>
        <v>0</v>
      </c>
    </row>
    <row r="590" spans="1:7" x14ac:dyDescent="0.3">
      <c r="A590">
        <v>20</v>
      </c>
      <c r="B590" t="s">
        <v>50</v>
      </c>
      <c r="C590" t="s">
        <v>29</v>
      </c>
      <c r="D590">
        <v>1</v>
      </c>
      <c r="E590">
        <f>WeeklyPicks!D198</f>
        <v>0</v>
      </c>
      <c r="F590">
        <f>IF(E590="","",SUMIFS(RaceResults!$C:$C,RaceResults!$A:$A,A590,RaceResults!$D:$D,E590))</f>
        <v>0</v>
      </c>
      <c r="G590">
        <f>IF(E590="","",SUMIFS(RaceResults!$E:$E,RaceResults!$A:$A,A590,RaceResults!$D:$D,E590))</f>
        <v>0</v>
      </c>
    </row>
    <row r="591" spans="1:7" x14ac:dyDescent="0.3">
      <c r="A591">
        <v>20</v>
      </c>
      <c r="B591" t="s">
        <v>50</v>
      </c>
      <c r="C591" t="s">
        <v>29</v>
      </c>
      <c r="D591">
        <v>2</v>
      </c>
      <c r="E591">
        <f>WeeklyPicks!E198</f>
        <v>0</v>
      </c>
      <c r="F591">
        <f>IF(E591="","",SUMIFS(RaceResults!$C:$C,RaceResults!$A:$A,A591,RaceResults!$D:$D,E591))</f>
        <v>0</v>
      </c>
      <c r="G591">
        <f>IF(E591="","",SUMIFS(RaceResults!$E:$E,RaceResults!$A:$A,A591,RaceResults!$D:$D,E591))</f>
        <v>0</v>
      </c>
    </row>
    <row r="592" spans="1:7" x14ac:dyDescent="0.3">
      <c r="A592">
        <v>20</v>
      </c>
      <c r="B592" t="s">
        <v>50</v>
      </c>
      <c r="C592" t="s">
        <v>29</v>
      </c>
      <c r="D592">
        <v>3</v>
      </c>
      <c r="E592">
        <f>WeeklyPicks!F198</f>
        <v>0</v>
      </c>
      <c r="F592">
        <f>IF(E592="","",SUMIFS(RaceResults!$C:$C,RaceResults!$A:$A,A592,RaceResults!$D:$D,E592))</f>
        <v>0</v>
      </c>
      <c r="G592">
        <f>IF(E592="","",SUMIFS(RaceResults!$E:$E,RaceResults!$A:$A,A592,RaceResults!$D:$D,E592))</f>
        <v>0</v>
      </c>
    </row>
    <row r="593" spans="1:7" x14ac:dyDescent="0.3">
      <c r="A593">
        <v>20</v>
      </c>
      <c r="B593" t="s">
        <v>50</v>
      </c>
      <c r="C593" t="s">
        <v>30</v>
      </c>
      <c r="D593">
        <v>1</v>
      </c>
      <c r="E593">
        <f>WeeklyPicks!D199</f>
        <v>0</v>
      </c>
      <c r="F593">
        <f>IF(E593="","",SUMIFS(RaceResults!$C:$C,RaceResults!$A:$A,A593,RaceResults!$D:$D,E593))</f>
        <v>0</v>
      </c>
      <c r="G593">
        <f>IF(E593="","",SUMIFS(RaceResults!$E:$E,RaceResults!$A:$A,A593,RaceResults!$D:$D,E593))</f>
        <v>0</v>
      </c>
    </row>
    <row r="594" spans="1:7" x14ac:dyDescent="0.3">
      <c r="A594">
        <v>20</v>
      </c>
      <c r="B594" t="s">
        <v>50</v>
      </c>
      <c r="C594" t="s">
        <v>30</v>
      </c>
      <c r="D594">
        <v>2</v>
      </c>
      <c r="E594">
        <f>WeeklyPicks!E199</f>
        <v>0</v>
      </c>
      <c r="F594">
        <f>IF(E594="","",SUMIFS(RaceResults!$C:$C,RaceResults!$A:$A,A594,RaceResults!$D:$D,E594))</f>
        <v>0</v>
      </c>
      <c r="G594">
        <f>IF(E594="","",SUMIFS(RaceResults!$E:$E,RaceResults!$A:$A,A594,RaceResults!$D:$D,E594))</f>
        <v>0</v>
      </c>
    </row>
    <row r="595" spans="1:7" x14ac:dyDescent="0.3">
      <c r="A595">
        <v>20</v>
      </c>
      <c r="B595" t="s">
        <v>50</v>
      </c>
      <c r="C595" t="s">
        <v>30</v>
      </c>
      <c r="D595">
        <v>3</v>
      </c>
      <c r="E595">
        <f>WeeklyPicks!F199</f>
        <v>0</v>
      </c>
      <c r="F595">
        <f>IF(E595="","",SUMIFS(RaceResults!$C:$C,RaceResults!$A:$A,A595,RaceResults!$D:$D,E595))</f>
        <v>0</v>
      </c>
      <c r="G595">
        <f>IF(E595="","",SUMIFS(RaceResults!$E:$E,RaceResults!$A:$A,A595,RaceResults!$D:$D,E595))</f>
        <v>0</v>
      </c>
    </row>
    <row r="596" spans="1:7" x14ac:dyDescent="0.3">
      <c r="A596">
        <v>20</v>
      </c>
      <c r="B596" t="s">
        <v>50</v>
      </c>
      <c r="C596" t="s">
        <v>31</v>
      </c>
      <c r="D596">
        <v>1</v>
      </c>
      <c r="E596">
        <f>WeeklyPicks!D200</f>
        <v>0</v>
      </c>
      <c r="F596">
        <f>IF(E596="","",SUMIFS(RaceResults!$C:$C,RaceResults!$A:$A,A596,RaceResults!$D:$D,E596))</f>
        <v>0</v>
      </c>
      <c r="G596">
        <f>IF(E596="","",SUMIFS(RaceResults!$E:$E,RaceResults!$A:$A,A596,RaceResults!$D:$D,E596))</f>
        <v>0</v>
      </c>
    </row>
    <row r="597" spans="1:7" x14ac:dyDescent="0.3">
      <c r="A597">
        <v>20</v>
      </c>
      <c r="B597" t="s">
        <v>50</v>
      </c>
      <c r="C597" t="s">
        <v>31</v>
      </c>
      <c r="D597">
        <v>2</v>
      </c>
      <c r="E597">
        <f>WeeklyPicks!E200</f>
        <v>0</v>
      </c>
      <c r="F597">
        <f>IF(E597="","",SUMIFS(RaceResults!$C:$C,RaceResults!$A:$A,A597,RaceResults!$D:$D,E597))</f>
        <v>0</v>
      </c>
      <c r="G597">
        <f>IF(E597="","",SUMIFS(RaceResults!$E:$E,RaceResults!$A:$A,A597,RaceResults!$D:$D,E597))</f>
        <v>0</v>
      </c>
    </row>
    <row r="598" spans="1:7" x14ac:dyDescent="0.3">
      <c r="A598">
        <v>20</v>
      </c>
      <c r="B598" t="s">
        <v>50</v>
      </c>
      <c r="C598" t="s">
        <v>31</v>
      </c>
      <c r="D598">
        <v>3</v>
      </c>
      <c r="E598">
        <f>WeeklyPicks!F200</f>
        <v>0</v>
      </c>
      <c r="F598">
        <f>IF(E598="","",SUMIFS(RaceResults!$C:$C,RaceResults!$A:$A,A598,RaceResults!$D:$D,E598))</f>
        <v>0</v>
      </c>
      <c r="G598">
        <f>IF(E598="","",SUMIFS(RaceResults!$E:$E,RaceResults!$A:$A,A598,RaceResults!$D:$D,E598))</f>
        <v>0</v>
      </c>
    </row>
    <row r="599" spans="1:7" x14ac:dyDescent="0.3">
      <c r="A599">
        <v>20</v>
      </c>
      <c r="B599" t="s">
        <v>50</v>
      </c>
      <c r="C599" t="s">
        <v>32</v>
      </c>
      <c r="D599">
        <v>1</v>
      </c>
      <c r="E599">
        <f>WeeklyPicks!D201</f>
        <v>0</v>
      </c>
      <c r="F599">
        <f>IF(E599="","",SUMIFS(RaceResults!$C:$C,RaceResults!$A:$A,A599,RaceResults!$D:$D,E599))</f>
        <v>0</v>
      </c>
      <c r="G599">
        <f>IF(E599="","",SUMIFS(RaceResults!$E:$E,RaceResults!$A:$A,A599,RaceResults!$D:$D,E599))</f>
        <v>0</v>
      </c>
    </row>
    <row r="600" spans="1:7" x14ac:dyDescent="0.3">
      <c r="A600">
        <v>20</v>
      </c>
      <c r="B600" t="s">
        <v>50</v>
      </c>
      <c r="C600" t="s">
        <v>32</v>
      </c>
      <c r="D600">
        <v>2</v>
      </c>
      <c r="E600">
        <f>WeeklyPicks!E201</f>
        <v>0</v>
      </c>
      <c r="F600">
        <f>IF(E600="","",SUMIFS(RaceResults!$C:$C,RaceResults!$A:$A,A600,RaceResults!$D:$D,E600))</f>
        <v>0</v>
      </c>
      <c r="G600">
        <f>IF(E600="","",SUMIFS(RaceResults!$E:$E,RaceResults!$A:$A,A600,RaceResults!$D:$D,E600))</f>
        <v>0</v>
      </c>
    </row>
    <row r="601" spans="1:7" x14ac:dyDescent="0.3">
      <c r="A601">
        <v>20</v>
      </c>
      <c r="B601" t="s">
        <v>50</v>
      </c>
      <c r="C601" t="s">
        <v>32</v>
      </c>
      <c r="D601">
        <v>3</v>
      </c>
      <c r="E601">
        <f>WeeklyPicks!F201</f>
        <v>0</v>
      </c>
      <c r="F601">
        <f>IF(E601="","",SUMIFS(RaceResults!$C:$C,RaceResults!$A:$A,A601,RaceResults!$D:$D,E601))</f>
        <v>0</v>
      </c>
      <c r="G601">
        <f>IF(E601="","",SUMIFS(RaceResults!$E:$E,RaceResults!$A:$A,A601,RaceResults!$D:$D,E601))</f>
        <v>0</v>
      </c>
    </row>
    <row r="602" spans="1:7" x14ac:dyDescent="0.3">
      <c r="A602">
        <v>21</v>
      </c>
      <c r="B602" t="s">
        <v>90</v>
      </c>
      <c r="C602" t="s">
        <v>21</v>
      </c>
      <c r="D602">
        <v>1</v>
      </c>
      <c r="E602">
        <f>WeeklyPicks!D202</f>
        <v>0</v>
      </c>
      <c r="F602">
        <f>IF(E602="","",SUMIFS(RaceResults!$C:$C,RaceResults!$A:$A,A602,RaceResults!$D:$D,E602))</f>
        <v>0</v>
      </c>
      <c r="G602">
        <f>IF(E602="","",SUMIFS(RaceResults!$E:$E,RaceResults!$A:$A,A602,RaceResults!$D:$D,E602))</f>
        <v>0</v>
      </c>
    </row>
    <row r="603" spans="1:7" x14ac:dyDescent="0.3">
      <c r="A603">
        <v>21</v>
      </c>
      <c r="B603" t="s">
        <v>90</v>
      </c>
      <c r="C603" t="s">
        <v>21</v>
      </c>
      <c r="D603">
        <v>2</v>
      </c>
      <c r="E603">
        <f>WeeklyPicks!E202</f>
        <v>0</v>
      </c>
      <c r="F603">
        <f>IF(E603="","",SUMIFS(RaceResults!$C:$C,RaceResults!$A:$A,A603,RaceResults!$D:$D,E603))</f>
        <v>0</v>
      </c>
      <c r="G603">
        <f>IF(E603="","",SUMIFS(RaceResults!$E:$E,RaceResults!$A:$A,A603,RaceResults!$D:$D,E603))</f>
        <v>0</v>
      </c>
    </row>
    <row r="604" spans="1:7" x14ac:dyDescent="0.3">
      <c r="A604">
        <v>21</v>
      </c>
      <c r="B604" t="s">
        <v>90</v>
      </c>
      <c r="C604" t="s">
        <v>21</v>
      </c>
      <c r="D604">
        <v>3</v>
      </c>
      <c r="E604">
        <f>WeeklyPicks!F202</f>
        <v>0</v>
      </c>
      <c r="F604">
        <f>IF(E604="","",SUMIFS(RaceResults!$C:$C,RaceResults!$A:$A,A604,RaceResults!$D:$D,E604))</f>
        <v>0</v>
      </c>
      <c r="G604">
        <f>IF(E604="","",SUMIFS(RaceResults!$E:$E,RaceResults!$A:$A,A604,RaceResults!$D:$D,E604))</f>
        <v>0</v>
      </c>
    </row>
    <row r="605" spans="1:7" x14ac:dyDescent="0.3">
      <c r="A605">
        <v>21</v>
      </c>
      <c r="B605" t="s">
        <v>90</v>
      </c>
      <c r="C605" t="s">
        <v>22</v>
      </c>
      <c r="D605">
        <v>1</v>
      </c>
      <c r="E605">
        <f>WeeklyPicks!D203</f>
        <v>0</v>
      </c>
      <c r="F605">
        <f>IF(E605="","",SUMIFS(RaceResults!$C:$C,RaceResults!$A:$A,A605,RaceResults!$D:$D,E605))</f>
        <v>0</v>
      </c>
      <c r="G605">
        <f>IF(E605="","",SUMIFS(RaceResults!$E:$E,RaceResults!$A:$A,A605,RaceResults!$D:$D,E605))</f>
        <v>0</v>
      </c>
    </row>
    <row r="606" spans="1:7" x14ac:dyDescent="0.3">
      <c r="A606">
        <v>21</v>
      </c>
      <c r="B606" t="s">
        <v>90</v>
      </c>
      <c r="C606" t="s">
        <v>22</v>
      </c>
      <c r="D606">
        <v>2</v>
      </c>
      <c r="E606">
        <f>WeeklyPicks!E203</f>
        <v>0</v>
      </c>
      <c r="F606">
        <f>IF(E606="","",SUMIFS(RaceResults!$C:$C,RaceResults!$A:$A,A606,RaceResults!$D:$D,E606))</f>
        <v>0</v>
      </c>
      <c r="G606">
        <f>IF(E606="","",SUMIFS(RaceResults!$E:$E,RaceResults!$A:$A,A606,RaceResults!$D:$D,E606))</f>
        <v>0</v>
      </c>
    </row>
    <row r="607" spans="1:7" x14ac:dyDescent="0.3">
      <c r="A607">
        <v>21</v>
      </c>
      <c r="B607" t="s">
        <v>90</v>
      </c>
      <c r="C607" t="s">
        <v>22</v>
      </c>
      <c r="D607">
        <v>3</v>
      </c>
      <c r="E607">
        <f>WeeklyPicks!F203</f>
        <v>0</v>
      </c>
      <c r="F607">
        <f>IF(E607="","",SUMIFS(RaceResults!$C:$C,RaceResults!$A:$A,A607,RaceResults!$D:$D,E607))</f>
        <v>0</v>
      </c>
      <c r="G607">
        <f>IF(E607="","",SUMIFS(RaceResults!$E:$E,RaceResults!$A:$A,A607,RaceResults!$D:$D,E607))</f>
        <v>0</v>
      </c>
    </row>
    <row r="608" spans="1:7" x14ac:dyDescent="0.3">
      <c r="A608">
        <v>21</v>
      </c>
      <c r="B608" t="s">
        <v>90</v>
      </c>
      <c r="C608" t="s">
        <v>25</v>
      </c>
      <c r="D608">
        <v>1</v>
      </c>
      <c r="E608">
        <f>WeeklyPicks!D204</f>
        <v>0</v>
      </c>
      <c r="F608">
        <f>IF(E608="","",SUMIFS(RaceResults!$C:$C,RaceResults!$A:$A,A608,RaceResults!$D:$D,E608))</f>
        <v>0</v>
      </c>
      <c r="G608">
        <f>IF(E608="","",SUMIFS(RaceResults!$E:$E,RaceResults!$A:$A,A608,RaceResults!$D:$D,E608))</f>
        <v>0</v>
      </c>
    </row>
    <row r="609" spans="1:7" x14ac:dyDescent="0.3">
      <c r="A609">
        <v>21</v>
      </c>
      <c r="B609" t="s">
        <v>90</v>
      </c>
      <c r="C609" t="s">
        <v>25</v>
      </c>
      <c r="D609">
        <v>2</v>
      </c>
      <c r="E609">
        <f>WeeklyPicks!E204</f>
        <v>0</v>
      </c>
      <c r="F609">
        <f>IF(E609="","",SUMIFS(RaceResults!$C:$C,RaceResults!$A:$A,A609,RaceResults!$D:$D,E609))</f>
        <v>0</v>
      </c>
      <c r="G609">
        <f>IF(E609="","",SUMIFS(RaceResults!$E:$E,RaceResults!$A:$A,A609,RaceResults!$D:$D,E609))</f>
        <v>0</v>
      </c>
    </row>
    <row r="610" spans="1:7" x14ac:dyDescent="0.3">
      <c r="A610">
        <v>21</v>
      </c>
      <c r="B610" t="s">
        <v>90</v>
      </c>
      <c r="C610" t="s">
        <v>25</v>
      </c>
      <c r="D610">
        <v>3</v>
      </c>
      <c r="E610">
        <f>WeeklyPicks!F204</f>
        <v>0</v>
      </c>
      <c r="F610">
        <f>IF(E610="","",SUMIFS(RaceResults!$C:$C,RaceResults!$A:$A,A610,RaceResults!$D:$D,E610))</f>
        <v>0</v>
      </c>
      <c r="G610">
        <f>IF(E610="","",SUMIFS(RaceResults!$E:$E,RaceResults!$A:$A,A610,RaceResults!$D:$D,E610))</f>
        <v>0</v>
      </c>
    </row>
    <row r="611" spans="1:7" x14ac:dyDescent="0.3">
      <c r="A611">
        <v>21</v>
      </c>
      <c r="B611" t="s">
        <v>90</v>
      </c>
      <c r="C611" t="s">
        <v>26</v>
      </c>
      <c r="D611">
        <v>1</v>
      </c>
      <c r="E611">
        <f>WeeklyPicks!D205</f>
        <v>0</v>
      </c>
      <c r="F611">
        <f>IF(E611="","",SUMIFS(RaceResults!$C:$C,RaceResults!$A:$A,A611,RaceResults!$D:$D,E611))</f>
        <v>0</v>
      </c>
      <c r="G611">
        <f>IF(E611="","",SUMIFS(RaceResults!$E:$E,RaceResults!$A:$A,A611,RaceResults!$D:$D,E611))</f>
        <v>0</v>
      </c>
    </row>
    <row r="612" spans="1:7" x14ac:dyDescent="0.3">
      <c r="A612">
        <v>21</v>
      </c>
      <c r="B612" t="s">
        <v>90</v>
      </c>
      <c r="C612" t="s">
        <v>26</v>
      </c>
      <c r="D612">
        <v>2</v>
      </c>
      <c r="E612">
        <f>WeeklyPicks!E205</f>
        <v>0</v>
      </c>
      <c r="F612">
        <f>IF(E612="","",SUMIFS(RaceResults!$C:$C,RaceResults!$A:$A,A612,RaceResults!$D:$D,E612))</f>
        <v>0</v>
      </c>
      <c r="G612">
        <f>IF(E612="","",SUMIFS(RaceResults!$E:$E,RaceResults!$A:$A,A612,RaceResults!$D:$D,E612))</f>
        <v>0</v>
      </c>
    </row>
    <row r="613" spans="1:7" x14ac:dyDescent="0.3">
      <c r="A613">
        <v>21</v>
      </c>
      <c r="B613" t="s">
        <v>90</v>
      </c>
      <c r="C613" t="s">
        <v>26</v>
      </c>
      <c r="D613">
        <v>3</v>
      </c>
      <c r="E613">
        <f>WeeklyPicks!F205</f>
        <v>0</v>
      </c>
      <c r="F613">
        <f>IF(E613="","",SUMIFS(RaceResults!$C:$C,RaceResults!$A:$A,A613,RaceResults!$D:$D,E613))</f>
        <v>0</v>
      </c>
      <c r="G613">
        <f>IF(E613="","",SUMIFS(RaceResults!$E:$E,RaceResults!$A:$A,A613,RaceResults!$D:$D,E613))</f>
        <v>0</v>
      </c>
    </row>
    <row r="614" spans="1:7" x14ac:dyDescent="0.3">
      <c r="A614">
        <v>21</v>
      </c>
      <c r="B614" t="s">
        <v>90</v>
      </c>
      <c r="C614" t="s">
        <v>27</v>
      </c>
      <c r="D614">
        <v>1</v>
      </c>
      <c r="E614">
        <f>WeeklyPicks!D206</f>
        <v>0</v>
      </c>
      <c r="F614">
        <f>IF(E614="","",SUMIFS(RaceResults!$C:$C,RaceResults!$A:$A,A614,RaceResults!$D:$D,E614))</f>
        <v>0</v>
      </c>
      <c r="G614">
        <f>IF(E614="","",SUMIFS(RaceResults!$E:$E,RaceResults!$A:$A,A614,RaceResults!$D:$D,E614))</f>
        <v>0</v>
      </c>
    </row>
    <row r="615" spans="1:7" x14ac:dyDescent="0.3">
      <c r="A615">
        <v>21</v>
      </c>
      <c r="B615" t="s">
        <v>90</v>
      </c>
      <c r="C615" t="s">
        <v>27</v>
      </c>
      <c r="D615">
        <v>2</v>
      </c>
      <c r="E615">
        <f>WeeklyPicks!E206</f>
        <v>0</v>
      </c>
      <c r="F615">
        <f>IF(E615="","",SUMIFS(RaceResults!$C:$C,RaceResults!$A:$A,A615,RaceResults!$D:$D,E615))</f>
        <v>0</v>
      </c>
      <c r="G615">
        <f>IF(E615="","",SUMIFS(RaceResults!$E:$E,RaceResults!$A:$A,A615,RaceResults!$D:$D,E615))</f>
        <v>0</v>
      </c>
    </row>
    <row r="616" spans="1:7" x14ac:dyDescent="0.3">
      <c r="A616">
        <v>21</v>
      </c>
      <c r="B616" t="s">
        <v>90</v>
      </c>
      <c r="C616" t="s">
        <v>27</v>
      </c>
      <c r="D616">
        <v>3</v>
      </c>
      <c r="E616">
        <f>WeeklyPicks!F206</f>
        <v>0</v>
      </c>
      <c r="F616">
        <f>IF(E616="","",SUMIFS(RaceResults!$C:$C,RaceResults!$A:$A,A616,RaceResults!$D:$D,E616))</f>
        <v>0</v>
      </c>
      <c r="G616">
        <f>IF(E616="","",SUMIFS(RaceResults!$E:$E,RaceResults!$A:$A,A616,RaceResults!$D:$D,E616))</f>
        <v>0</v>
      </c>
    </row>
    <row r="617" spans="1:7" x14ac:dyDescent="0.3">
      <c r="A617">
        <v>21</v>
      </c>
      <c r="B617" t="s">
        <v>90</v>
      </c>
      <c r="C617" t="s">
        <v>28</v>
      </c>
      <c r="D617">
        <v>1</v>
      </c>
      <c r="E617">
        <f>WeeklyPicks!D207</f>
        <v>0</v>
      </c>
      <c r="F617">
        <f>IF(E617="","",SUMIFS(RaceResults!$C:$C,RaceResults!$A:$A,A617,RaceResults!$D:$D,E617))</f>
        <v>0</v>
      </c>
      <c r="G617">
        <f>IF(E617="","",SUMIFS(RaceResults!$E:$E,RaceResults!$A:$A,A617,RaceResults!$D:$D,E617))</f>
        <v>0</v>
      </c>
    </row>
    <row r="618" spans="1:7" x14ac:dyDescent="0.3">
      <c r="A618">
        <v>21</v>
      </c>
      <c r="B618" t="s">
        <v>90</v>
      </c>
      <c r="C618" t="s">
        <v>28</v>
      </c>
      <c r="D618">
        <v>2</v>
      </c>
      <c r="E618">
        <f>WeeklyPicks!E207</f>
        <v>0</v>
      </c>
      <c r="F618">
        <f>IF(E618="","",SUMIFS(RaceResults!$C:$C,RaceResults!$A:$A,A618,RaceResults!$D:$D,E618))</f>
        <v>0</v>
      </c>
      <c r="G618">
        <f>IF(E618="","",SUMIFS(RaceResults!$E:$E,RaceResults!$A:$A,A618,RaceResults!$D:$D,E618))</f>
        <v>0</v>
      </c>
    </row>
    <row r="619" spans="1:7" x14ac:dyDescent="0.3">
      <c r="A619">
        <v>21</v>
      </c>
      <c r="B619" t="s">
        <v>90</v>
      </c>
      <c r="C619" t="s">
        <v>28</v>
      </c>
      <c r="D619">
        <v>3</v>
      </c>
      <c r="E619">
        <f>WeeklyPicks!F207</f>
        <v>0</v>
      </c>
      <c r="F619">
        <f>IF(E619="","",SUMIFS(RaceResults!$C:$C,RaceResults!$A:$A,A619,RaceResults!$D:$D,E619))</f>
        <v>0</v>
      </c>
      <c r="G619">
        <f>IF(E619="","",SUMIFS(RaceResults!$E:$E,RaceResults!$A:$A,A619,RaceResults!$D:$D,E619))</f>
        <v>0</v>
      </c>
    </row>
    <row r="620" spans="1:7" x14ac:dyDescent="0.3">
      <c r="A620">
        <v>21</v>
      </c>
      <c r="B620" t="s">
        <v>90</v>
      </c>
      <c r="C620" t="s">
        <v>29</v>
      </c>
      <c r="D620">
        <v>1</v>
      </c>
      <c r="E620">
        <f>WeeklyPicks!D208</f>
        <v>0</v>
      </c>
      <c r="F620">
        <f>IF(E620="","",SUMIFS(RaceResults!$C:$C,RaceResults!$A:$A,A620,RaceResults!$D:$D,E620))</f>
        <v>0</v>
      </c>
      <c r="G620">
        <f>IF(E620="","",SUMIFS(RaceResults!$E:$E,RaceResults!$A:$A,A620,RaceResults!$D:$D,E620))</f>
        <v>0</v>
      </c>
    </row>
    <row r="621" spans="1:7" x14ac:dyDescent="0.3">
      <c r="A621">
        <v>21</v>
      </c>
      <c r="B621" t="s">
        <v>90</v>
      </c>
      <c r="C621" t="s">
        <v>29</v>
      </c>
      <c r="D621">
        <v>2</v>
      </c>
      <c r="E621">
        <f>WeeklyPicks!E208</f>
        <v>0</v>
      </c>
      <c r="F621">
        <f>IF(E621="","",SUMIFS(RaceResults!$C:$C,RaceResults!$A:$A,A621,RaceResults!$D:$D,E621))</f>
        <v>0</v>
      </c>
      <c r="G621">
        <f>IF(E621="","",SUMIFS(RaceResults!$E:$E,RaceResults!$A:$A,A621,RaceResults!$D:$D,E621))</f>
        <v>0</v>
      </c>
    </row>
    <row r="622" spans="1:7" x14ac:dyDescent="0.3">
      <c r="A622">
        <v>21</v>
      </c>
      <c r="B622" t="s">
        <v>90</v>
      </c>
      <c r="C622" t="s">
        <v>29</v>
      </c>
      <c r="D622">
        <v>3</v>
      </c>
      <c r="E622">
        <f>WeeklyPicks!F208</f>
        <v>0</v>
      </c>
      <c r="F622">
        <f>IF(E622="","",SUMIFS(RaceResults!$C:$C,RaceResults!$A:$A,A622,RaceResults!$D:$D,E622))</f>
        <v>0</v>
      </c>
      <c r="G622">
        <f>IF(E622="","",SUMIFS(RaceResults!$E:$E,RaceResults!$A:$A,A622,RaceResults!$D:$D,E622))</f>
        <v>0</v>
      </c>
    </row>
    <row r="623" spans="1:7" x14ac:dyDescent="0.3">
      <c r="A623">
        <v>21</v>
      </c>
      <c r="B623" t="s">
        <v>90</v>
      </c>
      <c r="C623" t="s">
        <v>30</v>
      </c>
      <c r="D623">
        <v>1</v>
      </c>
      <c r="E623">
        <f>WeeklyPicks!D209</f>
        <v>0</v>
      </c>
      <c r="F623">
        <f>IF(E623="","",SUMIFS(RaceResults!$C:$C,RaceResults!$A:$A,A623,RaceResults!$D:$D,E623))</f>
        <v>0</v>
      </c>
      <c r="G623">
        <f>IF(E623="","",SUMIFS(RaceResults!$E:$E,RaceResults!$A:$A,A623,RaceResults!$D:$D,E623))</f>
        <v>0</v>
      </c>
    </row>
    <row r="624" spans="1:7" x14ac:dyDescent="0.3">
      <c r="A624">
        <v>21</v>
      </c>
      <c r="B624" t="s">
        <v>90</v>
      </c>
      <c r="C624" t="s">
        <v>30</v>
      </c>
      <c r="D624">
        <v>2</v>
      </c>
      <c r="E624">
        <f>WeeklyPicks!E209</f>
        <v>0</v>
      </c>
      <c r="F624">
        <f>IF(E624="","",SUMIFS(RaceResults!$C:$C,RaceResults!$A:$A,A624,RaceResults!$D:$D,E624))</f>
        <v>0</v>
      </c>
      <c r="G624">
        <f>IF(E624="","",SUMIFS(RaceResults!$E:$E,RaceResults!$A:$A,A624,RaceResults!$D:$D,E624))</f>
        <v>0</v>
      </c>
    </row>
    <row r="625" spans="1:7" x14ac:dyDescent="0.3">
      <c r="A625">
        <v>21</v>
      </c>
      <c r="B625" t="s">
        <v>90</v>
      </c>
      <c r="C625" t="s">
        <v>30</v>
      </c>
      <c r="D625">
        <v>3</v>
      </c>
      <c r="E625">
        <f>WeeklyPicks!F209</f>
        <v>0</v>
      </c>
      <c r="F625">
        <f>IF(E625="","",SUMIFS(RaceResults!$C:$C,RaceResults!$A:$A,A625,RaceResults!$D:$D,E625))</f>
        <v>0</v>
      </c>
      <c r="G625">
        <f>IF(E625="","",SUMIFS(RaceResults!$E:$E,RaceResults!$A:$A,A625,RaceResults!$D:$D,E625))</f>
        <v>0</v>
      </c>
    </row>
    <row r="626" spans="1:7" x14ac:dyDescent="0.3">
      <c r="A626">
        <v>21</v>
      </c>
      <c r="B626" t="s">
        <v>90</v>
      </c>
      <c r="C626" t="s">
        <v>31</v>
      </c>
      <c r="D626">
        <v>1</v>
      </c>
      <c r="E626">
        <f>WeeklyPicks!D210</f>
        <v>0</v>
      </c>
      <c r="F626">
        <f>IF(E626="","",SUMIFS(RaceResults!$C:$C,RaceResults!$A:$A,A626,RaceResults!$D:$D,E626))</f>
        <v>0</v>
      </c>
      <c r="G626">
        <f>IF(E626="","",SUMIFS(RaceResults!$E:$E,RaceResults!$A:$A,A626,RaceResults!$D:$D,E626))</f>
        <v>0</v>
      </c>
    </row>
    <row r="627" spans="1:7" x14ac:dyDescent="0.3">
      <c r="A627">
        <v>21</v>
      </c>
      <c r="B627" t="s">
        <v>90</v>
      </c>
      <c r="C627" t="s">
        <v>31</v>
      </c>
      <c r="D627">
        <v>2</v>
      </c>
      <c r="E627">
        <f>WeeklyPicks!E210</f>
        <v>0</v>
      </c>
      <c r="F627">
        <f>IF(E627="","",SUMIFS(RaceResults!$C:$C,RaceResults!$A:$A,A627,RaceResults!$D:$D,E627))</f>
        <v>0</v>
      </c>
      <c r="G627">
        <f>IF(E627="","",SUMIFS(RaceResults!$E:$E,RaceResults!$A:$A,A627,RaceResults!$D:$D,E627))</f>
        <v>0</v>
      </c>
    </row>
    <row r="628" spans="1:7" x14ac:dyDescent="0.3">
      <c r="A628">
        <v>21</v>
      </c>
      <c r="B628" t="s">
        <v>90</v>
      </c>
      <c r="C628" t="s">
        <v>31</v>
      </c>
      <c r="D628">
        <v>3</v>
      </c>
      <c r="E628">
        <f>WeeklyPicks!F210</f>
        <v>0</v>
      </c>
      <c r="F628">
        <f>IF(E628="","",SUMIFS(RaceResults!$C:$C,RaceResults!$A:$A,A628,RaceResults!$D:$D,E628))</f>
        <v>0</v>
      </c>
      <c r="G628">
        <f>IF(E628="","",SUMIFS(RaceResults!$E:$E,RaceResults!$A:$A,A628,RaceResults!$D:$D,E628))</f>
        <v>0</v>
      </c>
    </row>
    <row r="629" spans="1:7" x14ac:dyDescent="0.3">
      <c r="A629">
        <v>21</v>
      </c>
      <c r="B629" t="s">
        <v>90</v>
      </c>
      <c r="C629" t="s">
        <v>32</v>
      </c>
      <c r="D629">
        <v>1</v>
      </c>
      <c r="E629">
        <f>WeeklyPicks!D211</f>
        <v>0</v>
      </c>
      <c r="F629">
        <f>IF(E629="","",SUMIFS(RaceResults!$C:$C,RaceResults!$A:$A,A629,RaceResults!$D:$D,E629))</f>
        <v>0</v>
      </c>
      <c r="G629">
        <f>IF(E629="","",SUMIFS(RaceResults!$E:$E,RaceResults!$A:$A,A629,RaceResults!$D:$D,E629))</f>
        <v>0</v>
      </c>
    </row>
    <row r="630" spans="1:7" x14ac:dyDescent="0.3">
      <c r="A630">
        <v>21</v>
      </c>
      <c r="B630" t="s">
        <v>90</v>
      </c>
      <c r="C630" t="s">
        <v>32</v>
      </c>
      <c r="D630">
        <v>2</v>
      </c>
      <c r="E630">
        <f>WeeklyPicks!E211</f>
        <v>0</v>
      </c>
      <c r="F630">
        <f>IF(E630="","",SUMIFS(RaceResults!$C:$C,RaceResults!$A:$A,A630,RaceResults!$D:$D,E630))</f>
        <v>0</v>
      </c>
      <c r="G630">
        <f>IF(E630="","",SUMIFS(RaceResults!$E:$E,RaceResults!$A:$A,A630,RaceResults!$D:$D,E630))</f>
        <v>0</v>
      </c>
    </row>
    <row r="631" spans="1:7" x14ac:dyDescent="0.3">
      <c r="A631">
        <v>21</v>
      </c>
      <c r="B631" t="s">
        <v>90</v>
      </c>
      <c r="C631" t="s">
        <v>32</v>
      </c>
      <c r="D631">
        <v>3</v>
      </c>
      <c r="E631">
        <f>WeeklyPicks!F211</f>
        <v>0</v>
      </c>
      <c r="F631">
        <f>IF(E631="","",SUMIFS(RaceResults!$C:$C,RaceResults!$A:$A,A631,RaceResults!$D:$D,E631))</f>
        <v>0</v>
      </c>
      <c r="G631">
        <f>IF(E631="","",SUMIFS(RaceResults!$E:$E,RaceResults!$A:$A,A631,RaceResults!$D:$D,E631))</f>
        <v>0</v>
      </c>
    </row>
    <row r="632" spans="1:7" x14ac:dyDescent="0.3">
      <c r="A632">
        <v>22</v>
      </c>
      <c r="B632" t="s">
        <v>92</v>
      </c>
      <c r="C632" t="s">
        <v>21</v>
      </c>
      <c r="D632">
        <v>1</v>
      </c>
      <c r="E632">
        <f>WeeklyPicks!D212</f>
        <v>0</v>
      </c>
      <c r="F632">
        <f>IF(E632="","",SUMIFS(RaceResults!$C:$C,RaceResults!$A:$A,A632,RaceResults!$D:$D,E632))</f>
        <v>0</v>
      </c>
      <c r="G632">
        <f>IF(E632="","",SUMIFS(RaceResults!$E:$E,RaceResults!$A:$A,A632,RaceResults!$D:$D,E632))</f>
        <v>0</v>
      </c>
    </row>
    <row r="633" spans="1:7" x14ac:dyDescent="0.3">
      <c r="A633">
        <v>22</v>
      </c>
      <c r="B633" t="s">
        <v>92</v>
      </c>
      <c r="C633" t="s">
        <v>21</v>
      </c>
      <c r="D633">
        <v>2</v>
      </c>
      <c r="E633">
        <f>WeeklyPicks!E212</f>
        <v>0</v>
      </c>
      <c r="F633">
        <f>IF(E633="","",SUMIFS(RaceResults!$C:$C,RaceResults!$A:$A,A633,RaceResults!$D:$D,E633))</f>
        <v>0</v>
      </c>
      <c r="G633">
        <f>IF(E633="","",SUMIFS(RaceResults!$E:$E,RaceResults!$A:$A,A633,RaceResults!$D:$D,E633))</f>
        <v>0</v>
      </c>
    </row>
    <row r="634" spans="1:7" x14ac:dyDescent="0.3">
      <c r="A634">
        <v>22</v>
      </c>
      <c r="B634" t="s">
        <v>92</v>
      </c>
      <c r="C634" t="s">
        <v>21</v>
      </c>
      <c r="D634">
        <v>3</v>
      </c>
      <c r="E634">
        <f>WeeklyPicks!F212</f>
        <v>0</v>
      </c>
      <c r="F634">
        <f>IF(E634="","",SUMIFS(RaceResults!$C:$C,RaceResults!$A:$A,A634,RaceResults!$D:$D,E634))</f>
        <v>0</v>
      </c>
      <c r="G634">
        <f>IF(E634="","",SUMIFS(RaceResults!$E:$E,RaceResults!$A:$A,A634,RaceResults!$D:$D,E634))</f>
        <v>0</v>
      </c>
    </row>
    <row r="635" spans="1:7" x14ac:dyDescent="0.3">
      <c r="A635">
        <v>22</v>
      </c>
      <c r="B635" t="s">
        <v>92</v>
      </c>
      <c r="C635" t="s">
        <v>22</v>
      </c>
      <c r="D635">
        <v>1</v>
      </c>
      <c r="E635">
        <f>WeeklyPicks!D213</f>
        <v>0</v>
      </c>
      <c r="F635">
        <f>IF(E635="","",SUMIFS(RaceResults!$C:$C,RaceResults!$A:$A,A635,RaceResults!$D:$D,E635))</f>
        <v>0</v>
      </c>
      <c r="G635">
        <f>IF(E635="","",SUMIFS(RaceResults!$E:$E,RaceResults!$A:$A,A635,RaceResults!$D:$D,E635))</f>
        <v>0</v>
      </c>
    </row>
    <row r="636" spans="1:7" x14ac:dyDescent="0.3">
      <c r="A636">
        <v>22</v>
      </c>
      <c r="B636" t="s">
        <v>92</v>
      </c>
      <c r="C636" t="s">
        <v>22</v>
      </c>
      <c r="D636">
        <v>2</v>
      </c>
      <c r="E636">
        <f>WeeklyPicks!E213</f>
        <v>0</v>
      </c>
      <c r="F636">
        <f>IF(E636="","",SUMIFS(RaceResults!$C:$C,RaceResults!$A:$A,A636,RaceResults!$D:$D,E636))</f>
        <v>0</v>
      </c>
      <c r="G636">
        <f>IF(E636="","",SUMIFS(RaceResults!$E:$E,RaceResults!$A:$A,A636,RaceResults!$D:$D,E636))</f>
        <v>0</v>
      </c>
    </row>
    <row r="637" spans="1:7" x14ac:dyDescent="0.3">
      <c r="A637">
        <v>22</v>
      </c>
      <c r="B637" t="s">
        <v>92</v>
      </c>
      <c r="C637" t="s">
        <v>22</v>
      </c>
      <c r="D637">
        <v>3</v>
      </c>
      <c r="E637">
        <f>WeeklyPicks!F213</f>
        <v>0</v>
      </c>
      <c r="F637">
        <f>IF(E637="","",SUMIFS(RaceResults!$C:$C,RaceResults!$A:$A,A637,RaceResults!$D:$D,E637))</f>
        <v>0</v>
      </c>
      <c r="G637">
        <f>IF(E637="","",SUMIFS(RaceResults!$E:$E,RaceResults!$A:$A,A637,RaceResults!$D:$D,E637))</f>
        <v>0</v>
      </c>
    </row>
    <row r="638" spans="1:7" x14ac:dyDescent="0.3">
      <c r="A638">
        <v>22</v>
      </c>
      <c r="B638" t="s">
        <v>92</v>
      </c>
      <c r="C638" t="s">
        <v>25</v>
      </c>
      <c r="D638">
        <v>1</v>
      </c>
      <c r="E638">
        <f>WeeklyPicks!D214</f>
        <v>0</v>
      </c>
      <c r="F638">
        <f>IF(E638="","",SUMIFS(RaceResults!$C:$C,RaceResults!$A:$A,A638,RaceResults!$D:$D,E638))</f>
        <v>0</v>
      </c>
      <c r="G638">
        <f>IF(E638="","",SUMIFS(RaceResults!$E:$E,RaceResults!$A:$A,A638,RaceResults!$D:$D,E638))</f>
        <v>0</v>
      </c>
    </row>
    <row r="639" spans="1:7" x14ac:dyDescent="0.3">
      <c r="A639">
        <v>22</v>
      </c>
      <c r="B639" t="s">
        <v>92</v>
      </c>
      <c r="C639" t="s">
        <v>25</v>
      </c>
      <c r="D639">
        <v>2</v>
      </c>
      <c r="E639">
        <f>WeeklyPicks!E214</f>
        <v>0</v>
      </c>
      <c r="F639">
        <f>IF(E639="","",SUMIFS(RaceResults!$C:$C,RaceResults!$A:$A,A639,RaceResults!$D:$D,E639))</f>
        <v>0</v>
      </c>
      <c r="G639">
        <f>IF(E639="","",SUMIFS(RaceResults!$E:$E,RaceResults!$A:$A,A639,RaceResults!$D:$D,E639))</f>
        <v>0</v>
      </c>
    </row>
    <row r="640" spans="1:7" x14ac:dyDescent="0.3">
      <c r="A640">
        <v>22</v>
      </c>
      <c r="B640" t="s">
        <v>92</v>
      </c>
      <c r="C640" t="s">
        <v>25</v>
      </c>
      <c r="D640">
        <v>3</v>
      </c>
      <c r="E640">
        <f>WeeklyPicks!F214</f>
        <v>0</v>
      </c>
      <c r="F640">
        <f>IF(E640="","",SUMIFS(RaceResults!$C:$C,RaceResults!$A:$A,A640,RaceResults!$D:$D,E640))</f>
        <v>0</v>
      </c>
      <c r="G640">
        <f>IF(E640="","",SUMIFS(RaceResults!$E:$E,RaceResults!$A:$A,A640,RaceResults!$D:$D,E640))</f>
        <v>0</v>
      </c>
    </row>
    <row r="641" spans="1:7" x14ac:dyDescent="0.3">
      <c r="A641">
        <v>22</v>
      </c>
      <c r="B641" t="s">
        <v>92</v>
      </c>
      <c r="C641" t="s">
        <v>26</v>
      </c>
      <c r="D641">
        <v>1</v>
      </c>
      <c r="E641">
        <f>WeeklyPicks!D215</f>
        <v>0</v>
      </c>
      <c r="F641">
        <f>IF(E641="","",SUMIFS(RaceResults!$C:$C,RaceResults!$A:$A,A641,RaceResults!$D:$D,E641))</f>
        <v>0</v>
      </c>
      <c r="G641">
        <f>IF(E641="","",SUMIFS(RaceResults!$E:$E,RaceResults!$A:$A,A641,RaceResults!$D:$D,E641))</f>
        <v>0</v>
      </c>
    </row>
    <row r="642" spans="1:7" x14ac:dyDescent="0.3">
      <c r="A642">
        <v>22</v>
      </c>
      <c r="B642" t="s">
        <v>92</v>
      </c>
      <c r="C642" t="s">
        <v>26</v>
      </c>
      <c r="D642">
        <v>2</v>
      </c>
      <c r="E642">
        <f>WeeklyPicks!E215</f>
        <v>0</v>
      </c>
      <c r="F642">
        <f>IF(E642="","",SUMIFS(RaceResults!$C:$C,RaceResults!$A:$A,A642,RaceResults!$D:$D,E642))</f>
        <v>0</v>
      </c>
      <c r="G642">
        <f>IF(E642="","",SUMIFS(RaceResults!$E:$E,RaceResults!$A:$A,A642,RaceResults!$D:$D,E642))</f>
        <v>0</v>
      </c>
    </row>
    <row r="643" spans="1:7" x14ac:dyDescent="0.3">
      <c r="A643">
        <v>22</v>
      </c>
      <c r="B643" t="s">
        <v>92</v>
      </c>
      <c r="C643" t="s">
        <v>26</v>
      </c>
      <c r="D643">
        <v>3</v>
      </c>
      <c r="E643">
        <f>WeeklyPicks!F215</f>
        <v>0</v>
      </c>
      <c r="F643">
        <f>IF(E643="","",SUMIFS(RaceResults!$C:$C,RaceResults!$A:$A,A643,RaceResults!$D:$D,E643))</f>
        <v>0</v>
      </c>
      <c r="G643">
        <f>IF(E643="","",SUMIFS(RaceResults!$E:$E,RaceResults!$A:$A,A643,RaceResults!$D:$D,E643))</f>
        <v>0</v>
      </c>
    </row>
    <row r="644" spans="1:7" x14ac:dyDescent="0.3">
      <c r="A644">
        <v>22</v>
      </c>
      <c r="B644" t="s">
        <v>92</v>
      </c>
      <c r="C644" t="s">
        <v>27</v>
      </c>
      <c r="D644">
        <v>1</v>
      </c>
      <c r="E644">
        <f>WeeklyPicks!D216</f>
        <v>0</v>
      </c>
      <c r="F644">
        <f>IF(E644="","",SUMIFS(RaceResults!$C:$C,RaceResults!$A:$A,A644,RaceResults!$D:$D,E644))</f>
        <v>0</v>
      </c>
      <c r="G644">
        <f>IF(E644="","",SUMIFS(RaceResults!$E:$E,RaceResults!$A:$A,A644,RaceResults!$D:$D,E644))</f>
        <v>0</v>
      </c>
    </row>
    <row r="645" spans="1:7" x14ac:dyDescent="0.3">
      <c r="A645">
        <v>22</v>
      </c>
      <c r="B645" t="s">
        <v>92</v>
      </c>
      <c r="C645" t="s">
        <v>27</v>
      </c>
      <c r="D645">
        <v>2</v>
      </c>
      <c r="E645">
        <f>WeeklyPicks!E216</f>
        <v>0</v>
      </c>
      <c r="F645">
        <f>IF(E645="","",SUMIFS(RaceResults!$C:$C,RaceResults!$A:$A,A645,RaceResults!$D:$D,E645))</f>
        <v>0</v>
      </c>
      <c r="G645">
        <f>IF(E645="","",SUMIFS(RaceResults!$E:$E,RaceResults!$A:$A,A645,RaceResults!$D:$D,E645))</f>
        <v>0</v>
      </c>
    </row>
    <row r="646" spans="1:7" x14ac:dyDescent="0.3">
      <c r="A646">
        <v>22</v>
      </c>
      <c r="B646" t="s">
        <v>92</v>
      </c>
      <c r="C646" t="s">
        <v>27</v>
      </c>
      <c r="D646">
        <v>3</v>
      </c>
      <c r="E646">
        <f>WeeklyPicks!F216</f>
        <v>0</v>
      </c>
      <c r="F646">
        <f>IF(E646="","",SUMIFS(RaceResults!$C:$C,RaceResults!$A:$A,A646,RaceResults!$D:$D,E646))</f>
        <v>0</v>
      </c>
      <c r="G646">
        <f>IF(E646="","",SUMIFS(RaceResults!$E:$E,RaceResults!$A:$A,A646,RaceResults!$D:$D,E646))</f>
        <v>0</v>
      </c>
    </row>
    <row r="647" spans="1:7" x14ac:dyDescent="0.3">
      <c r="A647">
        <v>22</v>
      </c>
      <c r="B647" t="s">
        <v>92</v>
      </c>
      <c r="C647" t="s">
        <v>28</v>
      </c>
      <c r="D647">
        <v>1</v>
      </c>
      <c r="E647">
        <f>WeeklyPicks!D217</f>
        <v>0</v>
      </c>
      <c r="F647">
        <f>IF(E647="","",SUMIFS(RaceResults!$C:$C,RaceResults!$A:$A,A647,RaceResults!$D:$D,E647))</f>
        <v>0</v>
      </c>
      <c r="G647">
        <f>IF(E647="","",SUMIFS(RaceResults!$E:$E,RaceResults!$A:$A,A647,RaceResults!$D:$D,E647))</f>
        <v>0</v>
      </c>
    </row>
    <row r="648" spans="1:7" x14ac:dyDescent="0.3">
      <c r="A648">
        <v>22</v>
      </c>
      <c r="B648" t="s">
        <v>92</v>
      </c>
      <c r="C648" t="s">
        <v>28</v>
      </c>
      <c r="D648">
        <v>2</v>
      </c>
      <c r="E648">
        <f>WeeklyPicks!E217</f>
        <v>0</v>
      </c>
      <c r="F648">
        <f>IF(E648="","",SUMIFS(RaceResults!$C:$C,RaceResults!$A:$A,A648,RaceResults!$D:$D,E648))</f>
        <v>0</v>
      </c>
      <c r="G648">
        <f>IF(E648="","",SUMIFS(RaceResults!$E:$E,RaceResults!$A:$A,A648,RaceResults!$D:$D,E648))</f>
        <v>0</v>
      </c>
    </row>
    <row r="649" spans="1:7" x14ac:dyDescent="0.3">
      <c r="A649">
        <v>22</v>
      </c>
      <c r="B649" t="s">
        <v>92</v>
      </c>
      <c r="C649" t="s">
        <v>28</v>
      </c>
      <c r="D649">
        <v>3</v>
      </c>
      <c r="E649">
        <f>WeeklyPicks!F217</f>
        <v>0</v>
      </c>
      <c r="F649">
        <f>IF(E649="","",SUMIFS(RaceResults!$C:$C,RaceResults!$A:$A,A649,RaceResults!$D:$D,E649))</f>
        <v>0</v>
      </c>
      <c r="G649">
        <f>IF(E649="","",SUMIFS(RaceResults!$E:$E,RaceResults!$A:$A,A649,RaceResults!$D:$D,E649))</f>
        <v>0</v>
      </c>
    </row>
    <row r="650" spans="1:7" x14ac:dyDescent="0.3">
      <c r="A650">
        <v>22</v>
      </c>
      <c r="B650" t="s">
        <v>92</v>
      </c>
      <c r="C650" t="s">
        <v>29</v>
      </c>
      <c r="D650">
        <v>1</v>
      </c>
      <c r="E650">
        <f>WeeklyPicks!D218</f>
        <v>0</v>
      </c>
      <c r="F650">
        <f>IF(E650="","",SUMIFS(RaceResults!$C:$C,RaceResults!$A:$A,A650,RaceResults!$D:$D,E650))</f>
        <v>0</v>
      </c>
      <c r="G650">
        <f>IF(E650="","",SUMIFS(RaceResults!$E:$E,RaceResults!$A:$A,A650,RaceResults!$D:$D,E650))</f>
        <v>0</v>
      </c>
    </row>
    <row r="651" spans="1:7" x14ac:dyDescent="0.3">
      <c r="A651">
        <v>22</v>
      </c>
      <c r="B651" t="s">
        <v>92</v>
      </c>
      <c r="C651" t="s">
        <v>29</v>
      </c>
      <c r="D651">
        <v>2</v>
      </c>
      <c r="E651">
        <f>WeeklyPicks!E218</f>
        <v>0</v>
      </c>
      <c r="F651">
        <f>IF(E651="","",SUMIFS(RaceResults!$C:$C,RaceResults!$A:$A,A651,RaceResults!$D:$D,E651))</f>
        <v>0</v>
      </c>
      <c r="G651">
        <f>IF(E651="","",SUMIFS(RaceResults!$E:$E,RaceResults!$A:$A,A651,RaceResults!$D:$D,E651))</f>
        <v>0</v>
      </c>
    </row>
    <row r="652" spans="1:7" x14ac:dyDescent="0.3">
      <c r="A652">
        <v>22</v>
      </c>
      <c r="B652" t="s">
        <v>92</v>
      </c>
      <c r="C652" t="s">
        <v>29</v>
      </c>
      <c r="D652">
        <v>3</v>
      </c>
      <c r="E652">
        <f>WeeklyPicks!F218</f>
        <v>0</v>
      </c>
      <c r="F652">
        <f>IF(E652="","",SUMIFS(RaceResults!$C:$C,RaceResults!$A:$A,A652,RaceResults!$D:$D,E652))</f>
        <v>0</v>
      </c>
      <c r="G652">
        <f>IF(E652="","",SUMIFS(RaceResults!$E:$E,RaceResults!$A:$A,A652,RaceResults!$D:$D,E652))</f>
        <v>0</v>
      </c>
    </row>
    <row r="653" spans="1:7" x14ac:dyDescent="0.3">
      <c r="A653">
        <v>22</v>
      </c>
      <c r="B653" t="s">
        <v>92</v>
      </c>
      <c r="C653" t="s">
        <v>30</v>
      </c>
      <c r="D653">
        <v>1</v>
      </c>
      <c r="E653">
        <f>WeeklyPicks!D219</f>
        <v>0</v>
      </c>
      <c r="F653">
        <f>IF(E653="","",SUMIFS(RaceResults!$C:$C,RaceResults!$A:$A,A653,RaceResults!$D:$D,E653))</f>
        <v>0</v>
      </c>
      <c r="G653">
        <f>IF(E653="","",SUMIFS(RaceResults!$E:$E,RaceResults!$A:$A,A653,RaceResults!$D:$D,E653))</f>
        <v>0</v>
      </c>
    </row>
    <row r="654" spans="1:7" x14ac:dyDescent="0.3">
      <c r="A654">
        <v>22</v>
      </c>
      <c r="B654" t="s">
        <v>92</v>
      </c>
      <c r="C654" t="s">
        <v>30</v>
      </c>
      <c r="D654">
        <v>2</v>
      </c>
      <c r="E654">
        <f>WeeklyPicks!E219</f>
        <v>0</v>
      </c>
      <c r="F654">
        <f>IF(E654="","",SUMIFS(RaceResults!$C:$C,RaceResults!$A:$A,A654,RaceResults!$D:$D,E654))</f>
        <v>0</v>
      </c>
      <c r="G654">
        <f>IF(E654="","",SUMIFS(RaceResults!$E:$E,RaceResults!$A:$A,A654,RaceResults!$D:$D,E654))</f>
        <v>0</v>
      </c>
    </row>
    <row r="655" spans="1:7" x14ac:dyDescent="0.3">
      <c r="A655">
        <v>22</v>
      </c>
      <c r="B655" t="s">
        <v>92</v>
      </c>
      <c r="C655" t="s">
        <v>30</v>
      </c>
      <c r="D655">
        <v>3</v>
      </c>
      <c r="E655">
        <f>WeeklyPicks!F219</f>
        <v>0</v>
      </c>
      <c r="F655">
        <f>IF(E655="","",SUMIFS(RaceResults!$C:$C,RaceResults!$A:$A,A655,RaceResults!$D:$D,E655))</f>
        <v>0</v>
      </c>
      <c r="G655">
        <f>IF(E655="","",SUMIFS(RaceResults!$E:$E,RaceResults!$A:$A,A655,RaceResults!$D:$D,E655))</f>
        <v>0</v>
      </c>
    </row>
    <row r="656" spans="1:7" x14ac:dyDescent="0.3">
      <c r="A656">
        <v>22</v>
      </c>
      <c r="B656" t="s">
        <v>92</v>
      </c>
      <c r="C656" t="s">
        <v>31</v>
      </c>
      <c r="D656">
        <v>1</v>
      </c>
      <c r="E656">
        <f>WeeklyPicks!D220</f>
        <v>0</v>
      </c>
      <c r="F656">
        <f>IF(E656="","",SUMIFS(RaceResults!$C:$C,RaceResults!$A:$A,A656,RaceResults!$D:$D,E656))</f>
        <v>0</v>
      </c>
      <c r="G656">
        <f>IF(E656="","",SUMIFS(RaceResults!$E:$E,RaceResults!$A:$A,A656,RaceResults!$D:$D,E656))</f>
        <v>0</v>
      </c>
    </row>
    <row r="657" spans="1:7" x14ac:dyDescent="0.3">
      <c r="A657">
        <v>22</v>
      </c>
      <c r="B657" t="s">
        <v>92</v>
      </c>
      <c r="C657" t="s">
        <v>31</v>
      </c>
      <c r="D657">
        <v>2</v>
      </c>
      <c r="E657">
        <f>WeeklyPicks!E220</f>
        <v>0</v>
      </c>
      <c r="F657">
        <f>IF(E657="","",SUMIFS(RaceResults!$C:$C,RaceResults!$A:$A,A657,RaceResults!$D:$D,E657))</f>
        <v>0</v>
      </c>
      <c r="G657">
        <f>IF(E657="","",SUMIFS(RaceResults!$E:$E,RaceResults!$A:$A,A657,RaceResults!$D:$D,E657))</f>
        <v>0</v>
      </c>
    </row>
    <row r="658" spans="1:7" x14ac:dyDescent="0.3">
      <c r="A658">
        <v>22</v>
      </c>
      <c r="B658" t="s">
        <v>92</v>
      </c>
      <c r="C658" t="s">
        <v>31</v>
      </c>
      <c r="D658">
        <v>3</v>
      </c>
      <c r="E658">
        <f>WeeklyPicks!F220</f>
        <v>0</v>
      </c>
      <c r="F658">
        <f>IF(E658="","",SUMIFS(RaceResults!$C:$C,RaceResults!$A:$A,A658,RaceResults!$D:$D,E658))</f>
        <v>0</v>
      </c>
      <c r="G658">
        <f>IF(E658="","",SUMIFS(RaceResults!$E:$E,RaceResults!$A:$A,A658,RaceResults!$D:$D,E658))</f>
        <v>0</v>
      </c>
    </row>
    <row r="659" spans="1:7" x14ac:dyDescent="0.3">
      <c r="A659">
        <v>22</v>
      </c>
      <c r="B659" t="s">
        <v>92</v>
      </c>
      <c r="C659" t="s">
        <v>32</v>
      </c>
      <c r="D659">
        <v>1</v>
      </c>
      <c r="E659">
        <f>WeeklyPicks!D221</f>
        <v>0</v>
      </c>
      <c r="F659">
        <f>IF(E659="","",SUMIFS(RaceResults!$C:$C,RaceResults!$A:$A,A659,RaceResults!$D:$D,E659))</f>
        <v>0</v>
      </c>
      <c r="G659">
        <f>IF(E659="","",SUMIFS(RaceResults!$E:$E,RaceResults!$A:$A,A659,RaceResults!$D:$D,E659))</f>
        <v>0</v>
      </c>
    </row>
    <row r="660" spans="1:7" x14ac:dyDescent="0.3">
      <c r="A660">
        <v>22</v>
      </c>
      <c r="B660" t="s">
        <v>92</v>
      </c>
      <c r="C660" t="s">
        <v>32</v>
      </c>
      <c r="D660">
        <v>2</v>
      </c>
      <c r="E660">
        <f>WeeklyPicks!E221</f>
        <v>0</v>
      </c>
      <c r="F660">
        <f>IF(E660="","",SUMIFS(RaceResults!$C:$C,RaceResults!$A:$A,A660,RaceResults!$D:$D,E660))</f>
        <v>0</v>
      </c>
      <c r="G660">
        <f>IF(E660="","",SUMIFS(RaceResults!$E:$E,RaceResults!$A:$A,A660,RaceResults!$D:$D,E660))</f>
        <v>0</v>
      </c>
    </row>
    <row r="661" spans="1:7" x14ac:dyDescent="0.3">
      <c r="A661">
        <v>22</v>
      </c>
      <c r="B661" t="s">
        <v>92</v>
      </c>
      <c r="C661" t="s">
        <v>32</v>
      </c>
      <c r="D661">
        <v>3</v>
      </c>
      <c r="E661">
        <f>WeeklyPicks!F221</f>
        <v>0</v>
      </c>
      <c r="F661">
        <f>IF(E661="","",SUMIFS(RaceResults!$C:$C,RaceResults!$A:$A,A661,RaceResults!$D:$D,E661))</f>
        <v>0</v>
      </c>
      <c r="G661">
        <f>IF(E661="","",SUMIFS(RaceResults!$E:$E,RaceResults!$A:$A,A661,RaceResults!$D:$D,E661))</f>
        <v>0</v>
      </c>
    </row>
    <row r="662" spans="1:7" x14ac:dyDescent="0.3">
      <c r="A662">
        <v>23</v>
      </c>
      <c r="B662" t="s">
        <v>94</v>
      </c>
      <c r="C662" t="s">
        <v>21</v>
      </c>
      <c r="D662">
        <v>1</v>
      </c>
      <c r="E662">
        <f>WeeklyPicks!D222</f>
        <v>0</v>
      </c>
      <c r="F662">
        <f>IF(E662="","",SUMIFS(RaceResults!$C:$C,RaceResults!$A:$A,A662,RaceResults!$D:$D,E662))</f>
        <v>0</v>
      </c>
      <c r="G662">
        <f>IF(E662="","",SUMIFS(RaceResults!$E:$E,RaceResults!$A:$A,A662,RaceResults!$D:$D,E662))</f>
        <v>0</v>
      </c>
    </row>
    <row r="663" spans="1:7" x14ac:dyDescent="0.3">
      <c r="A663">
        <v>23</v>
      </c>
      <c r="B663" t="s">
        <v>94</v>
      </c>
      <c r="C663" t="s">
        <v>21</v>
      </c>
      <c r="D663">
        <v>2</v>
      </c>
      <c r="E663">
        <f>WeeklyPicks!E222</f>
        <v>0</v>
      </c>
      <c r="F663">
        <f>IF(E663="","",SUMIFS(RaceResults!$C:$C,RaceResults!$A:$A,A663,RaceResults!$D:$D,E663))</f>
        <v>0</v>
      </c>
      <c r="G663">
        <f>IF(E663="","",SUMIFS(RaceResults!$E:$E,RaceResults!$A:$A,A663,RaceResults!$D:$D,E663))</f>
        <v>0</v>
      </c>
    </row>
    <row r="664" spans="1:7" x14ac:dyDescent="0.3">
      <c r="A664">
        <v>23</v>
      </c>
      <c r="B664" t="s">
        <v>94</v>
      </c>
      <c r="C664" t="s">
        <v>21</v>
      </c>
      <c r="D664">
        <v>3</v>
      </c>
      <c r="E664">
        <f>WeeklyPicks!F222</f>
        <v>0</v>
      </c>
      <c r="F664">
        <f>IF(E664="","",SUMIFS(RaceResults!$C:$C,RaceResults!$A:$A,A664,RaceResults!$D:$D,E664))</f>
        <v>0</v>
      </c>
      <c r="G664">
        <f>IF(E664="","",SUMIFS(RaceResults!$E:$E,RaceResults!$A:$A,A664,RaceResults!$D:$D,E664))</f>
        <v>0</v>
      </c>
    </row>
    <row r="665" spans="1:7" x14ac:dyDescent="0.3">
      <c r="A665">
        <v>23</v>
      </c>
      <c r="B665" t="s">
        <v>94</v>
      </c>
      <c r="C665" t="s">
        <v>22</v>
      </c>
      <c r="D665">
        <v>1</v>
      </c>
      <c r="E665">
        <f>WeeklyPicks!D223</f>
        <v>0</v>
      </c>
      <c r="F665">
        <f>IF(E665="","",SUMIFS(RaceResults!$C:$C,RaceResults!$A:$A,A665,RaceResults!$D:$D,E665))</f>
        <v>0</v>
      </c>
      <c r="G665">
        <f>IF(E665="","",SUMIFS(RaceResults!$E:$E,RaceResults!$A:$A,A665,RaceResults!$D:$D,E665))</f>
        <v>0</v>
      </c>
    </row>
    <row r="666" spans="1:7" x14ac:dyDescent="0.3">
      <c r="A666">
        <v>23</v>
      </c>
      <c r="B666" t="s">
        <v>94</v>
      </c>
      <c r="C666" t="s">
        <v>22</v>
      </c>
      <c r="D666">
        <v>2</v>
      </c>
      <c r="E666">
        <f>WeeklyPicks!E223</f>
        <v>0</v>
      </c>
      <c r="F666">
        <f>IF(E666="","",SUMIFS(RaceResults!$C:$C,RaceResults!$A:$A,A666,RaceResults!$D:$D,E666))</f>
        <v>0</v>
      </c>
      <c r="G666">
        <f>IF(E666="","",SUMIFS(RaceResults!$E:$E,RaceResults!$A:$A,A666,RaceResults!$D:$D,E666))</f>
        <v>0</v>
      </c>
    </row>
    <row r="667" spans="1:7" x14ac:dyDescent="0.3">
      <c r="A667">
        <v>23</v>
      </c>
      <c r="B667" t="s">
        <v>94</v>
      </c>
      <c r="C667" t="s">
        <v>22</v>
      </c>
      <c r="D667">
        <v>3</v>
      </c>
      <c r="E667">
        <f>WeeklyPicks!F223</f>
        <v>0</v>
      </c>
      <c r="F667">
        <f>IF(E667="","",SUMIFS(RaceResults!$C:$C,RaceResults!$A:$A,A667,RaceResults!$D:$D,E667))</f>
        <v>0</v>
      </c>
      <c r="G667">
        <f>IF(E667="","",SUMIFS(RaceResults!$E:$E,RaceResults!$A:$A,A667,RaceResults!$D:$D,E667))</f>
        <v>0</v>
      </c>
    </row>
    <row r="668" spans="1:7" x14ac:dyDescent="0.3">
      <c r="A668">
        <v>23</v>
      </c>
      <c r="B668" t="s">
        <v>94</v>
      </c>
      <c r="C668" t="s">
        <v>25</v>
      </c>
      <c r="D668">
        <v>1</v>
      </c>
      <c r="E668">
        <f>WeeklyPicks!D224</f>
        <v>0</v>
      </c>
      <c r="F668">
        <f>IF(E668="","",SUMIFS(RaceResults!$C:$C,RaceResults!$A:$A,A668,RaceResults!$D:$D,E668))</f>
        <v>0</v>
      </c>
      <c r="G668">
        <f>IF(E668="","",SUMIFS(RaceResults!$E:$E,RaceResults!$A:$A,A668,RaceResults!$D:$D,E668))</f>
        <v>0</v>
      </c>
    </row>
    <row r="669" spans="1:7" x14ac:dyDescent="0.3">
      <c r="A669">
        <v>23</v>
      </c>
      <c r="B669" t="s">
        <v>94</v>
      </c>
      <c r="C669" t="s">
        <v>25</v>
      </c>
      <c r="D669">
        <v>2</v>
      </c>
      <c r="E669">
        <f>WeeklyPicks!E224</f>
        <v>0</v>
      </c>
      <c r="F669">
        <f>IF(E669="","",SUMIFS(RaceResults!$C:$C,RaceResults!$A:$A,A669,RaceResults!$D:$D,E669))</f>
        <v>0</v>
      </c>
      <c r="G669">
        <f>IF(E669="","",SUMIFS(RaceResults!$E:$E,RaceResults!$A:$A,A669,RaceResults!$D:$D,E669))</f>
        <v>0</v>
      </c>
    </row>
    <row r="670" spans="1:7" x14ac:dyDescent="0.3">
      <c r="A670">
        <v>23</v>
      </c>
      <c r="B670" t="s">
        <v>94</v>
      </c>
      <c r="C670" t="s">
        <v>25</v>
      </c>
      <c r="D670">
        <v>3</v>
      </c>
      <c r="E670">
        <f>WeeklyPicks!F224</f>
        <v>0</v>
      </c>
      <c r="F670">
        <f>IF(E670="","",SUMIFS(RaceResults!$C:$C,RaceResults!$A:$A,A670,RaceResults!$D:$D,E670))</f>
        <v>0</v>
      </c>
      <c r="G670">
        <f>IF(E670="","",SUMIFS(RaceResults!$E:$E,RaceResults!$A:$A,A670,RaceResults!$D:$D,E670))</f>
        <v>0</v>
      </c>
    </row>
    <row r="671" spans="1:7" x14ac:dyDescent="0.3">
      <c r="A671">
        <v>23</v>
      </c>
      <c r="B671" t="s">
        <v>94</v>
      </c>
      <c r="C671" t="s">
        <v>26</v>
      </c>
      <c r="D671">
        <v>1</v>
      </c>
      <c r="E671">
        <f>WeeklyPicks!D225</f>
        <v>0</v>
      </c>
      <c r="F671">
        <f>IF(E671="","",SUMIFS(RaceResults!$C:$C,RaceResults!$A:$A,A671,RaceResults!$D:$D,E671))</f>
        <v>0</v>
      </c>
      <c r="G671">
        <f>IF(E671="","",SUMIFS(RaceResults!$E:$E,RaceResults!$A:$A,A671,RaceResults!$D:$D,E671))</f>
        <v>0</v>
      </c>
    </row>
    <row r="672" spans="1:7" x14ac:dyDescent="0.3">
      <c r="A672">
        <v>23</v>
      </c>
      <c r="B672" t="s">
        <v>94</v>
      </c>
      <c r="C672" t="s">
        <v>26</v>
      </c>
      <c r="D672">
        <v>2</v>
      </c>
      <c r="E672">
        <f>WeeklyPicks!E225</f>
        <v>0</v>
      </c>
      <c r="F672">
        <f>IF(E672="","",SUMIFS(RaceResults!$C:$C,RaceResults!$A:$A,A672,RaceResults!$D:$D,E672))</f>
        <v>0</v>
      </c>
      <c r="G672">
        <f>IF(E672="","",SUMIFS(RaceResults!$E:$E,RaceResults!$A:$A,A672,RaceResults!$D:$D,E672))</f>
        <v>0</v>
      </c>
    </row>
    <row r="673" spans="1:7" x14ac:dyDescent="0.3">
      <c r="A673">
        <v>23</v>
      </c>
      <c r="B673" t="s">
        <v>94</v>
      </c>
      <c r="C673" t="s">
        <v>26</v>
      </c>
      <c r="D673">
        <v>3</v>
      </c>
      <c r="E673">
        <f>WeeklyPicks!F225</f>
        <v>0</v>
      </c>
      <c r="F673">
        <f>IF(E673="","",SUMIFS(RaceResults!$C:$C,RaceResults!$A:$A,A673,RaceResults!$D:$D,E673))</f>
        <v>0</v>
      </c>
      <c r="G673">
        <f>IF(E673="","",SUMIFS(RaceResults!$E:$E,RaceResults!$A:$A,A673,RaceResults!$D:$D,E673))</f>
        <v>0</v>
      </c>
    </row>
    <row r="674" spans="1:7" x14ac:dyDescent="0.3">
      <c r="A674">
        <v>23</v>
      </c>
      <c r="B674" t="s">
        <v>94</v>
      </c>
      <c r="C674" t="s">
        <v>27</v>
      </c>
      <c r="D674">
        <v>1</v>
      </c>
      <c r="E674">
        <f>WeeklyPicks!D226</f>
        <v>0</v>
      </c>
      <c r="F674">
        <f>IF(E674="","",SUMIFS(RaceResults!$C:$C,RaceResults!$A:$A,A674,RaceResults!$D:$D,E674))</f>
        <v>0</v>
      </c>
      <c r="G674">
        <f>IF(E674="","",SUMIFS(RaceResults!$E:$E,RaceResults!$A:$A,A674,RaceResults!$D:$D,E674))</f>
        <v>0</v>
      </c>
    </row>
    <row r="675" spans="1:7" x14ac:dyDescent="0.3">
      <c r="A675">
        <v>23</v>
      </c>
      <c r="B675" t="s">
        <v>94</v>
      </c>
      <c r="C675" t="s">
        <v>27</v>
      </c>
      <c r="D675">
        <v>2</v>
      </c>
      <c r="E675">
        <f>WeeklyPicks!E226</f>
        <v>0</v>
      </c>
      <c r="F675">
        <f>IF(E675="","",SUMIFS(RaceResults!$C:$C,RaceResults!$A:$A,A675,RaceResults!$D:$D,E675))</f>
        <v>0</v>
      </c>
      <c r="G675">
        <f>IF(E675="","",SUMIFS(RaceResults!$E:$E,RaceResults!$A:$A,A675,RaceResults!$D:$D,E675))</f>
        <v>0</v>
      </c>
    </row>
    <row r="676" spans="1:7" x14ac:dyDescent="0.3">
      <c r="A676">
        <v>23</v>
      </c>
      <c r="B676" t="s">
        <v>94</v>
      </c>
      <c r="C676" t="s">
        <v>27</v>
      </c>
      <c r="D676">
        <v>3</v>
      </c>
      <c r="E676">
        <f>WeeklyPicks!F226</f>
        <v>0</v>
      </c>
      <c r="F676">
        <f>IF(E676="","",SUMIFS(RaceResults!$C:$C,RaceResults!$A:$A,A676,RaceResults!$D:$D,E676))</f>
        <v>0</v>
      </c>
      <c r="G676">
        <f>IF(E676="","",SUMIFS(RaceResults!$E:$E,RaceResults!$A:$A,A676,RaceResults!$D:$D,E676))</f>
        <v>0</v>
      </c>
    </row>
    <row r="677" spans="1:7" x14ac:dyDescent="0.3">
      <c r="A677">
        <v>23</v>
      </c>
      <c r="B677" t="s">
        <v>94</v>
      </c>
      <c r="C677" t="s">
        <v>28</v>
      </c>
      <c r="D677">
        <v>1</v>
      </c>
      <c r="E677">
        <f>WeeklyPicks!D227</f>
        <v>0</v>
      </c>
      <c r="F677">
        <f>IF(E677="","",SUMIFS(RaceResults!$C:$C,RaceResults!$A:$A,A677,RaceResults!$D:$D,E677))</f>
        <v>0</v>
      </c>
      <c r="G677">
        <f>IF(E677="","",SUMIFS(RaceResults!$E:$E,RaceResults!$A:$A,A677,RaceResults!$D:$D,E677))</f>
        <v>0</v>
      </c>
    </row>
    <row r="678" spans="1:7" x14ac:dyDescent="0.3">
      <c r="A678">
        <v>23</v>
      </c>
      <c r="B678" t="s">
        <v>94</v>
      </c>
      <c r="C678" t="s">
        <v>28</v>
      </c>
      <c r="D678">
        <v>2</v>
      </c>
      <c r="E678">
        <f>WeeklyPicks!E227</f>
        <v>0</v>
      </c>
      <c r="F678">
        <f>IF(E678="","",SUMIFS(RaceResults!$C:$C,RaceResults!$A:$A,A678,RaceResults!$D:$D,E678))</f>
        <v>0</v>
      </c>
      <c r="G678">
        <f>IF(E678="","",SUMIFS(RaceResults!$E:$E,RaceResults!$A:$A,A678,RaceResults!$D:$D,E678))</f>
        <v>0</v>
      </c>
    </row>
    <row r="679" spans="1:7" x14ac:dyDescent="0.3">
      <c r="A679">
        <v>23</v>
      </c>
      <c r="B679" t="s">
        <v>94</v>
      </c>
      <c r="C679" t="s">
        <v>28</v>
      </c>
      <c r="D679">
        <v>3</v>
      </c>
      <c r="E679">
        <f>WeeklyPicks!F227</f>
        <v>0</v>
      </c>
      <c r="F679">
        <f>IF(E679="","",SUMIFS(RaceResults!$C:$C,RaceResults!$A:$A,A679,RaceResults!$D:$D,E679))</f>
        <v>0</v>
      </c>
      <c r="G679">
        <f>IF(E679="","",SUMIFS(RaceResults!$E:$E,RaceResults!$A:$A,A679,RaceResults!$D:$D,E679))</f>
        <v>0</v>
      </c>
    </row>
    <row r="680" spans="1:7" x14ac:dyDescent="0.3">
      <c r="A680">
        <v>23</v>
      </c>
      <c r="B680" t="s">
        <v>94</v>
      </c>
      <c r="C680" t="s">
        <v>29</v>
      </c>
      <c r="D680">
        <v>1</v>
      </c>
      <c r="E680">
        <f>WeeklyPicks!D228</f>
        <v>0</v>
      </c>
      <c r="F680">
        <f>IF(E680="","",SUMIFS(RaceResults!$C:$C,RaceResults!$A:$A,A680,RaceResults!$D:$D,E680))</f>
        <v>0</v>
      </c>
      <c r="G680">
        <f>IF(E680="","",SUMIFS(RaceResults!$E:$E,RaceResults!$A:$A,A680,RaceResults!$D:$D,E680))</f>
        <v>0</v>
      </c>
    </row>
    <row r="681" spans="1:7" x14ac:dyDescent="0.3">
      <c r="A681">
        <v>23</v>
      </c>
      <c r="B681" t="s">
        <v>94</v>
      </c>
      <c r="C681" t="s">
        <v>29</v>
      </c>
      <c r="D681">
        <v>2</v>
      </c>
      <c r="E681">
        <f>WeeklyPicks!E228</f>
        <v>0</v>
      </c>
      <c r="F681">
        <f>IF(E681="","",SUMIFS(RaceResults!$C:$C,RaceResults!$A:$A,A681,RaceResults!$D:$D,E681))</f>
        <v>0</v>
      </c>
      <c r="G681">
        <f>IF(E681="","",SUMIFS(RaceResults!$E:$E,RaceResults!$A:$A,A681,RaceResults!$D:$D,E681))</f>
        <v>0</v>
      </c>
    </row>
    <row r="682" spans="1:7" x14ac:dyDescent="0.3">
      <c r="A682">
        <v>23</v>
      </c>
      <c r="B682" t="s">
        <v>94</v>
      </c>
      <c r="C682" t="s">
        <v>29</v>
      </c>
      <c r="D682">
        <v>3</v>
      </c>
      <c r="E682">
        <f>WeeklyPicks!F228</f>
        <v>0</v>
      </c>
      <c r="F682">
        <f>IF(E682="","",SUMIFS(RaceResults!$C:$C,RaceResults!$A:$A,A682,RaceResults!$D:$D,E682))</f>
        <v>0</v>
      </c>
      <c r="G682">
        <f>IF(E682="","",SUMIFS(RaceResults!$E:$E,RaceResults!$A:$A,A682,RaceResults!$D:$D,E682))</f>
        <v>0</v>
      </c>
    </row>
    <row r="683" spans="1:7" x14ac:dyDescent="0.3">
      <c r="A683">
        <v>23</v>
      </c>
      <c r="B683" t="s">
        <v>94</v>
      </c>
      <c r="C683" t="s">
        <v>30</v>
      </c>
      <c r="D683">
        <v>1</v>
      </c>
      <c r="E683">
        <f>WeeklyPicks!D229</f>
        <v>0</v>
      </c>
      <c r="F683">
        <f>IF(E683="","",SUMIFS(RaceResults!$C:$C,RaceResults!$A:$A,A683,RaceResults!$D:$D,E683))</f>
        <v>0</v>
      </c>
      <c r="G683">
        <f>IF(E683="","",SUMIFS(RaceResults!$E:$E,RaceResults!$A:$A,A683,RaceResults!$D:$D,E683))</f>
        <v>0</v>
      </c>
    </row>
    <row r="684" spans="1:7" x14ac:dyDescent="0.3">
      <c r="A684">
        <v>23</v>
      </c>
      <c r="B684" t="s">
        <v>94</v>
      </c>
      <c r="C684" t="s">
        <v>30</v>
      </c>
      <c r="D684">
        <v>2</v>
      </c>
      <c r="E684">
        <f>WeeklyPicks!E229</f>
        <v>0</v>
      </c>
      <c r="F684">
        <f>IF(E684="","",SUMIFS(RaceResults!$C:$C,RaceResults!$A:$A,A684,RaceResults!$D:$D,E684))</f>
        <v>0</v>
      </c>
      <c r="G684">
        <f>IF(E684="","",SUMIFS(RaceResults!$E:$E,RaceResults!$A:$A,A684,RaceResults!$D:$D,E684))</f>
        <v>0</v>
      </c>
    </row>
    <row r="685" spans="1:7" x14ac:dyDescent="0.3">
      <c r="A685">
        <v>23</v>
      </c>
      <c r="B685" t="s">
        <v>94</v>
      </c>
      <c r="C685" t="s">
        <v>30</v>
      </c>
      <c r="D685">
        <v>3</v>
      </c>
      <c r="E685">
        <f>WeeklyPicks!F229</f>
        <v>0</v>
      </c>
      <c r="F685">
        <f>IF(E685="","",SUMIFS(RaceResults!$C:$C,RaceResults!$A:$A,A685,RaceResults!$D:$D,E685))</f>
        <v>0</v>
      </c>
      <c r="G685">
        <f>IF(E685="","",SUMIFS(RaceResults!$E:$E,RaceResults!$A:$A,A685,RaceResults!$D:$D,E685))</f>
        <v>0</v>
      </c>
    </row>
    <row r="686" spans="1:7" x14ac:dyDescent="0.3">
      <c r="A686">
        <v>23</v>
      </c>
      <c r="B686" t="s">
        <v>94</v>
      </c>
      <c r="C686" t="s">
        <v>31</v>
      </c>
      <c r="D686">
        <v>1</v>
      </c>
      <c r="E686">
        <f>WeeklyPicks!D230</f>
        <v>0</v>
      </c>
      <c r="F686">
        <f>IF(E686="","",SUMIFS(RaceResults!$C:$C,RaceResults!$A:$A,A686,RaceResults!$D:$D,E686))</f>
        <v>0</v>
      </c>
      <c r="G686">
        <f>IF(E686="","",SUMIFS(RaceResults!$E:$E,RaceResults!$A:$A,A686,RaceResults!$D:$D,E686))</f>
        <v>0</v>
      </c>
    </row>
    <row r="687" spans="1:7" x14ac:dyDescent="0.3">
      <c r="A687">
        <v>23</v>
      </c>
      <c r="B687" t="s">
        <v>94</v>
      </c>
      <c r="C687" t="s">
        <v>31</v>
      </c>
      <c r="D687">
        <v>2</v>
      </c>
      <c r="E687">
        <f>WeeklyPicks!E230</f>
        <v>0</v>
      </c>
      <c r="F687">
        <f>IF(E687="","",SUMIFS(RaceResults!$C:$C,RaceResults!$A:$A,A687,RaceResults!$D:$D,E687))</f>
        <v>0</v>
      </c>
      <c r="G687">
        <f>IF(E687="","",SUMIFS(RaceResults!$E:$E,RaceResults!$A:$A,A687,RaceResults!$D:$D,E687))</f>
        <v>0</v>
      </c>
    </row>
    <row r="688" spans="1:7" x14ac:dyDescent="0.3">
      <c r="A688">
        <v>23</v>
      </c>
      <c r="B688" t="s">
        <v>94</v>
      </c>
      <c r="C688" t="s">
        <v>31</v>
      </c>
      <c r="D688">
        <v>3</v>
      </c>
      <c r="E688">
        <f>WeeklyPicks!F230</f>
        <v>0</v>
      </c>
      <c r="F688">
        <f>IF(E688="","",SUMIFS(RaceResults!$C:$C,RaceResults!$A:$A,A688,RaceResults!$D:$D,E688))</f>
        <v>0</v>
      </c>
      <c r="G688">
        <f>IF(E688="","",SUMIFS(RaceResults!$E:$E,RaceResults!$A:$A,A688,RaceResults!$D:$D,E688))</f>
        <v>0</v>
      </c>
    </row>
    <row r="689" spans="1:7" x14ac:dyDescent="0.3">
      <c r="A689">
        <v>23</v>
      </c>
      <c r="B689" t="s">
        <v>94</v>
      </c>
      <c r="C689" t="s">
        <v>32</v>
      </c>
      <c r="D689">
        <v>1</v>
      </c>
      <c r="E689">
        <f>WeeklyPicks!D231</f>
        <v>0</v>
      </c>
      <c r="F689">
        <f>IF(E689="","",SUMIFS(RaceResults!$C:$C,RaceResults!$A:$A,A689,RaceResults!$D:$D,E689))</f>
        <v>0</v>
      </c>
      <c r="G689">
        <f>IF(E689="","",SUMIFS(RaceResults!$E:$E,RaceResults!$A:$A,A689,RaceResults!$D:$D,E689))</f>
        <v>0</v>
      </c>
    </row>
    <row r="690" spans="1:7" x14ac:dyDescent="0.3">
      <c r="A690">
        <v>23</v>
      </c>
      <c r="B690" t="s">
        <v>94</v>
      </c>
      <c r="C690" t="s">
        <v>32</v>
      </c>
      <c r="D690">
        <v>2</v>
      </c>
      <c r="E690">
        <f>WeeklyPicks!E231</f>
        <v>0</v>
      </c>
      <c r="F690">
        <f>IF(E690="","",SUMIFS(RaceResults!$C:$C,RaceResults!$A:$A,A690,RaceResults!$D:$D,E690))</f>
        <v>0</v>
      </c>
      <c r="G690">
        <f>IF(E690="","",SUMIFS(RaceResults!$E:$E,RaceResults!$A:$A,A690,RaceResults!$D:$D,E690))</f>
        <v>0</v>
      </c>
    </row>
    <row r="691" spans="1:7" x14ac:dyDescent="0.3">
      <c r="A691">
        <v>23</v>
      </c>
      <c r="B691" t="s">
        <v>94</v>
      </c>
      <c r="C691" t="s">
        <v>32</v>
      </c>
      <c r="D691">
        <v>3</v>
      </c>
      <c r="E691">
        <f>WeeklyPicks!F231</f>
        <v>0</v>
      </c>
      <c r="F691">
        <f>IF(E691="","",SUMIFS(RaceResults!$C:$C,RaceResults!$A:$A,A691,RaceResults!$D:$D,E691))</f>
        <v>0</v>
      </c>
      <c r="G691">
        <f>IF(E691="","",SUMIFS(RaceResults!$E:$E,RaceResults!$A:$A,A691,RaceResults!$D:$D,E691))</f>
        <v>0</v>
      </c>
    </row>
    <row r="692" spans="1:7" x14ac:dyDescent="0.3">
      <c r="A692">
        <v>24</v>
      </c>
      <c r="B692" t="s">
        <v>97</v>
      </c>
      <c r="C692" t="s">
        <v>21</v>
      </c>
      <c r="D692">
        <v>1</v>
      </c>
      <c r="E692">
        <f>WeeklyPicks!D232</f>
        <v>0</v>
      </c>
      <c r="F692">
        <f>IF(E692="","",SUMIFS(RaceResults!$C:$C,RaceResults!$A:$A,A692,RaceResults!$D:$D,E692))</f>
        <v>0</v>
      </c>
      <c r="G692">
        <f>IF(E692="","",SUMIFS(RaceResults!$E:$E,RaceResults!$A:$A,A692,RaceResults!$D:$D,E692))</f>
        <v>0</v>
      </c>
    </row>
    <row r="693" spans="1:7" x14ac:dyDescent="0.3">
      <c r="A693">
        <v>24</v>
      </c>
      <c r="B693" t="s">
        <v>97</v>
      </c>
      <c r="C693" t="s">
        <v>21</v>
      </c>
      <c r="D693">
        <v>2</v>
      </c>
      <c r="E693">
        <f>WeeklyPicks!E232</f>
        <v>0</v>
      </c>
      <c r="F693">
        <f>IF(E693="","",SUMIFS(RaceResults!$C:$C,RaceResults!$A:$A,A693,RaceResults!$D:$D,E693))</f>
        <v>0</v>
      </c>
      <c r="G693">
        <f>IF(E693="","",SUMIFS(RaceResults!$E:$E,RaceResults!$A:$A,A693,RaceResults!$D:$D,E693))</f>
        <v>0</v>
      </c>
    </row>
    <row r="694" spans="1:7" x14ac:dyDescent="0.3">
      <c r="A694">
        <v>24</v>
      </c>
      <c r="B694" t="s">
        <v>97</v>
      </c>
      <c r="C694" t="s">
        <v>21</v>
      </c>
      <c r="D694">
        <v>3</v>
      </c>
      <c r="E694">
        <f>WeeklyPicks!F232</f>
        <v>0</v>
      </c>
      <c r="F694">
        <f>IF(E694="","",SUMIFS(RaceResults!$C:$C,RaceResults!$A:$A,A694,RaceResults!$D:$D,E694))</f>
        <v>0</v>
      </c>
      <c r="G694">
        <f>IF(E694="","",SUMIFS(RaceResults!$E:$E,RaceResults!$A:$A,A694,RaceResults!$D:$D,E694))</f>
        <v>0</v>
      </c>
    </row>
    <row r="695" spans="1:7" x14ac:dyDescent="0.3">
      <c r="A695">
        <v>24</v>
      </c>
      <c r="B695" t="s">
        <v>97</v>
      </c>
      <c r="C695" t="s">
        <v>22</v>
      </c>
      <c r="D695">
        <v>1</v>
      </c>
      <c r="E695">
        <f>WeeklyPicks!D233</f>
        <v>0</v>
      </c>
      <c r="F695">
        <f>IF(E695="","",SUMIFS(RaceResults!$C:$C,RaceResults!$A:$A,A695,RaceResults!$D:$D,E695))</f>
        <v>0</v>
      </c>
      <c r="G695">
        <f>IF(E695="","",SUMIFS(RaceResults!$E:$E,RaceResults!$A:$A,A695,RaceResults!$D:$D,E695))</f>
        <v>0</v>
      </c>
    </row>
    <row r="696" spans="1:7" x14ac:dyDescent="0.3">
      <c r="A696">
        <v>24</v>
      </c>
      <c r="B696" t="s">
        <v>97</v>
      </c>
      <c r="C696" t="s">
        <v>22</v>
      </c>
      <c r="D696">
        <v>2</v>
      </c>
      <c r="E696">
        <f>WeeklyPicks!E233</f>
        <v>0</v>
      </c>
      <c r="F696">
        <f>IF(E696="","",SUMIFS(RaceResults!$C:$C,RaceResults!$A:$A,A696,RaceResults!$D:$D,E696))</f>
        <v>0</v>
      </c>
      <c r="G696">
        <f>IF(E696="","",SUMIFS(RaceResults!$E:$E,RaceResults!$A:$A,A696,RaceResults!$D:$D,E696))</f>
        <v>0</v>
      </c>
    </row>
    <row r="697" spans="1:7" x14ac:dyDescent="0.3">
      <c r="A697">
        <v>24</v>
      </c>
      <c r="B697" t="s">
        <v>97</v>
      </c>
      <c r="C697" t="s">
        <v>22</v>
      </c>
      <c r="D697">
        <v>3</v>
      </c>
      <c r="E697">
        <f>WeeklyPicks!F233</f>
        <v>0</v>
      </c>
      <c r="F697">
        <f>IF(E697="","",SUMIFS(RaceResults!$C:$C,RaceResults!$A:$A,A697,RaceResults!$D:$D,E697))</f>
        <v>0</v>
      </c>
      <c r="G697">
        <f>IF(E697="","",SUMIFS(RaceResults!$E:$E,RaceResults!$A:$A,A697,RaceResults!$D:$D,E697))</f>
        <v>0</v>
      </c>
    </row>
    <row r="698" spans="1:7" x14ac:dyDescent="0.3">
      <c r="A698">
        <v>24</v>
      </c>
      <c r="B698" t="s">
        <v>97</v>
      </c>
      <c r="C698" t="s">
        <v>25</v>
      </c>
      <c r="D698">
        <v>1</v>
      </c>
      <c r="E698">
        <f>WeeklyPicks!D234</f>
        <v>0</v>
      </c>
      <c r="F698">
        <f>IF(E698="","",SUMIFS(RaceResults!$C:$C,RaceResults!$A:$A,A698,RaceResults!$D:$D,E698))</f>
        <v>0</v>
      </c>
      <c r="G698">
        <f>IF(E698="","",SUMIFS(RaceResults!$E:$E,RaceResults!$A:$A,A698,RaceResults!$D:$D,E698))</f>
        <v>0</v>
      </c>
    </row>
    <row r="699" spans="1:7" x14ac:dyDescent="0.3">
      <c r="A699">
        <v>24</v>
      </c>
      <c r="B699" t="s">
        <v>97</v>
      </c>
      <c r="C699" t="s">
        <v>25</v>
      </c>
      <c r="D699">
        <v>2</v>
      </c>
      <c r="E699">
        <f>WeeklyPicks!E234</f>
        <v>0</v>
      </c>
      <c r="F699">
        <f>IF(E699="","",SUMIFS(RaceResults!$C:$C,RaceResults!$A:$A,A699,RaceResults!$D:$D,E699))</f>
        <v>0</v>
      </c>
      <c r="G699">
        <f>IF(E699="","",SUMIFS(RaceResults!$E:$E,RaceResults!$A:$A,A699,RaceResults!$D:$D,E699))</f>
        <v>0</v>
      </c>
    </row>
    <row r="700" spans="1:7" x14ac:dyDescent="0.3">
      <c r="A700">
        <v>24</v>
      </c>
      <c r="B700" t="s">
        <v>97</v>
      </c>
      <c r="C700" t="s">
        <v>25</v>
      </c>
      <c r="D700">
        <v>3</v>
      </c>
      <c r="E700">
        <f>WeeklyPicks!F234</f>
        <v>0</v>
      </c>
      <c r="F700">
        <f>IF(E700="","",SUMIFS(RaceResults!$C:$C,RaceResults!$A:$A,A700,RaceResults!$D:$D,E700))</f>
        <v>0</v>
      </c>
      <c r="G700">
        <f>IF(E700="","",SUMIFS(RaceResults!$E:$E,RaceResults!$A:$A,A700,RaceResults!$D:$D,E700))</f>
        <v>0</v>
      </c>
    </row>
    <row r="701" spans="1:7" x14ac:dyDescent="0.3">
      <c r="A701">
        <v>24</v>
      </c>
      <c r="B701" t="s">
        <v>97</v>
      </c>
      <c r="C701" t="s">
        <v>26</v>
      </c>
      <c r="D701">
        <v>1</v>
      </c>
      <c r="E701">
        <f>WeeklyPicks!D235</f>
        <v>0</v>
      </c>
      <c r="F701">
        <f>IF(E701="","",SUMIFS(RaceResults!$C:$C,RaceResults!$A:$A,A701,RaceResults!$D:$D,E701))</f>
        <v>0</v>
      </c>
      <c r="G701">
        <f>IF(E701="","",SUMIFS(RaceResults!$E:$E,RaceResults!$A:$A,A701,RaceResults!$D:$D,E701))</f>
        <v>0</v>
      </c>
    </row>
    <row r="702" spans="1:7" x14ac:dyDescent="0.3">
      <c r="A702">
        <v>24</v>
      </c>
      <c r="B702" t="s">
        <v>97</v>
      </c>
      <c r="C702" t="s">
        <v>26</v>
      </c>
      <c r="D702">
        <v>2</v>
      </c>
      <c r="E702">
        <f>WeeklyPicks!E235</f>
        <v>0</v>
      </c>
      <c r="F702">
        <f>IF(E702="","",SUMIFS(RaceResults!$C:$C,RaceResults!$A:$A,A702,RaceResults!$D:$D,E702))</f>
        <v>0</v>
      </c>
      <c r="G702">
        <f>IF(E702="","",SUMIFS(RaceResults!$E:$E,RaceResults!$A:$A,A702,RaceResults!$D:$D,E702))</f>
        <v>0</v>
      </c>
    </row>
    <row r="703" spans="1:7" x14ac:dyDescent="0.3">
      <c r="A703">
        <v>24</v>
      </c>
      <c r="B703" t="s">
        <v>97</v>
      </c>
      <c r="C703" t="s">
        <v>26</v>
      </c>
      <c r="D703">
        <v>3</v>
      </c>
      <c r="E703">
        <f>WeeklyPicks!F235</f>
        <v>0</v>
      </c>
      <c r="F703">
        <f>IF(E703="","",SUMIFS(RaceResults!$C:$C,RaceResults!$A:$A,A703,RaceResults!$D:$D,E703))</f>
        <v>0</v>
      </c>
      <c r="G703">
        <f>IF(E703="","",SUMIFS(RaceResults!$E:$E,RaceResults!$A:$A,A703,RaceResults!$D:$D,E703))</f>
        <v>0</v>
      </c>
    </row>
    <row r="704" spans="1:7" x14ac:dyDescent="0.3">
      <c r="A704">
        <v>24</v>
      </c>
      <c r="B704" t="s">
        <v>97</v>
      </c>
      <c r="C704" t="s">
        <v>27</v>
      </c>
      <c r="D704">
        <v>1</v>
      </c>
      <c r="E704">
        <f>WeeklyPicks!D236</f>
        <v>0</v>
      </c>
      <c r="F704">
        <f>IF(E704="","",SUMIFS(RaceResults!$C:$C,RaceResults!$A:$A,A704,RaceResults!$D:$D,E704))</f>
        <v>0</v>
      </c>
      <c r="G704">
        <f>IF(E704="","",SUMIFS(RaceResults!$E:$E,RaceResults!$A:$A,A704,RaceResults!$D:$D,E704))</f>
        <v>0</v>
      </c>
    </row>
    <row r="705" spans="1:7" x14ac:dyDescent="0.3">
      <c r="A705">
        <v>24</v>
      </c>
      <c r="B705" t="s">
        <v>97</v>
      </c>
      <c r="C705" t="s">
        <v>27</v>
      </c>
      <c r="D705">
        <v>2</v>
      </c>
      <c r="E705">
        <f>WeeklyPicks!E236</f>
        <v>0</v>
      </c>
      <c r="F705">
        <f>IF(E705="","",SUMIFS(RaceResults!$C:$C,RaceResults!$A:$A,A705,RaceResults!$D:$D,E705))</f>
        <v>0</v>
      </c>
      <c r="G705">
        <f>IF(E705="","",SUMIFS(RaceResults!$E:$E,RaceResults!$A:$A,A705,RaceResults!$D:$D,E705))</f>
        <v>0</v>
      </c>
    </row>
    <row r="706" spans="1:7" x14ac:dyDescent="0.3">
      <c r="A706">
        <v>24</v>
      </c>
      <c r="B706" t="s">
        <v>97</v>
      </c>
      <c r="C706" t="s">
        <v>27</v>
      </c>
      <c r="D706">
        <v>3</v>
      </c>
      <c r="E706">
        <f>WeeklyPicks!F236</f>
        <v>0</v>
      </c>
      <c r="F706">
        <f>IF(E706="","",SUMIFS(RaceResults!$C:$C,RaceResults!$A:$A,A706,RaceResults!$D:$D,E706))</f>
        <v>0</v>
      </c>
      <c r="G706">
        <f>IF(E706="","",SUMIFS(RaceResults!$E:$E,RaceResults!$A:$A,A706,RaceResults!$D:$D,E706))</f>
        <v>0</v>
      </c>
    </row>
    <row r="707" spans="1:7" x14ac:dyDescent="0.3">
      <c r="A707">
        <v>24</v>
      </c>
      <c r="B707" t="s">
        <v>97</v>
      </c>
      <c r="C707" t="s">
        <v>28</v>
      </c>
      <c r="D707">
        <v>1</v>
      </c>
      <c r="E707">
        <f>WeeklyPicks!D237</f>
        <v>0</v>
      </c>
      <c r="F707">
        <f>IF(E707="","",SUMIFS(RaceResults!$C:$C,RaceResults!$A:$A,A707,RaceResults!$D:$D,E707))</f>
        <v>0</v>
      </c>
      <c r="G707">
        <f>IF(E707="","",SUMIFS(RaceResults!$E:$E,RaceResults!$A:$A,A707,RaceResults!$D:$D,E707))</f>
        <v>0</v>
      </c>
    </row>
    <row r="708" spans="1:7" x14ac:dyDescent="0.3">
      <c r="A708">
        <v>24</v>
      </c>
      <c r="B708" t="s">
        <v>97</v>
      </c>
      <c r="C708" t="s">
        <v>28</v>
      </c>
      <c r="D708">
        <v>2</v>
      </c>
      <c r="E708">
        <f>WeeklyPicks!E237</f>
        <v>0</v>
      </c>
      <c r="F708">
        <f>IF(E708="","",SUMIFS(RaceResults!$C:$C,RaceResults!$A:$A,A708,RaceResults!$D:$D,E708))</f>
        <v>0</v>
      </c>
      <c r="G708">
        <f>IF(E708="","",SUMIFS(RaceResults!$E:$E,RaceResults!$A:$A,A708,RaceResults!$D:$D,E708))</f>
        <v>0</v>
      </c>
    </row>
    <row r="709" spans="1:7" x14ac:dyDescent="0.3">
      <c r="A709">
        <v>24</v>
      </c>
      <c r="B709" t="s">
        <v>97</v>
      </c>
      <c r="C709" t="s">
        <v>28</v>
      </c>
      <c r="D709">
        <v>3</v>
      </c>
      <c r="E709">
        <f>WeeklyPicks!F237</f>
        <v>0</v>
      </c>
      <c r="F709">
        <f>IF(E709="","",SUMIFS(RaceResults!$C:$C,RaceResults!$A:$A,A709,RaceResults!$D:$D,E709))</f>
        <v>0</v>
      </c>
      <c r="G709">
        <f>IF(E709="","",SUMIFS(RaceResults!$E:$E,RaceResults!$A:$A,A709,RaceResults!$D:$D,E709))</f>
        <v>0</v>
      </c>
    </row>
    <row r="710" spans="1:7" x14ac:dyDescent="0.3">
      <c r="A710">
        <v>24</v>
      </c>
      <c r="B710" t="s">
        <v>97</v>
      </c>
      <c r="C710" t="s">
        <v>29</v>
      </c>
      <c r="D710">
        <v>1</v>
      </c>
      <c r="E710">
        <f>WeeklyPicks!D238</f>
        <v>0</v>
      </c>
      <c r="F710">
        <f>IF(E710="","",SUMIFS(RaceResults!$C:$C,RaceResults!$A:$A,A710,RaceResults!$D:$D,E710))</f>
        <v>0</v>
      </c>
      <c r="G710">
        <f>IF(E710="","",SUMIFS(RaceResults!$E:$E,RaceResults!$A:$A,A710,RaceResults!$D:$D,E710))</f>
        <v>0</v>
      </c>
    </row>
    <row r="711" spans="1:7" x14ac:dyDescent="0.3">
      <c r="A711">
        <v>24</v>
      </c>
      <c r="B711" t="s">
        <v>97</v>
      </c>
      <c r="C711" t="s">
        <v>29</v>
      </c>
      <c r="D711">
        <v>2</v>
      </c>
      <c r="E711">
        <f>WeeklyPicks!E238</f>
        <v>0</v>
      </c>
      <c r="F711">
        <f>IF(E711="","",SUMIFS(RaceResults!$C:$C,RaceResults!$A:$A,A711,RaceResults!$D:$D,E711))</f>
        <v>0</v>
      </c>
      <c r="G711">
        <f>IF(E711="","",SUMIFS(RaceResults!$E:$E,RaceResults!$A:$A,A711,RaceResults!$D:$D,E711))</f>
        <v>0</v>
      </c>
    </row>
    <row r="712" spans="1:7" x14ac:dyDescent="0.3">
      <c r="A712">
        <v>24</v>
      </c>
      <c r="B712" t="s">
        <v>97</v>
      </c>
      <c r="C712" t="s">
        <v>29</v>
      </c>
      <c r="D712">
        <v>3</v>
      </c>
      <c r="E712">
        <f>WeeklyPicks!F238</f>
        <v>0</v>
      </c>
      <c r="F712">
        <f>IF(E712="","",SUMIFS(RaceResults!$C:$C,RaceResults!$A:$A,A712,RaceResults!$D:$D,E712))</f>
        <v>0</v>
      </c>
      <c r="G712">
        <f>IF(E712="","",SUMIFS(RaceResults!$E:$E,RaceResults!$A:$A,A712,RaceResults!$D:$D,E712))</f>
        <v>0</v>
      </c>
    </row>
    <row r="713" spans="1:7" x14ac:dyDescent="0.3">
      <c r="A713">
        <v>24</v>
      </c>
      <c r="B713" t="s">
        <v>97</v>
      </c>
      <c r="C713" t="s">
        <v>30</v>
      </c>
      <c r="D713">
        <v>1</v>
      </c>
      <c r="E713">
        <f>WeeklyPicks!D239</f>
        <v>0</v>
      </c>
      <c r="F713">
        <f>IF(E713="","",SUMIFS(RaceResults!$C:$C,RaceResults!$A:$A,A713,RaceResults!$D:$D,E713))</f>
        <v>0</v>
      </c>
      <c r="G713">
        <f>IF(E713="","",SUMIFS(RaceResults!$E:$E,RaceResults!$A:$A,A713,RaceResults!$D:$D,E713))</f>
        <v>0</v>
      </c>
    </row>
    <row r="714" spans="1:7" x14ac:dyDescent="0.3">
      <c r="A714">
        <v>24</v>
      </c>
      <c r="B714" t="s">
        <v>97</v>
      </c>
      <c r="C714" t="s">
        <v>30</v>
      </c>
      <c r="D714">
        <v>2</v>
      </c>
      <c r="E714">
        <f>WeeklyPicks!E239</f>
        <v>0</v>
      </c>
      <c r="F714">
        <f>IF(E714="","",SUMIFS(RaceResults!$C:$C,RaceResults!$A:$A,A714,RaceResults!$D:$D,E714))</f>
        <v>0</v>
      </c>
      <c r="G714">
        <f>IF(E714="","",SUMIFS(RaceResults!$E:$E,RaceResults!$A:$A,A714,RaceResults!$D:$D,E714))</f>
        <v>0</v>
      </c>
    </row>
    <row r="715" spans="1:7" x14ac:dyDescent="0.3">
      <c r="A715">
        <v>24</v>
      </c>
      <c r="B715" t="s">
        <v>97</v>
      </c>
      <c r="C715" t="s">
        <v>30</v>
      </c>
      <c r="D715">
        <v>3</v>
      </c>
      <c r="E715">
        <f>WeeklyPicks!F239</f>
        <v>0</v>
      </c>
      <c r="F715">
        <f>IF(E715="","",SUMIFS(RaceResults!$C:$C,RaceResults!$A:$A,A715,RaceResults!$D:$D,E715))</f>
        <v>0</v>
      </c>
      <c r="G715">
        <f>IF(E715="","",SUMIFS(RaceResults!$E:$E,RaceResults!$A:$A,A715,RaceResults!$D:$D,E715))</f>
        <v>0</v>
      </c>
    </row>
    <row r="716" spans="1:7" x14ac:dyDescent="0.3">
      <c r="A716">
        <v>24</v>
      </c>
      <c r="B716" t="s">
        <v>97</v>
      </c>
      <c r="C716" t="s">
        <v>31</v>
      </c>
      <c r="D716">
        <v>1</v>
      </c>
      <c r="E716">
        <f>WeeklyPicks!D240</f>
        <v>0</v>
      </c>
      <c r="F716">
        <f>IF(E716="","",SUMIFS(RaceResults!$C:$C,RaceResults!$A:$A,A716,RaceResults!$D:$D,E716))</f>
        <v>0</v>
      </c>
      <c r="G716">
        <f>IF(E716="","",SUMIFS(RaceResults!$E:$E,RaceResults!$A:$A,A716,RaceResults!$D:$D,E716))</f>
        <v>0</v>
      </c>
    </row>
    <row r="717" spans="1:7" x14ac:dyDescent="0.3">
      <c r="A717">
        <v>24</v>
      </c>
      <c r="B717" t="s">
        <v>97</v>
      </c>
      <c r="C717" t="s">
        <v>31</v>
      </c>
      <c r="D717">
        <v>2</v>
      </c>
      <c r="E717">
        <f>WeeklyPicks!E240</f>
        <v>0</v>
      </c>
      <c r="F717">
        <f>IF(E717="","",SUMIFS(RaceResults!$C:$C,RaceResults!$A:$A,A717,RaceResults!$D:$D,E717))</f>
        <v>0</v>
      </c>
      <c r="G717">
        <f>IF(E717="","",SUMIFS(RaceResults!$E:$E,RaceResults!$A:$A,A717,RaceResults!$D:$D,E717))</f>
        <v>0</v>
      </c>
    </row>
    <row r="718" spans="1:7" x14ac:dyDescent="0.3">
      <c r="A718">
        <v>24</v>
      </c>
      <c r="B718" t="s">
        <v>97</v>
      </c>
      <c r="C718" t="s">
        <v>31</v>
      </c>
      <c r="D718">
        <v>3</v>
      </c>
      <c r="E718">
        <f>WeeklyPicks!F240</f>
        <v>0</v>
      </c>
      <c r="F718">
        <f>IF(E718="","",SUMIFS(RaceResults!$C:$C,RaceResults!$A:$A,A718,RaceResults!$D:$D,E718))</f>
        <v>0</v>
      </c>
      <c r="G718">
        <f>IF(E718="","",SUMIFS(RaceResults!$E:$E,RaceResults!$A:$A,A718,RaceResults!$D:$D,E718))</f>
        <v>0</v>
      </c>
    </row>
    <row r="719" spans="1:7" x14ac:dyDescent="0.3">
      <c r="A719">
        <v>24</v>
      </c>
      <c r="B719" t="s">
        <v>97</v>
      </c>
      <c r="C719" t="s">
        <v>32</v>
      </c>
      <c r="D719">
        <v>1</v>
      </c>
      <c r="E719">
        <f>WeeklyPicks!D241</f>
        <v>0</v>
      </c>
      <c r="F719">
        <f>IF(E719="","",SUMIFS(RaceResults!$C:$C,RaceResults!$A:$A,A719,RaceResults!$D:$D,E719))</f>
        <v>0</v>
      </c>
      <c r="G719">
        <f>IF(E719="","",SUMIFS(RaceResults!$E:$E,RaceResults!$A:$A,A719,RaceResults!$D:$D,E719))</f>
        <v>0</v>
      </c>
    </row>
    <row r="720" spans="1:7" x14ac:dyDescent="0.3">
      <c r="A720">
        <v>24</v>
      </c>
      <c r="B720" t="s">
        <v>97</v>
      </c>
      <c r="C720" t="s">
        <v>32</v>
      </c>
      <c r="D720">
        <v>2</v>
      </c>
      <c r="E720">
        <f>WeeklyPicks!E241</f>
        <v>0</v>
      </c>
      <c r="F720">
        <f>IF(E720="","",SUMIFS(RaceResults!$C:$C,RaceResults!$A:$A,A720,RaceResults!$D:$D,E720))</f>
        <v>0</v>
      </c>
      <c r="G720">
        <f>IF(E720="","",SUMIFS(RaceResults!$E:$E,RaceResults!$A:$A,A720,RaceResults!$D:$D,E720))</f>
        <v>0</v>
      </c>
    </row>
    <row r="721" spans="1:7" x14ac:dyDescent="0.3">
      <c r="A721">
        <v>24</v>
      </c>
      <c r="B721" t="s">
        <v>97</v>
      </c>
      <c r="C721" t="s">
        <v>32</v>
      </c>
      <c r="D721">
        <v>3</v>
      </c>
      <c r="E721">
        <f>WeeklyPicks!F241</f>
        <v>0</v>
      </c>
      <c r="F721">
        <f>IF(E721="","",SUMIFS(RaceResults!$C:$C,RaceResults!$A:$A,A721,RaceResults!$D:$D,E721))</f>
        <v>0</v>
      </c>
      <c r="G721">
        <f>IF(E721="","",SUMIFS(RaceResults!$E:$E,RaceResults!$A:$A,A721,RaceResults!$D:$D,E721))</f>
        <v>0</v>
      </c>
    </row>
    <row r="722" spans="1:7" x14ac:dyDescent="0.3">
      <c r="A722">
        <v>25</v>
      </c>
      <c r="B722" t="s">
        <v>99</v>
      </c>
      <c r="C722" t="s">
        <v>21</v>
      </c>
      <c r="D722">
        <v>1</v>
      </c>
      <c r="E722">
        <f>WeeklyPicks!D242</f>
        <v>0</v>
      </c>
      <c r="F722">
        <f>IF(E722="","",SUMIFS(RaceResults!$C:$C,RaceResults!$A:$A,A722,RaceResults!$D:$D,E722))</f>
        <v>0</v>
      </c>
      <c r="G722">
        <f>IF(E722="","",SUMIFS(RaceResults!$E:$E,RaceResults!$A:$A,A722,RaceResults!$D:$D,E722))</f>
        <v>0</v>
      </c>
    </row>
    <row r="723" spans="1:7" x14ac:dyDescent="0.3">
      <c r="A723">
        <v>25</v>
      </c>
      <c r="B723" t="s">
        <v>99</v>
      </c>
      <c r="C723" t="s">
        <v>21</v>
      </c>
      <c r="D723">
        <v>2</v>
      </c>
      <c r="E723">
        <f>WeeklyPicks!E242</f>
        <v>0</v>
      </c>
      <c r="F723">
        <f>IF(E723="","",SUMIFS(RaceResults!$C:$C,RaceResults!$A:$A,A723,RaceResults!$D:$D,E723))</f>
        <v>0</v>
      </c>
      <c r="G723">
        <f>IF(E723="","",SUMIFS(RaceResults!$E:$E,RaceResults!$A:$A,A723,RaceResults!$D:$D,E723))</f>
        <v>0</v>
      </c>
    </row>
    <row r="724" spans="1:7" x14ac:dyDescent="0.3">
      <c r="A724">
        <v>25</v>
      </c>
      <c r="B724" t="s">
        <v>99</v>
      </c>
      <c r="C724" t="s">
        <v>21</v>
      </c>
      <c r="D724">
        <v>3</v>
      </c>
      <c r="E724">
        <f>WeeklyPicks!F242</f>
        <v>0</v>
      </c>
      <c r="F724">
        <f>IF(E724="","",SUMIFS(RaceResults!$C:$C,RaceResults!$A:$A,A724,RaceResults!$D:$D,E724))</f>
        <v>0</v>
      </c>
      <c r="G724">
        <f>IF(E724="","",SUMIFS(RaceResults!$E:$E,RaceResults!$A:$A,A724,RaceResults!$D:$D,E724))</f>
        <v>0</v>
      </c>
    </row>
    <row r="725" spans="1:7" x14ac:dyDescent="0.3">
      <c r="A725">
        <v>25</v>
      </c>
      <c r="B725" t="s">
        <v>99</v>
      </c>
      <c r="C725" t="s">
        <v>22</v>
      </c>
      <c r="D725">
        <v>1</v>
      </c>
      <c r="E725">
        <f>WeeklyPicks!D243</f>
        <v>0</v>
      </c>
      <c r="F725">
        <f>IF(E725="","",SUMIFS(RaceResults!$C:$C,RaceResults!$A:$A,A725,RaceResults!$D:$D,E725))</f>
        <v>0</v>
      </c>
      <c r="G725">
        <f>IF(E725="","",SUMIFS(RaceResults!$E:$E,RaceResults!$A:$A,A725,RaceResults!$D:$D,E725))</f>
        <v>0</v>
      </c>
    </row>
    <row r="726" spans="1:7" x14ac:dyDescent="0.3">
      <c r="A726">
        <v>25</v>
      </c>
      <c r="B726" t="s">
        <v>99</v>
      </c>
      <c r="C726" t="s">
        <v>22</v>
      </c>
      <c r="D726">
        <v>2</v>
      </c>
      <c r="E726">
        <f>WeeklyPicks!E243</f>
        <v>0</v>
      </c>
      <c r="F726">
        <f>IF(E726="","",SUMIFS(RaceResults!$C:$C,RaceResults!$A:$A,A726,RaceResults!$D:$D,E726))</f>
        <v>0</v>
      </c>
      <c r="G726">
        <f>IF(E726="","",SUMIFS(RaceResults!$E:$E,RaceResults!$A:$A,A726,RaceResults!$D:$D,E726))</f>
        <v>0</v>
      </c>
    </row>
    <row r="727" spans="1:7" x14ac:dyDescent="0.3">
      <c r="A727">
        <v>25</v>
      </c>
      <c r="B727" t="s">
        <v>99</v>
      </c>
      <c r="C727" t="s">
        <v>22</v>
      </c>
      <c r="D727">
        <v>3</v>
      </c>
      <c r="E727">
        <f>WeeklyPicks!F243</f>
        <v>0</v>
      </c>
      <c r="F727">
        <f>IF(E727="","",SUMIFS(RaceResults!$C:$C,RaceResults!$A:$A,A727,RaceResults!$D:$D,E727))</f>
        <v>0</v>
      </c>
      <c r="G727">
        <f>IF(E727="","",SUMIFS(RaceResults!$E:$E,RaceResults!$A:$A,A727,RaceResults!$D:$D,E727))</f>
        <v>0</v>
      </c>
    </row>
    <row r="728" spans="1:7" x14ac:dyDescent="0.3">
      <c r="A728">
        <v>25</v>
      </c>
      <c r="B728" t="s">
        <v>99</v>
      </c>
      <c r="C728" t="s">
        <v>25</v>
      </c>
      <c r="D728">
        <v>1</v>
      </c>
      <c r="E728">
        <f>WeeklyPicks!D244</f>
        <v>0</v>
      </c>
      <c r="F728">
        <f>IF(E728="","",SUMIFS(RaceResults!$C:$C,RaceResults!$A:$A,A728,RaceResults!$D:$D,E728))</f>
        <v>0</v>
      </c>
      <c r="G728">
        <f>IF(E728="","",SUMIFS(RaceResults!$E:$E,RaceResults!$A:$A,A728,RaceResults!$D:$D,E728))</f>
        <v>0</v>
      </c>
    </row>
    <row r="729" spans="1:7" x14ac:dyDescent="0.3">
      <c r="A729">
        <v>25</v>
      </c>
      <c r="B729" t="s">
        <v>99</v>
      </c>
      <c r="C729" t="s">
        <v>25</v>
      </c>
      <c r="D729">
        <v>2</v>
      </c>
      <c r="E729">
        <f>WeeklyPicks!E244</f>
        <v>0</v>
      </c>
      <c r="F729">
        <f>IF(E729="","",SUMIFS(RaceResults!$C:$C,RaceResults!$A:$A,A729,RaceResults!$D:$D,E729))</f>
        <v>0</v>
      </c>
      <c r="G729">
        <f>IF(E729="","",SUMIFS(RaceResults!$E:$E,RaceResults!$A:$A,A729,RaceResults!$D:$D,E729))</f>
        <v>0</v>
      </c>
    </row>
    <row r="730" spans="1:7" x14ac:dyDescent="0.3">
      <c r="A730">
        <v>25</v>
      </c>
      <c r="B730" t="s">
        <v>99</v>
      </c>
      <c r="C730" t="s">
        <v>25</v>
      </c>
      <c r="D730">
        <v>3</v>
      </c>
      <c r="E730">
        <f>WeeklyPicks!F244</f>
        <v>0</v>
      </c>
      <c r="F730">
        <f>IF(E730="","",SUMIFS(RaceResults!$C:$C,RaceResults!$A:$A,A730,RaceResults!$D:$D,E730))</f>
        <v>0</v>
      </c>
      <c r="G730">
        <f>IF(E730="","",SUMIFS(RaceResults!$E:$E,RaceResults!$A:$A,A730,RaceResults!$D:$D,E730))</f>
        <v>0</v>
      </c>
    </row>
    <row r="731" spans="1:7" x14ac:dyDescent="0.3">
      <c r="A731">
        <v>25</v>
      </c>
      <c r="B731" t="s">
        <v>99</v>
      </c>
      <c r="C731" t="s">
        <v>26</v>
      </c>
      <c r="D731">
        <v>1</v>
      </c>
      <c r="E731">
        <f>WeeklyPicks!D245</f>
        <v>0</v>
      </c>
      <c r="F731">
        <f>IF(E731="","",SUMIFS(RaceResults!$C:$C,RaceResults!$A:$A,A731,RaceResults!$D:$D,E731))</f>
        <v>0</v>
      </c>
      <c r="G731">
        <f>IF(E731="","",SUMIFS(RaceResults!$E:$E,RaceResults!$A:$A,A731,RaceResults!$D:$D,E731))</f>
        <v>0</v>
      </c>
    </row>
    <row r="732" spans="1:7" x14ac:dyDescent="0.3">
      <c r="A732">
        <v>25</v>
      </c>
      <c r="B732" t="s">
        <v>99</v>
      </c>
      <c r="C732" t="s">
        <v>26</v>
      </c>
      <c r="D732">
        <v>2</v>
      </c>
      <c r="E732">
        <f>WeeklyPicks!E245</f>
        <v>0</v>
      </c>
      <c r="F732">
        <f>IF(E732="","",SUMIFS(RaceResults!$C:$C,RaceResults!$A:$A,A732,RaceResults!$D:$D,E732))</f>
        <v>0</v>
      </c>
      <c r="G732">
        <f>IF(E732="","",SUMIFS(RaceResults!$E:$E,RaceResults!$A:$A,A732,RaceResults!$D:$D,E732))</f>
        <v>0</v>
      </c>
    </row>
    <row r="733" spans="1:7" x14ac:dyDescent="0.3">
      <c r="A733">
        <v>25</v>
      </c>
      <c r="B733" t="s">
        <v>99</v>
      </c>
      <c r="C733" t="s">
        <v>26</v>
      </c>
      <c r="D733">
        <v>3</v>
      </c>
      <c r="E733">
        <f>WeeklyPicks!F245</f>
        <v>0</v>
      </c>
      <c r="F733">
        <f>IF(E733="","",SUMIFS(RaceResults!$C:$C,RaceResults!$A:$A,A733,RaceResults!$D:$D,E733))</f>
        <v>0</v>
      </c>
      <c r="G733">
        <f>IF(E733="","",SUMIFS(RaceResults!$E:$E,RaceResults!$A:$A,A733,RaceResults!$D:$D,E733))</f>
        <v>0</v>
      </c>
    </row>
    <row r="734" spans="1:7" x14ac:dyDescent="0.3">
      <c r="A734">
        <v>25</v>
      </c>
      <c r="B734" t="s">
        <v>99</v>
      </c>
      <c r="C734" t="s">
        <v>27</v>
      </c>
      <c r="D734">
        <v>1</v>
      </c>
      <c r="E734">
        <f>WeeklyPicks!D246</f>
        <v>0</v>
      </c>
      <c r="F734">
        <f>IF(E734="","",SUMIFS(RaceResults!$C:$C,RaceResults!$A:$A,A734,RaceResults!$D:$D,E734))</f>
        <v>0</v>
      </c>
      <c r="G734">
        <f>IF(E734="","",SUMIFS(RaceResults!$E:$E,RaceResults!$A:$A,A734,RaceResults!$D:$D,E734))</f>
        <v>0</v>
      </c>
    </row>
    <row r="735" spans="1:7" x14ac:dyDescent="0.3">
      <c r="A735">
        <v>25</v>
      </c>
      <c r="B735" t="s">
        <v>99</v>
      </c>
      <c r="C735" t="s">
        <v>27</v>
      </c>
      <c r="D735">
        <v>2</v>
      </c>
      <c r="E735">
        <f>WeeklyPicks!E246</f>
        <v>0</v>
      </c>
      <c r="F735">
        <f>IF(E735="","",SUMIFS(RaceResults!$C:$C,RaceResults!$A:$A,A735,RaceResults!$D:$D,E735))</f>
        <v>0</v>
      </c>
      <c r="G735">
        <f>IF(E735="","",SUMIFS(RaceResults!$E:$E,RaceResults!$A:$A,A735,RaceResults!$D:$D,E735))</f>
        <v>0</v>
      </c>
    </row>
    <row r="736" spans="1:7" x14ac:dyDescent="0.3">
      <c r="A736">
        <v>25</v>
      </c>
      <c r="B736" t="s">
        <v>99</v>
      </c>
      <c r="C736" t="s">
        <v>27</v>
      </c>
      <c r="D736">
        <v>3</v>
      </c>
      <c r="E736">
        <f>WeeklyPicks!F246</f>
        <v>0</v>
      </c>
      <c r="F736">
        <f>IF(E736="","",SUMIFS(RaceResults!$C:$C,RaceResults!$A:$A,A736,RaceResults!$D:$D,E736))</f>
        <v>0</v>
      </c>
      <c r="G736">
        <f>IF(E736="","",SUMIFS(RaceResults!$E:$E,RaceResults!$A:$A,A736,RaceResults!$D:$D,E736))</f>
        <v>0</v>
      </c>
    </row>
    <row r="737" spans="1:7" x14ac:dyDescent="0.3">
      <c r="A737">
        <v>25</v>
      </c>
      <c r="B737" t="s">
        <v>99</v>
      </c>
      <c r="C737" t="s">
        <v>28</v>
      </c>
      <c r="D737">
        <v>1</v>
      </c>
      <c r="E737">
        <f>WeeklyPicks!D247</f>
        <v>0</v>
      </c>
      <c r="F737">
        <f>IF(E737="","",SUMIFS(RaceResults!$C:$C,RaceResults!$A:$A,A737,RaceResults!$D:$D,E737))</f>
        <v>0</v>
      </c>
      <c r="G737">
        <f>IF(E737="","",SUMIFS(RaceResults!$E:$E,RaceResults!$A:$A,A737,RaceResults!$D:$D,E737))</f>
        <v>0</v>
      </c>
    </row>
    <row r="738" spans="1:7" x14ac:dyDescent="0.3">
      <c r="A738">
        <v>25</v>
      </c>
      <c r="B738" t="s">
        <v>99</v>
      </c>
      <c r="C738" t="s">
        <v>28</v>
      </c>
      <c r="D738">
        <v>2</v>
      </c>
      <c r="E738">
        <f>WeeklyPicks!E247</f>
        <v>0</v>
      </c>
      <c r="F738">
        <f>IF(E738="","",SUMIFS(RaceResults!$C:$C,RaceResults!$A:$A,A738,RaceResults!$D:$D,E738))</f>
        <v>0</v>
      </c>
      <c r="G738">
        <f>IF(E738="","",SUMIFS(RaceResults!$E:$E,RaceResults!$A:$A,A738,RaceResults!$D:$D,E738))</f>
        <v>0</v>
      </c>
    </row>
    <row r="739" spans="1:7" x14ac:dyDescent="0.3">
      <c r="A739">
        <v>25</v>
      </c>
      <c r="B739" t="s">
        <v>99</v>
      </c>
      <c r="C739" t="s">
        <v>28</v>
      </c>
      <c r="D739">
        <v>3</v>
      </c>
      <c r="E739">
        <f>WeeklyPicks!F247</f>
        <v>0</v>
      </c>
      <c r="F739">
        <f>IF(E739="","",SUMIFS(RaceResults!$C:$C,RaceResults!$A:$A,A739,RaceResults!$D:$D,E739))</f>
        <v>0</v>
      </c>
      <c r="G739">
        <f>IF(E739="","",SUMIFS(RaceResults!$E:$E,RaceResults!$A:$A,A739,RaceResults!$D:$D,E739))</f>
        <v>0</v>
      </c>
    </row>
    <row r="740" spans="1:7" x14ac:dyDescent="0.3">
      <c r="A740">
        <v>25</v>
      </c>
      <c r="B740" t="s">
        <v>99</v>
      </c>
      <c r="C740" t="s">
        <v>29</v>
      </c>
      <c r="D740">
        <v>1</v>
      </c>
      <c r="E740">
        <f>WeeklyPicks!D248</f>
        <v>0</v>
      </c>
      <c r="F740">
        <f>IF(E740="","",SUMIFS(RaceResults!$C:$C,RaceResults!$A:$A,A740,RaceResults!$D:$D,E740))</f>
        <v>0</v>
      </c>
      <c r="G740">
        <f>IF(E740="","",SUMIFS(RaceResults!$E:$E,RaceResults!$A:$A,A740,RaceResults!$D:$D,E740))</f>
        <v>0</v>
      </c>
    </row>
    <row r="741" spans="1:7" x14ac:dyDescent="0.3">
      <c r="A741">
        <v>25</v>
      </c>
      <c r="B741" t="s">
        <v>99</v>
      </c>
      <c r="C741" t="s">
        <v>29</v>
      </c>
      <c r="D741">
        <v>2</v>
      </c>
      <c r="E741">
        <f>WeeklyPicks!E248</f>
        <v>0</v>
      </c>
      <c r="F741">
        <f>IF(E741="","",SUMIFS(RaceResults!$C:$C,RaceResults!$A:$A,A741,RaceResults!$D:$D,E741))</f>
        <v>0</v>
      </c>
      <c r="G741">
        <f>IF(E741="","",SUMIFS(RaceResults!$E:$E,RaceResults!$A:$A,A741,RaceResults!$D:$D,E741))</f>
        <v>0</v>
      </c>
    </row>
    <row r="742" spans="1:7" x14ac:dyDescent="0.3">
      <c r="A742">
        <v>25</v>
      </c>
      <c r="B742" t="s">
        <v>99</v>
      </c>
      <c r="C742" t="s">
        <v>29</v>
      </c>
      <c r="D742">
        <v>3</v>
      </c>
      <c r="E742">
        <f>WeeklyPicks!F248</f>
        <v>0</v>
      </c>
      <c r="F742">
        <f>IF(E742="","",SUMIFS(RaceResults!$C:$C,RaceResults!$A:$A,A742,RaceResults!$D:$D,E742))</f>
        <v>0</v>
      </c>
      <c r="G742">
        <f>IF(E742="","",SUMIFS(RaceResults!$E:$E,RaceResults!$A:$A,A742,RaceResults!$D:$D,E742))</f>
        <v>0</v>
      </c>
    </row>
    <row r="743" spans="1:7" x14ac:dyDescent="0.3">
      <c r="A743">
        <v>25</v>
      </c>
      <c r="B743" t="s">
        <v>99</v>
      </c>
      <c r="C743" t="s">
        <v>30</v>
      </c>
      <c r="D743">
        <v>1</v>
      </c>
      <c r="E743">
        <f>WeeklyPicks!D249</f>
        <v>0</v>
      </c>
      <c r="F743">
        <f>IF(E743="","",SUMIFS(RaceResults!$C:$C,RaceResults!$A:$A,A743,RaceResults!$D:$D,E743))</f>
        <v>0</v>
      </c>
      <c r="G743">
        <f>IF(E743="","",SUMIFS(RaceResults!$E:$E,RaceResults!$A:$A,A743,RaceResults!$D:$D,E743))</f>
        <v>0</v>
      </c>
    </row>
    <row r="744" spans="1:7" x14ac:dyDescent="0.3">
      <c r="A744">
        <v>25</v>
      </c>
      <c r="B744" t="s">
        <v>99</v>
      </c>
      <c r="C744" t="s">
        <v>30</v>
      </c>
      <c r="D744">
        <v>2</v>
      </c>
      <c r="E744">
        <f>WeeklyPicks!E249</f>
        <v>0</v>
      </c>
      <c r="F744">
        <f>IF(E744="","",SUMIFS(RaceResults!$C:$C,RaceResults!$A:$A,A744,RaceResults!$D:$D,E744))</f>
        <v>0</v>
      </c>
      <c r="G744">
        <f>IF(E744="","",SUMIFS(RaceResults!$E:$E,RaceResults!$A:$A,A744,RaceResults!$D:$D,E744))</f>
        <v>0</v>
      </c>
    </row>
    <row r="745" spans="1:7" x14ac:dyDescent="0.3">
      <c r="A745">
        <v>25</v>
      </c>
      <c r="B745" t="s">
        <v>99</v>
      </c>
      <c r="C745" t="s">
        <v>30</v>
      </c>
      <c r="D745">
        <v>3</v>
      </c>
      <c r="E745">
        <f>WeeklyPicks!F249</f>
        <v>0</v>
      </c>
      <c r="F745">
        <f>IF(E745="","",SUMIFS(RaceResults!$C:$C,RaceResults!$A:$A,A745,RaceResults!$D:$D,E745))</f>
        <v>0</v>
      </c>
      <c r="G745">
        <f>IF(E745="","",SUMIFS(RaceResults!$E:$E,RaceResults!$A:$A,A745,RaceResults!$D:$D,E745))</f>
        <v>0</v>
      </c>
    </row>
    <row r="746" spans="1:7" x14ac:dyDescent="0.3">
      <c r="A746">
        <v>25</v>
      </c>
      <c r="B746" t="s">
        <v>99</v>
      </c>
      <c r="C746" t="s">
        <v>31</v>
      </c>
      <c r="D746">
        <v>1</v>
      </c>
      <c r="E746">
        <f>WeeklyPicks!D250</f>
        <v>0</v>
      </c>
      <c r="F746">
        <f>IF(E746="","",SUMIFS(RaceResults!$C:$C,RaceResults!$A:$A,A746,RaceResults!$D:$D,E746))</f>
        <v>0</v>
      </c>
      <c r="G746">
        <f>IF(E746="","",SUMIFS(RaceResults!$E:$E,RaceResults!$A:$A,A746,RaceResults!$D:$D,E746))</f>
        <v>0</v>
      </c>
    </row>
    <row r="747" spans="1:7" x14ac:dyDescent="0.3">
      <c r="A747">
        <v>25</v>
      </c>
      <c r="B747" t="s">
        <v>99</v>
      </c>
      <c r="C747" t="s">
        <v>31</v>
      </c>
      <c r="D747">
        <v>2</v>
      </c>
      <c r="E747">
        <f>WeeklyPicks!E250</f>
        <v>0</v>
      </c>
      <c r="F747">
        <f>IF(E747="","",SUMIFS(RaceResults!$C:$C,RaceResults!$A:$A,A747,RaceResults!$D:$D,E747))</f>
        <v>0</v>
      </c>
      <c r="G747">
        <f>IF(E747="","",SUMIFS(RaceResults!$E:$E,RaceResults!$A:$A,A747,RaceResults!$D:$D,E747))</f>
        <v>0</v>
      </c>
    </row>
    <row r="748" spans="1:7" x14ac:dyDescent="0.3">
      <c r="A748">
        <v>25</v>
      </c>
      <c r="B748" t="s">
        <v>99</v>
      </c>
      <c r="C748" t="s">
        <v>31</v>
      </c>
      <c r="D748">
        <v>3</v>
      </c>
      <c r="E748">
        <f>WeeklyPicks!F250</f>
        <v>0</v>
      </c>
      <c r="F748">
        <f>IF(E748="","",SUMIFS(RaceResults!$C:$C,RaceResults!$A:$A,A748,RaceResults!$D:$D,E748))</f>
        <v>0</v>
      </c>
      <c r="G748">
        <f>IF(E748="","",SUMIFS(RaceResults!$E:$E,RaceResults!$A:$A,A748,RaceResults!$D:$D,E748))</f>
        <v>0</v>
      </c>
    </row>
    <row r="749" spans="1:7" x14ac:dyDescent="0.3">
      <c r="A749">
        <v>25</v>
      </c>
      <c r="B749" t="s">
        <v>99</v>
      </c>
      <c r="C749" t="s">
        <v>32</v>
      </c>
      <c r="D749">
        <v>1</v>
      </c>
      <c r="E749">
        <f>WeeklyPicks!D251</f>
        <v>0</v>
      </c>
      <c r="F749">
        <f>IF(E749="","",SUMIFS(RaceResults!$C:$C,RaceResults!$A:$A,A749,RaceResults!$D:$D,E749))</f>
        <v>0</v>
      </c>
      <c r="G749">
        <f>IF(E749="","",SUMIFS(RaceResults!$E:$E,RaceResults!$A:$A,A749,RaceResults!$D:$D,E749))</f>
        <v>0</v>
      </c>
    </row>
    <row r="750" spans="1:7" x14ac:dyDescent="0.3">
      <c r="A750">
        <v>25</v>
      </c>
      <c r="B750" t="s">
        <v>99</v>
      </c>
      <c r="C750" t="s">
        <v>32</v>
      </c>
      <c r="D750">
        <v>2</v>
      </c>
      <c r="E750">
        <f>WeeklyPicks!E251</f>
        <v>0</v>
      </c>
      <c r="F750">
        <f>IF(E750="","",SUMIFS(RaceResults!$C:$C,RaceResults!$A:$A,A750,RaceResults!$D:$D,E750))</f>
        <v>0</v>
      </c>
      <c r="G750">
        <f>IF(E750="","",SUMIFS(RaceResults!$E:$E,RaceResults!$A:$A,A750,RaceResults!$D:$D,E750))</f>
        <v>0</v>
      </c>
    </row>
    <row r="751" spans="1:7" x14ac:dyDescent="0.3">
      <c r="A751">
        <v>25</v>
      </c>
      <c r="B751" t="s">
        <v>99</v>
      </c>
      <c r="C751" t="s">
        <v>32</v>
      </c>
      <c r="D751">
        <v>3</v>
      </c>
      <c r="E751">
        <f>WeeklyPicks!F251</f>
        <v>0</v>
      </c>
      <c r="F751">
        <f>IF(E751="","",SUMIFS(RaceResults!$C:$C,RaceResults!$A:$A,A751,RaceResults!$D:$D,E751))</f>
        <v>0</v>
      </c>
      <c r="G751">
        <f>IF(E751="","",SUMIFS(RaceResults!$E:$E,RaceResults!$A:$A,A751,RaceResults!$D:$D,E751))</f>
        <v>0</v>
      </c>
    </row>
    <row r="752" spans="1:7" x14ac:dyDescent="0.3">
      <c r="A752">
        <v>26</v>
      </c>
      <c r="B752" t="s">
        <v>101</v>
      </c>
      <c r="C752" t="s">
        <v>21</v>
      </c>
      <c r="D752">
        <v>1</v>
      </c>
      <c r="E752">
        <f>WeeklyPicks!D252</f>
        <v>0</v>
      </c>
      <c r="F752">
        <f>IF(E752="","",SUMIFS(RaceResults!$C:$C,RaceResults!$A:$A,A752,RaceResults!$D:$D,E752))</f>
        <v>0</v>
      </c>
      <c r="G752">
        <f>IF(E752="","",SUMIFS(RaceResults!$E:$E,RaceResults!$A:$A,A752,RaceResults!$D:$D,E752))</f>
        <v>0</v>
      </c>
    </row>
    <row r="753" spans="1:7" x14ac:dyDescent="0.3">
      <c r="A753">
        <v>26</v>
      </c>
      <c r="B753" t="s">
        <v>101</v>
      </c>
      <c r="C753" t="s">
        <v>21</v>
      </c>
      <c r="D753">
        <v>2</v>
      </c>
      <c r="E753">
        <f>WeeklyPicks!E252</f>
        <v>0</v>
      </c>
      <c r="F753">
        <f>IF(E753="","",SUMIFS(RaceResults!$C:$C,RaceResults!$A:$A,A753,RaceResults!$D:$D,E753))</f>
        <v>0</v>
      </c>
      <c r="G753">
        <f>IF(E753="","",SUMIFS(RaceResults!$E:$E,RaceResults!$A:$A,A753,RaceResults!$D:$D,E753))</f>
        <v>0</v>
      </c>
    </row>
    <row r="754" spans="1:7" x14ac:dyDescent="0.3">
      <c r="A754">
        <v>26</v>
      </c>
      <c r="B754" t="s">
        <v>101</v>
      </c>
      <c r="C754" t="s">
        <v>21</v>
      </c>
      <c r="D754">
        <v>3</v>
      </c>
      <c r="E754">
        <f>WeeklyPicks!F252</f>
        <v>0</v>
      </c>
      <c r="F754">
        <f>IF(E754="","",SUMIFS(RaceResults!$C:$C,RaceResults!$A:$A,A754,RaceResults!$D:$D,E754))</f>
        <v>0</v>
      </c>
      <c r="G754">
        <f>IF(E754="","",SUMIFS(RaceResults!$E:$E,RaceResults!$A:$A,A754,RaceResults!$D:$D,E754))</f>
        <v>0</v>
      </c>
    </row>
    <row r="755" spans="1:7" x14ac:dyDescent="0.3">
      <c r="A755">
        <v>26</v>
      </c>
      <c r="B755" t="s">
        <v>101</v>
      </c>
      <c r="C755" t="s">
        <v>22</v>
      </c>
      <c r="D755">
        <v>1</v>
      </c>
      <c r="E755">
        <f>WeeklyPicks!D253</f>
        <v>0</v>
      </c>
      <c r="F755">
        <f>IF(E755="","",SUMIFS(RaceResults!$C:$C,RaceResults!$A:$A,A755,RaceResults!$D:$D,E755))</f>
        <v>0</v>
      </c>
      <c r="G755">
        <f>IF(E755="","",SUMIFS(RaceResults!$E:$E,RaceResults!$A:$A,A755,RaceResults!$D:$D,E755))</f>
        <v>0</v>
      </c>
    </row>
    <row r="756" spans="1:7" x14ac:dyDescent="0.3">
      <c r="A756">
        <v>26</v>
      </c>
      <c r="B756" t="s">
        <v>101</v>
      </c>
      <c r="C756" t="s">
        <v>22</v>
      </c>
      <c r="D756">
        <v>2</v>
      </c>
      <c r="E756">
        <f>WeeklyPicks!E253</f>
        <v>0</v>
      </c>
      <c r="F756">
        <f>IF(E756="","",SUMIFS(RaceResults!$C:$C,RaceResults!$A:$A,A756,RaceResults!$D:$D,E756))</f>
        <v>0</v>
      </c>
      <c r="G756">
        <f>IF(E756="","",SUMIFS(RaceResults!$E:$E,RaceResults!$A:$A,A756,RaceResults!$D:$D,E756))</f>
        <v>0</v>
      </c>
    </row>
    <row r="757" spans="1:7" x14ac:dyDescent="0.3">
      <c r="A757">
        <v>26</v>
      </c>
      <c r="B757" t="s">
        <v>101</v>
      </c>
      <c r="C757" t="s">
        <v>22</v>
      </c>
      <c r="D757">
        <v>3</v>
      </c>
      <c r="E757">
        <f>WeeklyPicks!F253</f>
        <v>0</v>
      </c>
      <c r="F757">
        <f>IF(E757="","",SUMIFS(RaceResults!$C:$C,RaceResults!$A:$A,A757,RaceResults!$D:$D,E757))</f>
        <v>0</v>
      </c>
      <c r="G757">
        <f>IF(E757="","",SUMIFS(RaceResults!$E:$E,RaceResults!$A:$A,A757,RaceResults!$D:$D,E757))</f>
        <v>0</v>
      </c>
    </row>
    <row r="758" spans="1:7" x14ac:dyDescent="0.3">
      <c r="A758">
        <v>26</v>
      </c>
      <c r="B758" t="s">
        <v>101</v>
      </c>
      <c r="C758" t="s">
        <v>25</v>
      </c>
      <c r="D758">
        <v>1</v>
      </c>
      <c r="E758">
        <f>WeeklyPicks!D254</f>
        <v>0</v>
      </c>
      <c r="F758">
        <f>IF(E758="","",SUMIFS(RaceResults!$C:$C,RaceResults!$A:$A,A758,RaceResults!$D:$D,E758))</f>
        <v>0</v>
      </c>
      <c r="G758">
        <f>IF(E758="","",SUMIFS(RaceResults!$E:$E,RaceResults!$A:$A,A758,RaceResults!$D:$D,E758))</f>
        <v>0</v>
      </c>
    </row>
    <row r="759" spans="1:7" x14ac:dyDescent="0.3">
      <c r="A759">
        <v>26</v>
      </c>
      <c r="B759" t="s">
        <v>101</v>
      </c>
      <c r="C759" t="s">
        <v>25</v>
      </c>
      <c r="D759">
        <v>2</v>
      </c>
      <c r="E759">
        <f>WeeklyPicks!E254</f>
        <v>0</v>
      </c>
      <c r="F759">
        <f>IF(E759="","",SUMIFS(RaceResults!$C:$C,RaceResults!$A:$A,A759,RaceResults!$D:$D,E759))</f>
        <v>0</v>
      </c>
      <c r="G759">
        <f>IF(E759="","",SUMIFS(RaceResults!$E:$E,RaceResults!$A:$A,A759,RaceResults!$D:$D,E759))</f>
        <v>0</v>
      </c>
    </row>
    <row r="760" spans="1:7" x14ac:dyDescent="0.3">
      <c r="A760">
        <v>26</v>
      </c>
      <c r="B760" t="s">
        <v>101</v>
      </c>
      <c r="C760" t="s">
        <v>25</v>
      </c>
      <c r="D760">
        <v>3</v>
      </c>
      <c r="E760">
        <f>WeeklyPicks!F254</f>
        <v>0</v>
      </c>
      <c r="F760">
        <f>IF(E760="","",SUMIFS(RaceResults!$C:$C,RaceResults!$A:$A,A760,RaceResults!$D:$D,E760))</f>
        <v>0</v>
      </c>
      <c r="G760">
        <f>IF(E760="","",SUMIFS(RaceResults!$E:$E,RaceResults!$A:$A,A760,RaceResults!$D:$D,E760))</f>
        <v>0</v>
      </c>
    </row>
    <row r="761" spans="1:7" x14ac:dyDescent="0.3">
      <c r="A761">
        <v>26</v>
      </c>
      <c r="B761" t="s">
        <v>101</v>
      </c>
      <c r="C761" t="s">
        <v>26</v>
      </c>
      <c r="D761">
        <v>1</v>
      </c>
      <c r="E761">
        <f>WeeklyPicks!D255</f>
        <v>0</v>
      </c>
      <c r="F761">
        <f>IF(E761="","",SUMIFS(RaceResults!$C:$C,RaceResults!$A:$A,A761,RaceResults!$D:$D,E761))</f>
        <v>0</v>
      </c>
      <c r="G761">
        <f>IF(E761="","",SUMIFS(RaceResults!$E:$E,RaceResults!$A:$A,A761,RaceResults!$D:$D,E761))</f>
        <v>0</v>
      </c>
    </row>
    <row r="762" spans="1:7" x14ac:dyDescent="0.3">
      <c r="A762">
        <v>26</v>
      </c>
      <c r="B762" t="s">
        <v>101</v>
      </c>
      <c r="C762" t="s">
        <v>26</v>
      </c>
      <c r="D762">
        <v>2</v>
      </c>
      <c r="E762">
        <f>WeeklyPicks!E255</f>
        <v>0</v>
      </c>
      <c r="F762">
        <f>IF(E762="","",SUMIFS(RaceResults!$C:$C,RaceResults!$A:$A,A762,RaceResults!$D:$D,E762))</f>
        <v>0</v>
      </c>
      <c r="G762">
        <f>IF(E762="","",SUMIFS(RaceResults!$E:$E,RaceResults!$A:$A,A762,RaceResults!$D:$D,E762))</f>
        <v>0</v>
      </c>
    </row>
    <row r="763" spans="1:7" x14ac:dyDescent="0.3">
      <c r="A763">
        <v>26</v>
      </c>
      <c r="B763" t="s">
        <v>101</v>
      </c>
      <c r="C763" t="s">
        <v>26</v>
      </c>
      <c r="D763">
        <v>3</v>
      </c>
      <c r="E763">
        <f>WeeklyPicks!F255</f>
        <v>0</v>
      </c>
      <c r="F763">
        <f>IF(E763="","",SUMIFS(RaceResults!$C:$C,RaceResults!$A:$A,A763,RaceResults!$D:$D,E763))</f>
        <v>0</v>
      </c>
      <c r="G763">
        <f>IF(E763="","",SUMIFS(RaceResults!$E:$E,RaceResults!$A:$A,A763,RaceResults!$D:$D,E763))</f>
        <v>0</v>
      </c>
    </row>
    <row r="764" spans="1:7" x14ac:dyDescent="0.3">
      <c r="A764">
        <v>26</v>
      </c>
      <c r="B764" t="s">
        <v>101</v>
      </c>
      <c r="C764" t="s">
        <v>27</v>
      </c>
      <c r="D764">
        <v>1</v>
      </c>
      <c r="E764">
        <f>WeeklyPicks!D256</f>
        <v>0</v>
      </c>
      <c r="F764">
        <f>IF(E764="","",SUMIFS(RaceResults!$C:$C,RaceResults!$A:$A,A764,RaceResults!$D:$D,E764))</f>
        <v>0</v>
      </c>
      <c r="G764">
        <f>IF(E764="","",SUMIFS(RaceResults!$E:$E,RaceResults!$A:$A,A764,RaceResults!$D:$D,E764))</f>
        <v>0</v>
      </c>
    </row>
    <row r="765" spans="1:7" x14ac:dyDescent="0.3">
      <c r="A765">
        <v>26</v>
      </c>
      <c r="B765" t="s">
        <v>101</v>
      </c>
      <c r="C765" t="s">
        <v>27</v>
      </c>
      <c r="D765">
        <v>2</v>
      </c>
      <c r="E765">
        <f>WeeklyPicks!E256</f>
        <v>0</v>
      </c>
      <c r="F765">
        <f>IF(E765="","",SUMIFS(RaceResults!$C:$C,RaceResults!$A:$A,A765,RaceResults!$D:$D,E765))</f>
        <v>0</v>
      </c>
      <c r="G765">
        <f>IF(E765="","",SUMIFS(RaceResults!$E:$E,RaceResults!$A:$A,A765,RaceResults!$D:$D,E765))</f>
        <v>0</v>
      </c>
    </row>
    <row r="766" spans="1:7" x14ac:dyDescent="0.3">
      <c r="A766">
        <v>26</v>
      </c>
      <c r="B766" t="s">
        <v>101</v>
      </c>
      <c r="C766" t="s">
        <v>27</v>
      </c>
      <c r="D766">
        <v>3</v>
      </c>
      <c r="E766">
        <f>WeeklyPicks!F256</f>
        <v>0</v>
      </c>
      <c r="F766">
        <f>IF(E766="","",SUMIFS(RaceResults!$C:$C,RaceResults!$A:$A,A766,RaceResults!$D:$D,E766))</f>
        <v>0</v>
      </c>
      <c r="G766">
        <f>IF(E766="","",SUMIFS(RaceResults!$E:$E,RaceResults!$A:$A,A766,RaceResults!$D:$D,E766))</f>
        <v>0</v>
      </c>
    </row>
    <row r="767" spans="1:7" x14ac:dyDescent="0.3">
      <c r="A767">
        <v>26</v>
      </c>
      <c r="B767" t="s">
        <v>101</v>
      </c>
      <c r="C767" t="s">
        <v>28</v>
      </c>
      <c r="D767">
        <v>1</v>
      </c>
      <c r="E767">
        <f>WeeklyPicks!D257</f>
        <v>0</v>
      </c>
      <c r="F767">
        <f>IF(E767="","",SUMIFS(RaceResults!$C:$C,RaceResults!$A:$A,A767,RaceResults!$D:$D,E767))</f>
        <v>0</v>
      </c>
      <c r="G767">
        <f>IF(E767="","",SUMIFS(RaceResults!$E:$E,RaceResults!$A:$A,A767,RaceResults!$D:$D,E767))</f>
        <v>0</v>
      </c>
    </row>
    <row r="768" spans="1:7" x14ac:dyDescent="0.3">
      <c r="A768">
        <v>26</v>
      </c>
      <c r="B768" t="s">
        <v>101</v>
      </c>
      <c r="C768" t="s">
        <v>28</v>
      </c>
      <c r="D768">
        <v>2</v>
      </c>
      <c r="E768">
        <f>WeeklyPicks!E257</f>
        <v>0</v>
      </c>
      <c r="F768">
        <f>IF(E768="","",SUMIFS(RaceResults!$C:$C,RaceResults!$A:$A,A768,RaceResults!$D:$D,E768))</f>
        <v>0</v>
      </c>
      <c r="G768">
        <f>IF(E768="","",SUMIFS(RaceResults!$E:$E,RaceResults!$A:$A,A768,RaceResults!$D:$D,E768))</f>
        <v>0</v>
      </c>
    </row>
    <row r="769" spans="1:7" x14ac:dyDescent="0.3">
      <c r="A769">
        <v>26</v>
      </c>
      <c r="B769" t="s">
        <v>101</v>
      </c>
      <c r="C769" t="s">
        <v>28</v>
      </c>
      <c r="D769">
        <v>3</v>
      </c>
      <c r="E769">
        <f>WeeklyPicks!F257</f>
        <v>0</v>
      </c>
      <c r="F769">
        <f>IF(E769="","",SUMIFS(RaceResults!$C:$C,RaceResults!$A:$A,A769,RaceResults!$D:$D,E769))</f>
        <v>0</v>
      </c>
      <c r="G769">
        <f>IF(E769="","",SUMIFS(RaceResults!$E:$E,RaceResults!$A:$A,A769,RaceResults!$D:$D,E769))</f>
        <v>0</v>
      </c>
    </row>
    <row r="770" spans="1:7" x14ac:dyDescent="0.3">
      <c r="A770">
        <v>26</v>
      </c>
      <c r="B770" t="s">
        <v>101</v>
      </c>
      <c r="C770" t="s">
        <v>29</v>
      </c>
      <c r="D770">
        <v>1</v>
      </c>
      <c r="E770">
        <f>WeeklyPicks!D258</f>
        <v>0</v>
      </c>
      <c r="F770">
        <f>IF(E770="","",SUMIFS(RaceResults!$C:$C,RaceResults!$A:$A,A770,RaceResults!$D:$D,E770))</f>
        <v>0</v>
      </c>
      <c r="G770">
        <f>IF(E770="","",SUMIFS(RaceResults!$E:$E,RaceResults!$A:$A,A770,RaceResults!$D:$D,E770))</f>
        <v>0</v>
      </c>
    </row>
    <row r="771" spans="1:7" x14ac:dyDescent="0.3">
      <c r="A771">
        <v>26</v>
      </c>
      <c r="B771" t="s">
        <v>101</v>
      </c>
      <c r="C771" t="s">
        <v>29</v>
      </c>
      <c r="D771">
        <v>2</v>
      </c>
      <c r="E771">
        <f>WeeklyPicks!E258</f>
        <v>0</v>
      </c>
      <c r="F771">
        <f>IF(E771="","",SUMIFS(RaceResults!$C:$C,RaceResults!$A:$A,A771,RaceResults!$D:$D,E771))</f>
        <v>0</v>
      </c>
      <c r="G771">
        <f>IF(E771="","",SUMIFS(RaceResults!$E:$E,RaceResults!$A:$A,A771,RaceResults!$D:$D,E771))</f>
        <v>0</v>
      </c>
    </row>
    <row r="772" spans="1:7" x14ac:dyDescent="0.3">
      <c r="A772">
        <v>26</v>
      </c>
      <c r="B772" t="s">
        <v>101</v>
      </c>
      <c r="C772" t="s">
        <v>29</v>
      </c>
      <c r="D772">
        <v>3</v>
      </c>
      <c r="E772">
        <f>WeeklyPicks!F258</f>
        <v>0</v>
      </c>
      <c r="F772">
        <f>IF(E772="","",SUMIFS(RaceResults!$C:$C,RaceResults!$A:$A,A772,RaceResults!$D:$D,E772))</f>
        <v>0</v>
      </c>
      <c r="G772">
        <f>IF(E772="","",SUMIFS(RaceResults!$E:$E,RaceResults!$A:$A,A772,RaceResults!$D:$D,E772))</f>
        <v>0</v>
      </c>
    </row>
    <row r="773" spans="1:7" x14ac:dyDescent="0.3">
      <c r="A773">
        <v>26</v>
      </c>
      <c r="B773" t="s">
        <v>101</v>
      </c>
      <c r="C773" t="s">
        <v>30</v>
      </c>
      <c r="D773">
        <v>1</v>
      </c>
      <c r="E773">
        <f>WeeklyPicks!D259</f>
        <v>0</v>
      </c>
      <c r="F773">
        <f>IF(E773="","",SUMIFS(RaceResults!$C:$C,RaceResults!$A:$A,A773,RaceResults!$D:$D,E773))</f>
        <v>0</v>
      </c>
      <c r="G773">
        <f>IF(E773="","",SUMIFS(RaceResults!$E:$E,RaceResults!$A:$A,A773,RaceResults!$D:$D,E773))</f>
        <v>0</v>
      </c>
    </row>
    <row r="774" spans="1:7" x14ac:dyDescent="0.3">
      <c r="A774">
        <v>26</v>
      </c>
      <c r="B774" t="s">
        <v>101</v>
      </c>
      <c r="C774" t="s">
        <v>30</v>
      </c>
      <c r="D774">
        <v>2</v>
      </c>
      <c r="E774">
        <f>WeeklyPicks!E259</f>
        <v>0</v>
      </c>
      <c r="F774">
        <f>IF(E774="","",SUMIFS(RaceResults!$C:$C,RaceResults!$A:$A,A774,RaceResults!$D:$D,E774))</f>
        <v>0</v>
      </c>
      <c r="G774">
        <f>IF(E774="","",SUMIFS(RaceResults!$E:$E,RaceResults!$A:$A,A774,RaceResults!$D:$D,E774))</f>
        <v>0</v>
      </c>
    </row>
    <row r="775" spans="1:7" x14ac:dyDescent="0.3">
      <c r="A775">
        <v>26</v>
      </c>
      <c r="B775" t="s">
        <v>101</v>
      </c>
      <c r="C775" t="s">
        <v>30</v>
      </c>
      <c r="D775">
        <v>3</v>
      </c>
      <c r="E775">
        <f>WeeklyPicks!F259</f>
        <v>0</v>
      </c>
      <c r="F775">
        <f>IF(E775="","",SUMIFS(RaceResults!$C:$C,RaceResults!$A:$A,A775,RaceResults!$D:$D,E775))</f>
        <v>0</v>
      </c>
      <c r="G775">
        <f>IF(E775="","",SUMIFS(RaceResults!$E:$E,RaceResults!$A:$A,A775,RaceResults!$D:$D,E775))</f>
        <v>0</v>
      </c>
    </row>
    <row r="776" spans="1:7" x14ac:dyDescent="0.3">
      <c r="A776">
        <v>26</v>
      </c>
      <c r="B776" t="s">
        <v>101</v>
      </c>
      <c r="C776" t="s">
        <v>31</v>
      </c>
      <c r="D776">
        <v>1</v>
      </c>
      <c r="E776">
        <f>WeeklyPicks!D260</f>
        <v>0</v>
      </c>
      <c r="F776">
        <f>IF(E776="","",SUMIFS(RaceResults!$C:$C,RaceResults!$A:$A,A776,RaceResults!$D:$D,E776))</f>
        <v>0</v>
      </c>
      <c r="G776">
        <f>IF(E776="","",SUMIFS(RaceResults!$E:$E,RaceResults!$A:$A,A776,RaceResults!$D:$D,E776))</f>
        <v>0</v>
      </c>
    </row>
    <row r="777" spans="1:7" x14ac:dyDescent="0.3">
      <c r="A777">
        <v>26</v>
      </c>
      <c r="B777" t="s">
        <v>101</v>
      </c>
      <c r="C777" t="s">
        <v>31</v>
      </c>
      <c r="D777">
        <v>2</v>
      </c>
      <c r="E777">
        <f>WeeklyPicks!E260</f>
        <v>0</v>
      </c>
      <c r="F777">
        <f>IF(E777="","",SUMIFS(RaceResults!$C:$C,RaceResults!$A:$A,A777,RaceResults!$D:$D,E777))</f>
        <v>0</v>
      </c>
      <c r="G777">
        <f>IF(E777="","",SUMIFS(RaceResults!$E:$E,RaceResults!$A:$A,A777,RaceResults!$D:$D,E777))</f>
        <v>0</v>
      </c>
    </row>
    <row r="778" spans="1:7" x14ac:dyDescent="0.3">
      <c r="A778">
        <v>26</v>
      </c>
      <c r="B778" t="s">
        <v>101</v>
      </c>
      <c r="C778" t="s">
        <v>31</v>
      </c>
      <c r="D778">
        <v>3</v>
      </c>
      <c r="E778">
        <f>WeeklyPicks!F260</f>
        <v>0</v>
      </c>
      <c r="F778">
        <f>IF(E778="","",SUMIFS(RaceResults!$C:$C,RaceResults!$A:$A,A778,RaceResults!$D:$D,E778))</f>
        <v>0</v>
      </c>
      <c r="G778">
        <f>IF(E778="","",SUMIFS(RaceResults!$E:$E,RaceResults!$A:$A,A778,RaceResults!$D:$D,E778))</f>
        <v>0</v>
      </c>
    </row>
    <row r="779" spans="1:7" x14ac:dyDescent="0.3">
      <c r="A779">
        <v>26</v>
      </c>
      <c r="B779" t="s">
        <v>101</v>
      </c>
      <c r="C779" t="s">
        <v>32</v>
      </c>
      <c r="D779">
        <v>1</v>
      </c>
      <c r="E779">
        <f>WeeklyPicks!D261</f>
        <v>0</v>
      </c>
      <c r="F779">
        <f>IF(E779="","",SUMIFS(RaceResults!$C:$C,RaceResults!$A:$A,A779,RaceResults!$D:$D,E779))</f>
        <v>0</v>
      </c>
      <c r="G779">
        <f>IF(E779="","",SUMIFS(RaceResults!$E:$E,RaceResults!$A:$A,A779,RaceResults!$D:$D,E779))</f>
        <v>0</v>
      </c>
    </row>
    <row r="780" spans="1:7" x14ac:dyDescent="0.3">
      <c r="A780">
        <v>26</v>
      </c>
      <c r="B780" t="s">
        <v>101</v>
      </c>
      <c r="C780" t="s">
        <v>32</v>
      </c>
      <c r="D780">
        <v>2</v>
      </c>
      <c r="E780">
        <f>WeeklyPicks!E261</f>
        <v>0</v>
      </c>
      <c r="F780">
        <f>IF(E780="","",SUMIFS(RaceResults!$C:$C,RaceResults!$A:$A,A780,RaceResults!$D:$D,E780))</f>
        <v>0</v>
      </c>
      <c r="G780">
        <f>IF(E780="","",SUMIFS(RaceResults!$E:$E,RaceResults!$A:$A,A780,RaceResults!$D:$D,E780))</f>
        <v>0</v>
      </c>
    </row>
    <row r="781" spans="1:7" x14ac:dyDescent="0.3">
      <c r="A781">
        <v>26</v>
      </c>
      <c r="B781" t="s">
        <v>101</v>
      </c>
      <c r="C781" t="s">
        <v>32</v>
      </c>
      <c r="D781">
        <v>3</v>
      </c>
      <c r="E781">
        <f>WeeklyPicks!F261</f>
        <v>0</v>
      </c>
      <c r="F781">
        <f>IF(E781="","",SUMIFS(RaceResults!$C:$C,RaceResults!$A:$A,A781,RaceResults!$D:$D,E781))</f>
        <v>0</v>
      </c>
      <c r="G781">
        <f>IF(E781="","",SUMIFS(RaceResults!$E:$E,RaceResults!$A:$A,A781,RaceResults!$D:$D,E781))</f>
        <v>0</v>
      </c>
    </row>
    <row r="782" spans="1:7" x14ac:dyDescent="0.3">
      <c r="A782">
        <v>27</v>
      </c>
      <c r="B782" t="s">
        <v>59</v>
      </c>
      <c r="C782" t="s">
        <v>21</v>
      </c>
      <c r="D782">
        <v>1</v>
      </c>
      <c r="E782">
        <f>WeeklyPicks!D262</f>
        <v>0</v>
      </c>
      <c r="F782">
        <f>IF(E782="","",SUMIFS(RaceResults!$C:$C,RaceResults!$A:$A,A782,RaceResults!$D:$D,E782))</f>
        <v>0</v>
      </c>
      <c r="G782">
        <f>IF(E782="","",SUMIFS(RaceResults!$E:$E,RaceResults!$A:$A,A782,RaceResults!$D:$D,E782))</f>
        <v>0</v>
      </c>
    </row>
    <row r="783" spans="1:7" x14ac:dyDescent="0.3">
      <c r="A783">
        <v>27</v>
      </c>
      <c r="B783" t="s">
        <v>59</v>
      </c>
      <c r="C783" t="s">
        <v>21</v>
      </c>
      <c r="D783">
        <v>2</v>
      </c>
      <c r="E783">
        <f>WeeklyPicks!E262</f>
        <v>0</v>
      </c>
      <c r="F783">
        <f>IF(E783="","",SUMIFS(RaceResults!$C:$C,RaceResults!$A:$A,A783,RaceResults!$D:$D,E783))</f>
        <v>0</v>
      </c>
      <c r="G783">
        <f>IF(E783="","",SUMIFS(RaceResults!$E:$E,RaceResults!$A:$A,A783,RaceResults!$D:$D,E783))</f>
        <v>0</v>
      </c>
    </row>
    <row r="784" spans="1:7" x14ac:dyDescent="0.3">
      <c r="A784">
        <v>27</v>
      </c>
      <c r="B784" t="s">
        <v>59</v>
      </c>
      <c r="C784" t="s">
        <v>21</v>
      </c>
      <c r="D784">
        <v>3</v>
      </c>
      <c r="E784">
        <f>WeeklyPicks!F262</f>
        <v>0</v>
      </c>
      <c r="F784">
        <f>IF(E784="","",SUMIFS(RaceResults!$C:$C,RaceResults!$A:$A,A784,RaceResults!$D:$D,E784))</f>
        <v>0</v>
      </c>
      <c r="G784">
        <f>IF(E784="","",SUMIFS(RaceResults!$E:$E,RaceResults!$A:$A,A784,RaceResults!$D:$D,E784))</f>
        <v>0</v>
      </c>
    </row>
    <row r="785" spans="1:7" x14ac:dyDescent="0.3">
      <c r="A785">
        <v>27</v>
      </c>
      <c r="B785" t="s">
        <v>59</v>
      </c>
      <c r="C785" t="s">
        <v>22</v>
      </c>
      <c r="D785">
        <v>1</v>
      </c>
      <c r="E785">
        <f>WeeklyPicks!D263</f>
        <v>0</v>
      </c>
      <c r="F785">
        <f>IF(E785="","",SUMIFS(RaceResults!$C:$C,RaceResults!$A:$A,A785,RaceResults!$D:$D,E785))</f>
        <v>0</v>
      </c>
      <c r="G785">
        <f>IF(E785="","",SUMIFS(RaceResults!$E:$E,RaceResults!$A:$A,A785,RaceResults!$D:$D,E785))</f>
        <v>0</v>
      </c>
    </row>
    <row r="786" spans="1:7" x14ac:dyDescent="0.3">
      <c r="A786">
        <v>27</v>
      </c>
      <c r="B786" t="s">
        <v>59</v>
      </c>
      <c r="C786" t="s">
        <v>22</v>
      </c>
      <c r="D786">
        <v>2</v>
      </c>
      <c r="E786">
        <f>WeeklyPicks!E263</f>
        <v>0</v>
      </c>
      <c r="F786">
        <f>IF(E786="","",SUMIFS(RaceResults!$C:$C,RaceResults!$A:$A,A786,RaceResults!$D:$D,E786))</f>
        <v>0</v>
      </c>
      <c r="G786">
        <f>IF(E786="","",SUMIFS(RaceResults!$E:$E,RaceResults!$A:$A,A786,RaceResults!$D:$D,E786))</f>
        <v>0</v>
      </c>
    </row>
    <row r="787" spans="1:7" x14ac:dyDescent="0.3">
      <c r="A787">
        <v>27</v>
      </c>
      <c r="B787" t="s">
        <v>59</v>
      </c>
      <c r="C787" t="s">
        <v>22</v>
      </c>
      <c r="D787">
        <v>3</v>
      </c>
      <c r="E787">
        <f>WeeklyPicks!F263</f>
        <v>0</v>
      </c>
      <c r="F787">
        <f>IF(E787="","",SUMIFS(RaceResults!$C:$C,RaceResults!$A:$A,A787,RaceResults!$D:$D,E787))</f>
        <v>0</v>
      </c>
      <c r="G787">
        <f>IF(E787="","",SUMIFS(RaceResults!$E:$E,RaceResults!$A:$A,A787,RaceResults!$D:$D,E787))</f>
        <v>0</v>
      </c>
    </row>
    <row r="788" spans="1:7" x14ac:dyDescent="0.3">
      <c r="A788">
        <v>27</v>
      </c>
      <c r="B788" t="s">
        <v>59</v>
      </c>
      <c r="C788" t="s">
        <v>25</v>
      </c>
      <c r="D788">
        <v>1</v>
      </c>
      <c r="E788">
        <f>WeeklyPicks!D264</f>
        <v>0</v>
      </c>
      <c r="F788">
        <f>IF(E788="","",SUMIFS(RaceResults!$C:$C,RaceResults!$A:$A,A788,RaceResults!$D:$D,E788))</f>
        <v>0</v>
      </c>
      <c r="G788">
        <f>IF(E788="","",SUMIFS(RaceResults!$E:$E,RaceResults!$A:$A,A788,RaceResults!$D:$D,E788))</f>
        <v>0</v>
      </c>
    </row>
    <row r="789" spans="1:7" x14ac:dyDescent="0.3">
      <c r="A789">
        <v>27</v>
      </c>
      <c r="B789" t="s">
        <v>59</v>
      </c>
      <c r="C789" t="s">
        <v>25</v>
      </c>
      <c r="D789">
        <v>2</v>
      </c>
      <c r="E789">
        <f>WeeklyPicks!E264</f>
        <v>0</v>
      </c>
      <c r="F789">
        <f>IF(E789="","",SUMIFS(RaceResults!$C:$C,RaceResults!$A:$A,A789,RaceResults!$D:$D,E789))</f>
        <v>0</v>
      </c>
      <c r="G789">
        <f>IF(E789="","",SUMIFS(RaceResults!$E:$E,RaceResults!$A:$A,A789,RaceResults!$D:$D,E789))</f>
        <v>0</v>
      </c>
    </row>
    <row r="790" spans="1:7" x14ac:dyDescent="0.3">
      <c r="A790">
        <v>27</v>
      </c>
      <c r="B790" t="s">
        <v>59</v>
      </c>
      <c r="C790" t="s">
        <v>25</v>
      </c>
      <c r="D790">
        <v>3</v>
      </c>
      <c r="E790">
        <f>WeeklyPicks!F264</f>
        <v>0</v>
      </c>
      <c r="F790">
        <f>IF(E790="","",SUMIFS(RaceResults!$C:$C,RaceResults!$A:$A,A790,RaceResults!$D:$D,E790))</f>
        <v>0</v>
      </c>
      <c r="G790">
        <f>IF(E790="","",SUMIFS(RaceResults!$E:$E,RaceResults!$A:$A,A790,RaceResults!$D:$D,E790))</f>
        <v>0</v>
      </c>
    </row>
    <row r="791" spans="1:7" x14ac:dyDescent="0.3">
      <c r="A791">
        <v>27</v>
      </c>
      <c r="B791" t="s">
        <v>59</v>
      </c>
      <c r="C791" t="s">
        <v>26</v>
      </c>
      <c r="D791">
        <v>1</v>
      </c>
      <c r="E791">
        <f>WeeklyPicks!D265</f>
        <v>0</v>
      </c>
      <c r="F791">
        <f>IF(E791="","",SUMIFS(RaceResults!$C:$C,RaceResults!$A:$A,A791,RaceResults!$D:$D,E791))</f>
        <v>0</v>
      </c>
      <c r="G791">
        <f>IF(E791="","",SUMIFS(RaceResults!$E:$E,RaceResults!$A:$A,A791,RaceResults!$D:$D,E791))</f>
        <v>0</v>
      </c>
    </row>
    <row r="792" spans="1:7" x14ac:dyDescent="0.3">
      <c r="A792">
        <v>27</v>
      </c>
      <c r="B792" t="s">
        <v>59</v>
      </c>
      <c r="C792" t="s">
        <v>26</v>
      </c>
      <c r="D792">
        <v>2</v>
      </c>
      <c r="E792">
        <f>WeeklyPicks!E265</f>
        <v>0</v>
      </c>
      <c r="F792">
        <f>IF(E792="","",SUMIFS(RaceResults!$C:$C,RaceResults!$A:$A,A792,RaceResults!$D:$D,E792))</f>
        <v>0</v>
      </c>
      <c r="G792">
        <f>IF(E792="","",SUMIFS(RaceResults!$E:$E,RaceResults!$A:$A,A792,RaceResults!$D:$D,E792))</f>
        <v>0</v>
      </c>
    </row>
    <row r="793" spans="1:7" x14ac:dyDescent="0.3">
      <c r="A793">
        <v>27</v>
      </c>
      <c r="B793" t="s">
        <v>59</v>
      </c>
      <c r="C793" t="s">
        <v>26</v>
      </c>
      <c r="D793">
        <v>3</v>
      </c>
      <c r="E793">
        <f>WeeklyPicks!F265</f>
        <v>0</v>
      </c>
      <c r="F793">
        <f>IF(E793="","",SUMIFS(RaceResults!$C:$C,RaceResults!$A:$A,A793,RaceResults!$D:$D,E793))</f>
        <v>0</v>
      </c>
      <c r="G793">
        <f>IF(E793="","",SUMIFS(RaceResults!$E:$E,RaceResults!$A:$A,A793,RaceResults!$D:$D,E793))</f>
        <v>0</v>
      </c>
    </row>
    <row r="794" spans="1:7" x14ac:dyDescent="0.3">
      <c r="A794">
        <v>27</v>
      </c>
      <c r="B794" t="s">
        <v>59</v>
      </c>
      <c r="C794" t="s">
        <v>27</v>
      </c>
      <c r="D794">
        <v>1</v>
      </c>
      <c r="E794">
        <f>WeeklyPicks!D266</f>
        <v>0</v>
      </c>
      <c r="F794">
        <f>IF(E794="","",SUMIFS(RaceResults!$C:$C,RaceResults!$A:$A,A794,RaceResults!$D:$D,E794))</f>
        <v>0</v>
      </c>
      <c r="G794">
        <f>IF(E794="","",SUMIFS(RaceResults!$E:$E,RaceResults!$A:$A,A794,RaceResults!$D:$D,E794))</f>
        <v>0</v>
      </c>
    </row>
    <row r="795" spans="1:7" x14ac:dyDescent="0.3">
      <c r="A795">
        <v>27</v>
      </c>
      <c r="B795" t="s">
        <v>59</v>
      </c>
      <c r="C795" t="s">
        <v>27</v>
      </c>
      <c r="D795">
        <v>2</v>
      </c>
      <c r="E795">
        <f>WeeklyPicks!E266</f>
        <v>0</v>
      </c>
      <c r="F795">
        <f>IF(E795="","",SUMIFS(RaceResults!$C:$C,RaceResults!$A:$A,A795,RaceResults!$D:$D,E795))</f>
        <v>0</v>
      </c>
      <c r="G795">
        <f>IF(E795="","",SUMIFS(RaceResults!$E:$E,RaceResults!$A:$A,A795,RaceResults!$D:$D,E795))</f>
        <v>0</v>
      </c>
    </row>
    <row r="796" spans="1:7" x14ac:dyDescent="0.3">
      <c r="A796">
        <v>27</v>
      </c>
      <c r="B796" t="s">
        <v>59</v>
      </c>
      <c r="C796" t="s">
        <v>27</v>
      </c>
      <c r="D796">
        <v>3</v>
      </c>
      <c r="E796">
        <f>WeeklyPicks!F266</f>
        <v>0</v>
      </c>
      <c r="F796">
        <f>IF(E796="","",SUMIFS(RaceResults!$C:$C,RaceResults!$A:$A,A796,RaceResults!$D:$D,E796))</f>
        <v>0</v>
      </c>
      <c r="G796">
        <f>IF(E796="","",SUMIFS(RaceResults!$E:$E,RaceResults!$A:$A,A796,RaceResults!$D:$D,E796))</f>
        <v>0</v>
      </c>
    </row>
    <row r="797" spans="1:7" x14ac:dyDescent="0.3">
      <c r="A797">
        <v>27</v>
      </c>
      <c r="B797" t="s">
        <v>59</v>
      </c>
      <c r="C797" t="s">
        <v>28</v>
      </c>
      <c r="D797">
        <v>1</v>
      </c>
      <c r="E797">
        <f>WeeklyPicks!D267</f>
        <v>0</v>
      </c>
      <c r="F797">
        <f>IF(E797="","",SUMIFS(RaceResults!$C:$C,RaceResults!$A:$A,A797,RaceResults!$D:$D,E797))</f>
        <v>0</v>
      </c>
      <c r="G797">
        <f>IF(E797="","",SUMIFS(RaceResults!$E:$E,RaceResults!$A:$A,A797,RaceResults!$D:$D,E797))</f>
        <v>0</v>
      </c>
    </row>
    <row r="798" spans="1:7" x14ac:dyDescent="0.3">
      <c r="A798">
        <v>27</v>
      </c>
      <c r="B798" t="s">
        <v>59</v>
      </c>
      <c r="C798" t="s">
        <v>28</v>
      </c>
      <c r="D798">
        <v>2</v>
      </c>
      <c r="E798">
        <f>WeeklyPicks!E267</f>
        <v>0</v>
      </c>
      <c r="F798">
        <f>IF(E798="","",SUMIFS(RaceResults!$C:$C,RaceResults!$A:$A,A798,RaceResults!$D:$D,E798))</f>
        <v>0</v>
      </c>
      <c r="G798">
        <f>IF(E798="","",SUMIFS(RaceResults!$E:$E,RaceResults!$A:$A,A798,RaceResults!$D:$D,E798))</f>
        <v>0</v>
      </c>
    </row>
    <row r="799" spans="1:7" x14ac:dyDescent="0.3">
      <c r="A799">
        <v>27</v>
      </c>
      <c r="B799" t="s">
        <v>59</v>
      </c>
      <c r="C799" t="s">
        <v>28</v>
      </c>
      <c r="D799">
        <v>3</v>
      </c>
      <c r="E799">
        <f>WeeklyPicks!F267</f>
        <v>0</v>
      </c>
      <c r="F799">
        <f>IF(E799="","",SUMIFS(RaceResults!$C:$C,RaceResults!$A:$A,A799,RaceResults!$D:$D,E799))</f>
        <v>0</v>
      </c>
      <c r="G799">
        <f>IF(E799="","",SUMIFS(RaceResults!$E:$E,RaceResults!$A:$A,A799,RaceResults!$D:$D,E799))</f>
        <v>0</v>
      </c>
    </row>
    <row r="800" spans="1:7" x14ac:dyDescent="0.3">
      <c r="A800">
        <v>27</v>
      </c>
      <c r="B800" t="s">
        <v>59</v>
      </c>
      <c r="C800" t="s">
        <v>29</v>
      </c>
      <c r="D800">
        <v>1</v>
      </c>
      <c r="E800">
        <f>WeeklyPicks!D268</f>
        <v>0</v>
      </c>
      <c r="F800">
        <f>IF(E800="","",SUMIFS(RaceResults!$C:$C,RaceResults!$A:$A,A800,RaceResults!$D:$D,E800))</f>
        <v>0</v>
      </c>
      <c r="G800">
        <f>IF(E800="","",SUMIFS(RaceResults!$E:$E,RaceResults!$A:$A,A800,RaceResults!$D:$D,E800))</f>
        <v>0</v>
      </c>
    </row>
    <row r="801" spans="1:7" x14ac:dyDescent="0.3">
      <c r="A801">
        <v>27</v>
      </c>
      <c r="B801" t="s">
        <v>59</v>
      </c>
      <c r="C801" t="s">
        <v>29</v>
      </c>
      <c r="D801">
        <v>2</v>
      </c>
      <c r="E801">
        <f>WeeklyPicks!E268</f>
        <v>0</v>
      </c>
      <c r="F801">
        <f>IF(E801="","",SUMIFS(RaceResults!$C:$C,RaceResults!$A:$A,A801,RaceResults!$D:$D,E801))</f>
        <v>0</v>
      </c>
      <c r="G801">
        <f>IF(E801="","",SUMIFS(RaceResults!$E:$E,RaceResults!$A:$A,A801,RaceResults!$D:$D,E801))</f>
        <v>0</v>
      </c>
    </row>
    <row r="802" spans="1:7" x14ac:dyDescent="0.3">
      <c r="A802">
        <v>27</v>
      </c>
      <c r="B802" t="s">
        <v>59</v>
      </c>
      <c r="C802" t="s">
        <v>29</v>
      </c>
      <c r="D802">
        <v>3</v>
      </c>
      <c r="E802">
        <f>WeeklyPicks!F268</f>
        <v>0</v>
      </c>
      <c r="F802">
        <f>IF(E802="","",SUMIFS(RaceResults!$C:$C,RaceResults!$A:$A,A802,RaceResults!$D:$D,E802))</f>
        <v>0</v>
      </c>
      <c r="G802">
        <f>IF(E802="","",SUMIFS(RaceResults!$E:$E,RaceResults!$A:$A,A802,RaceResults!$D:$D,E802))</f>
        <v>0</v>
      </c>
    </row>
    <row r="803" spans="1:7" x14ac:dyDescent="0.3">
      <c r="A803">
        <v>27</v>
      </c>
      <c r="B803" t="s">
        <v>59</v>
      </c>
      <c r="C803" t="s">
        <v>30</v>
      </c>
      <c r="D803">
        <v>1</v>
      </c>
      <c r="E803">
        <f>WeeklyPicks!D269</f>
        <v>0</v>
      </c>
      <c r="F803">
        <f>IF(E803="","",SUMIFS(RaceResults!$C:$C,RaceResults!$A:$A,A803,RaceResults!$D:$D,E803))</f>
        <v>0</v>
      </c>
      <c r="G803">
        <f>IF(E803="","",SUMIFS(RaceResults!$E:$E,RaceResults!$A:$A,A803,RaceResults!$D:$D,E803))</f>
        <v>0</v>
      </c>
    </row>
    <row r="804" spans="1:7" x14ac:dyDescent="0.3">
      <c r="A804">
        <v>27</v>
      </c>
      <c r="B804" t="s">
        <v>59</v>
      </c>
      <c r="C804" t="s">
        <v>30</v>
      </c>
      <c r="D804">
        <v>2</v>
      </c>
      <c r="E804">
        <f>WeeklyPicks!E269</f>
        <v>0</v>
      </c>
      <c r="F804">
        <f>IF(E804="","",SUMIFS(RaceResults!$C:$C,RaceResults!$A:$A,A804,RaceResults!$D:$D,E804))</f>
        <v>0</v>
      </c>
      <c r="G804">
        <f>IF(E804="","",SUMIFS(RaceResults!$E:$E,RaceResults!$A:$A,A804,RaceResults!$D:$D,E804))</f>
        <v>0</v>
      </c>
    </row>
    <row r="805" spans="1:7" x14ac:dyDescent="0.3">
      <c r="A805">
        <v>27</v>
      </c>
      <c r="B805" t="s">
        <v>59</v>
      </c>
      <c r="C805" t="s">
        <v>30</v>
      </c>
      <c r="D805">
        <v>3</v>
      </c>
      <c r="E805">
        <f>WeeklyPicks!F269</f>
        <v>0</v>
      </c>
      <c r="F805">
        <f>IF(E805="","",SUMIFS(RaceResults!$C:$C,RaceResults!$A:$A,A805,RaceResults!$D:$D,E805))</f>
        <v>0</v>
      </c>
      <c r="G805">
        <f>IF(E805="","",SUMIFS(RaceResults!$E:$E,RaceResults!$A:$A,A805,RaceResults!$D:$D,E805))</f>
        <v>0</v>
      </c>
    </row>
    <row r="806" spans="1:7" x14ac:dyDescent="0.3">
      <c r="A806">
        <v>27</v>
      </c>
      <c r="B806" t="s">
        <v>59</v>
      </c>
      <c r="C806" t="s">
        <v>31</v>
      </c>
      <c r="D806">
        <v>1</v>
      </c>
      <c r="E806">
        <f>WeeklyPicks!D270</f>
        <v>0</v>
      </c>
      <c r="F806">
        <f>IF(E806="","",SUMIFS(RaceResults!$C:$C,RaceResults!$A:$A,A806,RaceResults!$D:$D,E806))</f>
        <v>0</v>
      </c>
      <c r="G806">
        <f>IF(E806="","",SUMIFS(RaceResults!$E:$E,RaceResults!$A:$A,A806,RaceResults!$D:$D,E806))</f>
        <v>0</v>
      </c>
    </row>
    <row r="807" spans="1:7" x14ac:dyDescent="0.3">
      <c r="A807">
        <v>27</v>
      </c>
      <c r="B807" t="s">
        <v>59</v>
      </c>
      <c r="C807" t="s">
        <v>31</v>
      </c>
      <c r="D807">
        <v>2</v>
      </c>
      <c r="E807">
        <f>WeeklyPicks!E270</f>
        <v>0</v>
      </c>
      <c r="F807">
        <f>IF(E807="","",SUMIFS(RaceResults!$C:$C,RaceResults!$A:$A,A807,RaceResults!$D:$D,E807))</f>
        <v>0</v>
      </c>
      <c r="G807">
        <f>IF(E807="","",SUMIFS(RaceResults!$E:$E,RaceResults!$A:$A,A807,RaceResults!$D:$D,E807))</f>
        <v>0</v>
      </c>
    </row>
    <row r="808" spans="1:7" x14ac:dyDescent="0.3">
      <c r="A808">
        <v>27</v>
      </c>
      <c r="B808" t="s">
        <v>59</v>
      </c>
      <c r="C808" t="s">
        <v>31</v>
      </c>
      <c r="D808">
        <v>3</v>
      </c>
      <c r="E808">
        <f>WeeklyPicks!F270</f>
        <v>0</v>
      </c>
      <c r="F808">
        <f>IF(E808="","",SUMIFS(RaceResults!$C:$C,RaceResults!$A:$A,A808,RaceResults!$D:$D,E808))</f>
        <v>0</v>
      </c>
      <c r="G808">
        <f>IF(E808="","",SUMIFS(RaceResults!$E:$E,RaceResults!$A:$A,A808,RaceResults!$D:$D,E808))</f>
        <v>0</v>
      </c>
    </row>
    <row r="809" spans="1:7" x14ac:dyDescent="0.3">
      <c r="A809">
        <v>27</v>
      </c>
      <c r="B809" t="s">
        <v>59</v>
      </c>
      <c r="C809" t="s">
        <v>32</v>
      </c>
      <c r="D809">
        <v>1</v>
      </c>
      <c r="E809">
        <f>WeeklyPicks!D271</f>
        <v>0</v>
      </c>
      <c r="F809">
        <f>IF(E809="","",SUMIFS(RaceResults!$C:$C,RaceResults!$A:$A,A809,RaceResults!$D:$D,E809))</f>
        <v>0</v>
      </c>
      <c r="G809">
        <f>IF(E809="","",SUMIFS(RaceResults!$E:$E,RaceResults!$A:$A,A809,RaceResults!$D:$D,E809))</f>
        <v>0</v>
      </c>
    </row>
    <row r="810" spans="1:7" x14ac:dyDescent="0.3">
      <c r="A810">
        <v>27</v>
      </c>
      <c r="B810" t="s">
        <v>59</v>
      </c>
      <c r="C810" t="s">
        <v>32</v>
      </c>
      <c r="D810">
        <v>2</v>
      </c>
      <c r="E810">
        <f>WeeklyPicks!E271</f>
        <v>0</v>
      </c>
      <c r="F810">
        <f>IF(E810="","",SUMIFS(RaceResults!$C:$C,RaceResults!$A:$A,A810,RaceResults!$D:$D,E810))</f>
        <v>0</v>
      </c>
      <c r="G810">
        <f>IF(E810="","",SUMIFS(RaceResults!$E:$E,RaceResults!$A:$A,A810,RaceResults!$D:$D,E810))</f>
        <v>0</v>
      </c>
    </row>
    <row r="811" spans="1:7" x14ac:dyDescent="0.3">
      <c r="A811">
        <v>27</v>
      </c>
      <c r="B811" t="s">
        <v>59</v>
      </c>
      <c r="C811" t="s">
        <v>32</v>
      </c>
      <c r="D811">
        <v>3</v>
      </c>
      <c r="E811">
        <f>WeeklyPicks!F271</f>
        <v>0</v>
      </c>
      <c r="F811">
        <f>IF(E811="","",SUMIFS(RaceResults!$C:$C,RaceResults!$A:$A,A811,RaceResults!$D:$D,E811))</f>
        <v>0</v>
      </c>
      <c r="G811">
        <f>IF(E811="","",SUMIFS(RaceResults!$E:$E,RaceResults!$A:$A,A811,RaceResults!$D:$D,E811))</f>
        <v>0</v>
      </c>
    </row>
    <row r="812" spans="1:7" x14ac:dyDescent="0.3">
      <c r="A812">
        <v>28</v>
      </c>
      <c r="B812" t="s">
        <v>106</v>
      </c>
      <c r="C812" t="s">
        <v>21</v>
      </c>
      <c r="D812">
        <v>1</v>
      </c>
      <c r="E812">
        <f>WeeklyPicks!D272</f>
        <v>0</v>
      </c>
      <c r="F812">
        <f>IF(E812="","",SUMIFS(RaceResults!$C:$C,RaceResults!$A:$A,A812,RaceResults!$D:$D,E812))</f>
        <v>0</v>
      </c>
      <c r="G812">
        <f>IF(E812="","",SUMIFS(RaceResults!$E:$E,RaceResults!$A:$A,A812,RaceResults!$D:$D,E812))</f>
        <v>0</v>
      </c>
    </row>
    <row r="813" spans="1:7" x14ac:dyDescent="0.3">
      <c r="A813">
        <v>28</v>
      </c>
      <c r="B813" t="s">
        <v>106</v>
      </c>
      <c r="C813" t="s">
        <v>21</v>
      </c>
      <c r="D813">
        <v>2</v>
      </c>
      <c r="E813">
        <f>WeeklyPicks!E272</f>
        <v>0</v>
      </c>
      <c r="F813">
        <f>IF(E813="","",SUMIFS(RaceResults!$C:$C,RaceResults!$A:$A,A813,RaceResults!$D:$D,E813))</f>
        <v>0</v>
      </c>
      <c r="G813">
        <f>IF(E813="","",SUMIFS(RaceResults!$E:$E,RaceResults!$A:$A,A813,RaceResults!$D:$D,E813))</f>
        <v>0</v>
      </c>
    </row>
    <row r="814" spans="1:7" x14ac:dyDescent="0.3">
      <c r="A814">
        <v>28</v>
      </c>
      <c r="B814" t="s">
        <v>106</v>
      </c>
      <c r="C814" t="s">
        <v>21</v>
      </c>
      <c r="D814">
        <v>3</v>
      </c>
      <c r="E814">
        <f>WeeklyPicks!F272</f>
        <v>0</v>
      </c>
      <c r="F814">
        <f>IF(E814="","",SUMIFS(RaceResults!$C:$C,RaceResults!$A:$A,A814,RaceResults!$D:$D,E814))</f>
        <v>0</v>
      </c>
      <c r="G814">
        <f>IF(E814="","",SUMIFS(RaceResults!$E:$E,RaceResults!$A:$A,A814,RaceResults!$D:$D,E814))</f>
        <v>0</v>
      </c>
    </row>
    <row r="815" spans="1:7" x14ac:dyDescent="0.3">
      <c r="A815">
        <v>28</v>
      </c>
      <c r="B815" t="s">
        <v>106</v>
      </c>
      <c r="C815" t="s">
        <v>22</v>
      </c>
      <c r="D815">
        <v>1</v>
      </c>
      <c r="E815">
        <f>WeeklyPicks!D273</f>
        <v>0</v>
      </c>
      <c r="F815">
        <f>IF(E815="","",SUMIFS(RaceResults!$C:$C,RaceResults!$A:$A,A815,RaceResults!$D:$D,E815))</f>
        <v>0</v>
      </c>
      <c r="G815">
        <f>IF(E815="","",SUMIFS(RaceResults!$E:$E,RaceResults!$A:$A,A815,RaceResults!$D:$D,E815))</f>
        <v>0</v>
      </c>
    </row>
    <row r="816" spans="1:7" x14ac:dyDescent="0.3">
      <c r="A816">
        <v>28</v>
      </c>
      <c r="B816" t="s">
        <v>106</v>
      </c>
      <c r="C816" t="s">
        <v>22</v>
      </c>
      <c r="D816">
        <v>2</v>
      </c>
      <c r="E816">
        <f>WeeklyPicks!E273</f>
        <v>0</v>
      </c>
      <c r="F816">
        <f>IF(E816="","",SUMIFS(RaceResults!$C:$C,RaceResults!$A:$A,A816,RaceResults!$D:$D,E816))</f>
        <v>0</v>
      </c>
      <c r="G816">
        <f>IF(E816="","",SUMIFS(RaceResults!$E:$E,RaceResults!$A:$A,A816,RaceResults!$D:$D,E816))</f>
        <v>0</v>
      </c>
    </row>
    <row r="817" spans="1:7" x14ac:dyDescent="0.3">
      <c r="A817">
        <v>28</v>
      </c>
      <c r="B817" t="s">
        <v>106</v>
      </c>
      <c r="C817" t="s">
        <v>22</v>
      </c>
      <c r="D817">
        <v>3</v>
      </c>
      <c r="E817">
        <f>WeeklyPicks!F273</f>
        <v>0</v>
      </c>
      <c r="F817">
        <f>IF(E817="","",SUMIFS(RaceResults!$C:$C,RaceResults!$A:$A,A817,RaceResults!$D:$D,E817))</f>
        <v>0</v>
      </c>
      <c r="G817">
        <f>IF(E817="","",SUMIFS(RaceResults!$E:$E,RaceResults!$A:$A,A817,RaceResults!$D:$D,E817))</f>
        <v>0</v>
      </c>
    </row>
    <row r="818" spans="1:7" x14ac:dyDescent="0.3">
      <c r="A818">
        <v>28</v>
      </c>
      <c r="B818" t="s">
        <v>106</v>
      </c>
      <c r="C818" t="s">
        <v>25</v>
      </c>
      <c r="D818">
        <v>1</v>
      </c>
      <c r="E818">
        <f>WeeklyPicks!D274</f>
        <v>0</v>
      </c>
      <c r="F818">
        <f>IF(E818="","",SUMIFS(RaceResults!$C:$C,RaceResults!$A:$A,A818,RaceResults!$D:$D,E818))</f>
        <v>0</v>
      </c>
      <c r="G818">
        <f>IF(E818="","",SUMIFS(RaceResults!$E:$E,RaceResults!$A:$A,A818,RaceResults!$D:$D,E818))</f>
        <v>0</v>
      </c>
    </row>
    <row r="819" spans="1:7" x14ac:dyDescent="0.3">
      <c r="A819">
        <v>28</v>
      </c>
      <c r="B819" t="s">
        <v>106</v>
      </c>
      <c r="C819" t="s">
        <v>25</v>
      </c>
      <c r="D819">
        <v>2</v>
      </c>
      <c r="E819">
        <f>WeeklyPicks!E274</f>
        <v>0</v>
      </c>
      <c r="F819">
        <f>IF(E819="","",SUMIFS(RaceResults!$C:$C,RaceResults!$A:$A,A819,RaceResults!$D:$D,E819))</f>
        <v>0</v>
      </c>
      <c r="G819">
        <f>IF(E819="","",SUMIFS(RaceResults!$E:$E,RaceResults!$A:$A,A819,RaceResults!$D:$D,E819))</f>
        <v>0</v>
      </c>
    </row>
    <row r="820" spans="1:7" x14ac:dyDescent="0.3">
      <c r="A820">
        <v>28</v>
      </c>
      <c r="B820" t="s">
        <v>106</v>
      </c>
      <c r="C820" t="s">
        <v>25</v>
      </c>
      <c r="D820">
        <v>3</v>
      </c>
      <c r="E820">
        <f>WeeklyPicks!F274</f>
        <v>0</v>
      </c>
      <c r="F820">
        <f>IF(E820="","",SUMIFS(RaceResults!$C:$C,RaceResults!$A:$A,A820,RaceResults!$D:$D,E820))</f>
        <v>0</v>
      </c>
      <c r="G820">
        <f>IF(E820="","",SUMIFS(RaceResults!$E:$E,RaceResults!$A:$A,A820,RaceResults!$D:$D,E820))</f>
        <v>0</v>
      </c>
    </row>
    <row r="821" spans="1:7" x14ac:dyDescent="0.3">
      <c r="A821">
        <v>28</v>
      </c>
      <c r="B821" t="s">
        <v>106</v>
      </c>
      <c r="C821" t="s">
        <v>26</v>
      </c>
      <c r="D821">
        <v>1</v>
      </c>
      <c r="E821">
        <f>WeeklyPicks!D275</f>
        <v>0</v>
      </c>
      <c r="F821">
        <f>IF(E821="","",SUMIFS(RaceResults!$C:$C,RaceResults!$A:$A,A821,RaceResults!$D:$D,E821))</f>
        <v>0</v>
      </c>
      <c r="G821">
        <f>IF(E821="","",SUMIFS(RaceResults!$E:$E,RaceResults!$A:$A,A821,RaceResults!$D:$D,E821))</f>
        <v>0</v>
      </c>
    </row>
    <row r="822" spans="1:7" x14ac:dyDescent="0.3">
      <c r="A822">
        <v>28</v>
      </c>
      <c r="B822" t="s">
        <v>106</v>
      </c>
      <c r="C822" t="s">
        <v>26</v>
      </c>
      <c r="D822">
        <v>2</v>
      </c>
      <c r="E822">
        <f>WeeklyPicks!E275</f>
        <v>0</v>
      </c>
      <c r="F822">
        <f>IF(E822="","",SUMIFS(RaceResults!$C:$C,RaceResults!$A:$A,A822,RaceResults!$D:$D,E822))</f>
        <v>0</v>
      </c>
      <c r="G822">
        <f>IF(E822="","",SUMIFS(RaceResults!$E:$E,RaceResults!$A:$A,A822,RaceResults!$D:$D,E822))</f>
        <v>0</v>
      </c>
    </row>
    <row r="823" spans="1:7" x14ac:dyDescent="0.3">
      <c r="A823">
        <v>28</v>
      </c>
      <c r="B823" t="s">
        <v>106</v>
      </c>
      <c r="C823" t="s">
        <v>26</v>
      </c>
      <c r="D823">
        <v>3</v>
      </c>
      <c r="E823">
        <f>WeeklyPicks!F275</f>
        <v>0</v>
      </c>
      <c r="F823">
        <f>IF(E823="","",SUMIFS(RaceResults!$C:$C,RaceResults!$A:$A,A823,RaceResults!$D:$D,E823))</f>
        <v>0</v>
      </c>
      <c r="G823">
        <f>IF(E823="","",SUMIFS(RaceResults!$E:$E,RaceResults!$A:$A,A823,RaceResults!$D:$D,E823))</f>
        <v>0</v>
      </c>
    </row>
    <row r="824" spans="1:7" x14ac:dyDescent="0.3">
      <c r="A824">
        <v>28</v>
      </c>
      <c r="B824" t="s">
        <v>106</v>
      </c>
      <c r="C824" t="s">
        <v>27</v>
      </c>
      <c r="D824">
        <v>1</v>
      </c>
      <c r="E824">
        <f>WeeklyPicks!D276</f>
        <v>0</v>
      </c>
      <c r="F824">
        <f>IF(E824="","",SUMIFS(RaceResults!$C:$C,RaceResults!$A:$A,A824,RaceResults!$D:$D,E824))</f>
        <v>0</v>
      </c>
      <c r="G824">
        <f>IF(E824="","",SUMIFS(RaceResults!$E:$E,RaceResults!$A:$A,A824,RaceResults!$D:$D,E824))</f>
        <v>0</v>
      </c>
    </row>
    <row r="825" spans="1:7" x14ac:dyDescent="0.3">
      <c r="A825">
        <v>28</v>
      </c>
      <c r="B825" t="s">
        <v>106</v>
      </c>
      <c r="C825" t="s">
        <v>27</v>
      </c>
      <c r="D825">
        <v>2</v>
      </c>
      <c r="E825">
        <f>WeeklyPicks!E276</f>
        <v>0</v>
      </c>
      <c r="F825">
        <f>IF(E825="","",SUMIFS(RaceResults!$C:$C,RaceResults!$A:$A,A825,RaceResults!$D:$D,E825))</f>
        <v>0</v>
      </c>
      <c r="G825">
        <f>IF(E825="","",SUMIFS(RaceResults!$E:$E,RaceResults!$A:$A,A825,RaceResults!$D:$D,E825))</f>
        <v>0</v>
      </c>
    </row>
    <row r="826" spans="1:7" x14ac:dyDescent="0.3">
      <c r="A826">
        <v>28</v>
      </c>
      <c r="B826" t="s">
        <v>106</v>
      </c>
      <c r="C826" t="s">
        <v>27</v>
      </c>
      <c r="D826">
        <v>3</v>
      </c>
      <c r="E826">
        <f>WeeklyPicks!F276</f>
        <v>0</v>
      </c>
      <c r="F826">
        <f>IF(E826="","",SUMIFS(RaceResults!$C:$C,RaceResults!$A:$A,A826,RaceResults!$D:$D,E826))</f>
        <v>0</v>
      </c>
      <c r="G826">
        <f>IF(E826="","",SUMIFS(RaceResults!$E:$E,RaceResults!$A:$A,A826,RaceResults!$D:$D,E826))</f>
        <v>0</v>
      </c>
    </row>
    <row r="827" spans="1:7" x14ac:dyDescent="0.3">
      <c r="A827">
        <v>28</v>
      </c>
      <c r="B827" t="s">
        <v>106</v>
      </c>
      <c r="C827" t="s">
        <v>28</v>
      </c>
      <c r="D827">
        <v>1</v>
      </c>
      <c r="E827">
        <f>WeeklyPicks!D277</f>
        <v>0</v>
      </c>
      <c r="F827">
        <f>IF(E827="","",SUMIFS(RaceResults!$C:$C,RaceResults!$A:$A,A827,RaceResults!$D:$D,E827))</f>
        <v>0</v>
      </c>
      <c r="G827">
        <f>IF(E827="","",SUMIFS(RaceResults!$E:$E,RaceResults!$A:$A,A827,RaceResults!$D:$D,E827))</f>
        <v>0</v>
      </c>
    </row>
    <row r="828" spans="1:7" x14ac:dyDescent="0.3">
      <c r="A828">
        <v>28</v>
      </c>
      <c r="B828" t="s">
        <v>106</v>
      </c>
      <c r="C828" t="s">
        <v>28</v>
      </c>
      <c r="D828">
        <v>2</v>
      </c>
      <c r="E828">
        <f>WeeklyPicks!E277</f>
        <v>0</v>
      </c>
      <c r="F828">
        <f>IF(E828="","",SUMIFS(RaceResults!$C:$C,RaceResults!$A:$A,A828,RaceResults!$D:$D,E828))</f>
        <v>0</v>
      </c>
      <c r="G828">
        <f>IF(E828="","",SUMIFS(RaceResults!$E:$E,RaceResults!$A:$A,A828,RaceResults!$D:$D,E828))</f>
        <v>0</v>
      </c>
    </row>
    <row r="829" spans="1:7" x14ac:dyDescent="0.3">
      <c r="A829">
        <v>28</v>
      </c>
      <c r="B829" t="s">
        <v>106</v>
      </c>
      <c r="C829" t="s">
        <v>28</v>
      </c>
      <c r="D829">
        <v>3</v>
      </c>
      <c r="E829">
        <f>WeeklyPicks!F277</f>
        <v>0</v>
      </c>
      <c r="F829">
        <f>IF(E829="","",SUMIFS(RaceResults!$C:$C,RaceResults!$A:$A,A829,RaceResults!$D:$D,E829))</f>
        <v>0</v>
      </c>
      <c r="G829">
        <f>IF(E829="","",SUMIFS(RaceResults!$E:$E,RaceResults!$A:$A,A829,RaceResults!$D:$D,E829))</f>
        <v>0</v>
      </c>
    </row>
    <row r="830" spans="1:7" x14ac:dyDescent="0.3">
      <c r="A830">
        <v>28</v>
      </c>
      <c r="B830" t="s">
        <v>106</v>
      </c>
      <c r="C830" t="s">
        <v>29</v>
      </c>
      <c r="D830">
        <v>1</v>
      </c>
      <c r="E830">
        <f>WeeklyPicks!D278</f>
        <v>0</v>
      </c>
      <c r="F830">
        <f>IF(E830="","",SUMIFS(RaceResults!$C:$C,RaceResults!$A:$A,A830,RaceResults!$D:$D,E830))</f>
        <v>0</v>
      </c>
      <c r="G830">
        <f>IF(E830="","",SUMIFS(RaceResults!$E:$E,RaceResults!$A:$A,A830,RaceResults!$D:$D,E830))</f>
        <v>0</v>
      </c>
    </row>
    <row r="831" spans="1:7" x14ac:dyDescent="0.3">
      <c r="A831">
        <v>28</v>
      </c>
      <c r="B831" t="s">
        <v>106</v>
      </c>
      <c r="C831" t="s">
        <v>29</v>
      </c>
      <c r="D831">
        <v>2</v>
      </c>
      <c r="E831">
        <f>WeeklyPicks!E278</f>
        <v>0</v>
      </c>
      <c r="F831">
        <f>IF(E831="","",SUMIFS(RaceResults!$C:$C,RaceResults!$A:$A,A831,RaceResults!$D:$D,E831))</f>
        <v>0</v>
      </c>
      <c r="G831">
        <f>IF(E831="","",SUMIFS(RaceResults!$E:$E,RaceResults!$A:$A,A831,RaceResults!$D:$D,E831))</f>
        <v>0</v>
      </c>
    </row>
    <row r="832" spans="1:7" x14ac:dyDescent="0.3">
      <c r="A832">
        <v>28</v>
      </c>
      <c r="B832" t="s">
        <v>106</v>
      </c>
      <c r="C832" t="s">
        <v>29</v>
      </c>
      <c r="D832">
        <v>3</v>
      </c>
      <c r="E832">
        <f>WeeklyPicks!F278</f>
        <v>0</v>
      </c>
      <c r="F832">
        <f>IF(E832="","",SUMIFS(RaceResults!$C:$C,RaceResults!$A:$A,A832,RaceResults!$D:$D,E832))</f>
        <v>0</v>
      </c>
      <c r="G832">
        <f>IF(E832="","",SUMIFS(RaceResults!$E:$E,RaceResults!$A:$A,A832,RaceResults!$D:$D,E832))</f>
        <v>0</v>
      </c>
    </row>
    <row r="833" spans="1:7" x14ac:dyDescent="0.3">
      <c r="A833">
        <v>28</v>
      </c>
      <c r="B833" t="s">
        <v>106</v>
      </c>
      <c r="C833" t="s">
        <v>30</v>
      </c>
      <c r="D833">
        <v>1</v>
      </c>
      <c r="E833">
        <f>WeeklyPicks!D279</f>
        <v>0</v>
      </c>
      <c r="F833">
        <f>IF(E833="","",SUMIFS(RaceResults!$C:$C,RaceResults!$A:$A,A833,RaceResults!$D:$D,E833))</f>
        <v>0</v>
      </c>
      <c r="G833">
        <f>IF(E833="","",SUMIFS(RaceResults!$E:$E,RaceResults!$A:$A,A833,RaceResults!$D:$D,E833))</f>
        <v>0</v>
      </c>
    </row>
    <row r="834" spans="1:7" x14ac:dyDescent="0.3">
      <c r="A834">
        <v>28</v>
      </c>
      <c r="B834" t="s">
        <v>106</v>
      </c>
      <c r="C834" t="s">
        <v>30</v>
      </c>
      <c r="D834">
        <v>2</v>
      </c>
      <c r="E834">
        <f>WeeklyPicks!E279</f>
        <v>0</v>
      </c>
      <c r="F834">
        <f>IF(E834="","",SUMIFS(RaceResults!$C:$C,RaceResults!$A:$A,A834,RaceResults!$D:$D,E834))</f>
        <v>0</v>
      </c>
      <c r="G834">
        <f>IF(E834="","",SUMIFS(RaceResults!$E:$E,RaceResults!$A:$A,A834,RaceResults!$D:$D,E834))</f>
        <v>0</v>
      </c>
    </row>
    <row r="835" spans="1:7" x14ac:dyDescent="0.3">
      <c r="A835">
        <v>28</v>
      </c>
      <c r="B835" t="s">
        <v>106</v>
      </c>
      <c r="C835" t="s">
        <v>30</v>
      </c>
      <c r="D835">
        <v>3</v>
      </c>
      <c r="E835">
        <f>WeeklyPicks!F279</f>
        <v>0</v>
      </c>
      <c r="F835">
        <f>IF(E835="","",SUMIFS(RaceResults!$C:$C,RaceResults!$A:$A,A835,RaceResults!$D:$D,E835))</f>
        <v>0</v>
      </c>
      <c r="G835">
        <f>IF(E835="","",SUMIFS(RaceResults!$E:$E,RaceResults!$A:$A,A835,RaceResults!$D:$D,E835))</f>
        <v>0</v>
      </c>
    </row>
    <row r="836" spans="1:7" x14ac:dyDescent="0.3">
      <c r="A836">
        <v>28</v>
      </c>
      <c r="B836" t="s">
        <v>106</v>
      </c>
      <c r="C836" t="s">
        <v>31</v>
      </c>
      <c r="D836">
        <v>1</v>
      </c>
      <c r="E836">
        <f>WeeklyPicks!D280</f>
        <v>0</v>
      </c>
      <c r="F836">
        <f>IF(E836="","",SUMIFS(RaceResults!$C:$C,RaceResults!$A:$A,A836,RaceResults!$D:$D,E836))</f>
        <v>0</v>
      </c>
      <c r="G836">
        <f>IF(E836="","",SUMIFS(RaceResults!$E:$E,RaceResults!$A:$A,A836,RaceResults!$D:$D,E836))</f>
        <v>0</v>
      </c>
    </row>
    <row r="837" spans="1:7" x14ac:dyDescent="0.3">
      <c r="A837">
        <v>28</v>
      </c>
      <c r="B837" t="s">
        <v>106</v>
      </c>
      <c r="C837" t="s">
        <v>31</v>
      </c>
      <c r="D837">
        <v>2</v>
      </c>
      <c r="E837">
        <f>WeeklyPicks!E280</f>
        <v>0</v>
      </c>
      <c r="F837">
        <f>IF(E837="","",SUMIFS(RaceResults!$C:$C,RaceResults!$A:$A,A837,RaceResults!$D:$D,E837))</f>
        <v>0</v>
      </c>
      <c r="G837">
        <f>IF(E837="","",SUMIFS(RaceResults!$E:$E,RaceResults!$A:$A,A837,RaceResults!$D:$D,E837))</f>
        <v>0</v>
      </c>
    </row>
    <row r="838" spans="1:7" x14ac:dyDescent="0.3">
      <c r="A838">
        <v>28</v>
      </c>
      <c r="B838" t="s">
        <v>106</v>
      </c>
      <c r="C838" t="s">
        <v>31</v>
      </c>
      <c r="D838">
        <v>3</v>
      </c>
      <c r="E838">
        <f>WeeklyPicks!F280</f>
        <v>0</v>
      </c>
      <c r="F838">
        <f>IF(E838="","",SUMIFS(RaceResults!$C:$C,RaceResults!$A:$A,A838,RaceResults!$D:$D,E838))</f>
        <v>0</v>
      </c>
      <c r="G838">
        <f>IF(E838="","",SUMIFS(RaceResults!$E:$E,RaceResults!$A:$A,A838,RaceResults!$D:$D,E838))</f>
        <v>0</v>
      </c>
    </row>
    <row r="839" spans="1:7" x14ac:dyDescent="0.3">
      <c r="A839">
        <v>28</v>
      </c>
      <c r="B839" t="s">
        <v>106</v>
      </c>
      <c r="C839" t="s">
        <v>32</v>
      </c>
      <c r="D839">
        <v>1</v>
      </c>
      <c r="E839">
        <f>WeeklyPicks!D281</f>
        <v>0</v>
      </c>
      <c r="F839">
        <f>IF(E839="","",SUMIFS(RaceResults!$C:$C,RaceResults!$A:$A,A839,RaceResults!$D:$D,E839))</f>
        <v>0</v>
      </c>
      <c r="G839">
        <f>IF(E839="","",SUMIFS(RaceResults!$E:$E,RaceResults!$A:$A,A839,RaceResults!$D:$D,E839))</f>
        <v>0</v>
      </c>
    </row>
    <row r="840" spans="1:7" x14ac:dyDescent="0.3">
      <c r="A840">
        <v>28</v>
      </c>
      <c r="B840" t="s">
        <v>106</v>
      </c>
      <c r="C840" t="s">
        <v>32</v>
      </c>
      <c r="D840">
        <v>2</v>
      </c>
      <c r="E840">
        <f>WeeklyPicks!E281</f>
        <v>0</v>
      </c>
      <c r="F840">
        <f>IF(E840="","",SUMIFS(RaceResults!$C:$C,RaceResults!$A:$A,A840,RaceResults!$D:$D,E840))</f>
        <v>0</v>
      </c>
      <c r="G840">
        <f>IF(E840="","",SUMIFS(RaceResults!$E:$E,RaceResults!$A:$A,A840,RaceResults!$D:$D,E840))</f>
        <v>0</v>
      </c>
    </row>
    <row r="841" spans="1:7" x14ac:dyDescent="0.3">
      <c r="A841">
        <v>28</v>
      </c>
      <c r="B841" t="s">
        <v>106</v>
      </c>
      <c r="C841" t="s">
        <v>32</v>
      </c>
      <c r="D841">
        <v>3</v>
      </c>
      <c r="E841">
        <f>WeeklyPicks!F281</f>
        <v>0</v>
      </c>
      <c r="F841">
        <f>IF(E841="","",SUMIFS(RaceResults!$C:$C,RaceResults!$A:$A,A841,RaceResults!$D:$D,E841))</f>
        <v>0</v>
      </c>
      <c r="G841">
        <f>IF(E841="","",SUMIFS(RaceResults!$E:$E,RaceResults!$A:$A,A841,RaceResults!$D:$D,E841))</f>
        <v>0</v>
      </c>
    </row>
    <row r="842" spans="1:7" x14ac:dyDescent="0.3">
      <c r="A842">
        <v>29</v>
      </c>
      <c r="B842" t="s">
        <v>63</v>
      </c>
      <c r="C842" t="s">
        <v>21</v>
      </c>
      <c r="D842">
        <v>1</v>
      </c>
      <c r="E842">
        <f>WeeklyPicks!D282</f>
        <v>0</v>
      </c>
      <c r="F842">
        <f>IF(E842="","",SUMIFS(RaceResults!$C:$C,RaceResults!$A:$A,A842,RaceResults!$D:$D,E842))</f>
        <v>0</v>
      </c>
      <c r="G842">
        <f>IF(E842="","",SUMIFS(RaceResults!$E:$E,RaceResults!$A:$A,A842,RaceResults!$D:$D,E842))</f>
        <v>0</v>
      </c>
    </row>
    <row r="843" spans="1:7" x14ac:dyDescent="0.3">
      <c r="A843">
        <v>29</v>
      </c>
      <c r="B843" t="s">
        <v>63</v>
      </c>
      <c r="C843" t="s">
        <v>21</v>
      </c>
      <c r="D843">
        <v>2</v>
      </c>
      <c r="E843">
        <f>WeeklyPicks!E282</f>
        <v>0</v>
      </c>
      <c r="F843">
        <f>IF(E843="","",SUMIFS(RaceResults!$C:$C,RaceResults!$A:$A,A843,RaceResults!$D:$D,E843))</f>
        <v>0</v>
      </c>
      <c r="G843">
        <f>IF(E843="","",SUMIFS(RaceResults!$E:$E,RaceResults!$A:$A,A843,RaceResults!$D:$D,E843))</f>
        <v>0</v>
      </c>
    </row>
    <row r="844" spans="1:7" x14ac:dyDescent="0.3">
      <c r="A844">
        <v>29</v>
      </c>
      <c r="B844" t="s">
        <v>63</v>
      </c>
      <c r="C844" t="s">
        <v>21</v>
      </c>
      <c r="D844">
        <v>3</v>
      </c>
      <c r="E844">
        <f>WeeklyPicks!F282</f>
        <v>0</v>
      </c>
      <c r="F844">
        <f>IF(E844="","",SUMIFS(RaceResults!$C:$C,RaceResults!$A:$A,A844,RaceResults!$D:$D,E844))</f>
        <v>0</v>
      </c>
      <c r="G844">
        <f>IF(E844="","",SUMIFS(RaceResults!$E:$E,RaceResults!$A:$A,A844,RaceResults!$D:$D,E844))</f>
        <v>0</v>
      </c>
    </row>
    <row r="845" spans="1:7" x14ac:dyDescent="0.3">
      <c r="A845">
        <v>29</v>
      </c>
      <c r="B845" t="s">
        <v>63</v>
      </c>
      <c r="C845" t="s">
        <v>22</v>
      </c>
      <c r="D845">
        <v>1</v>
      </c>
      <c r="E845">
        <f>WeeklyPicks!D283</f>
        <v>0</v>
      </c>
      <c r="F845">
        <f>IF(E845="","",SUMIFS(RaceResults!$C:$C,RaceResults!$A:$A,A845,RaceResults!$D:$D,E845))</f>
        <v>0</v>
      </c>
      <c r="G845">
        <f>IF(E845="","",SUMIFS(RaceResults!$E:$E,RaceResults!$A:$A,A845,RaceResults!$D:$D,E845))</f>
        <v>0</v>
      </c>
    </row>
    <row r="846" spans="1:7" x14ac:dyDescent="0.3">
      <c r="A846">
        <v>29</v>
      </c>
      <c r="B846" t="s">
        <v>63</v>
      </c>
      <c r="C846" t="s">
        <v>22</v>
      </c>
      <c r="D846">
        <v>2</v>
      </c>
      <c r="E846">
        <f>WeeklyPicks!E283</f>
        <v>0</v>
      </c>
      <c r="F846">
        <f>IF(E846="","",SUMIFS(RaceResults!$C:$C,RaceResults!$A:$A,A846,RaceResults!$D:$D,E846))</f>
        <v>0</v>
      </c>
      <c r="G846">
        <f>IF(E846="","",SUMIFS(RaceResults!$E:$E,RaceResults!$A:$A,A846,RaceResults!$D:$D,E846))</f>
        <v>0</v>
      </c>
    </row>
    <row r="847" spans="1:7" x14ac:dyDescent="0.3">
      <c r="A847">
        <v>29</v>
      </c>
      <c r="B847" t="s">
        <v>63</v>
      </c>
      <c r="C847" t="s">
        <v>22</v>
      </c>
      <c r="D847">
        <v>3</v>
      </c>
      <c r="E847">
        <f>WeeklyPicks!F283</f>
        <v>0</v>
      </c>
      <c r="F847">
        <f>IF(E847="","",SUMIFS(RaceResults!$C:$C,RaceResults!$A:$A,A847,RaceResults!$D:$D,E847))</f>
        <v>0</v>
      </c>
      <c r="G847">
        <f>IF(E847="","",SUMIFS(RaceResults!$E:$E,RaceResults!$A:$A,A847,RaceResults!$D:$D,E847))</f>
        <v>0</v>
      </c>
    </row>
    <row r="848" spans="1:7" x14ac:dyDescent="0.3">
      <c r="A848">
        <v>29</v>
      </c>
      <c r="B848" t="s">
        <v>63</v>
      </c>
      <c r="C848" t="s">
        <v>25</v>
      </c>
      <c r="D848">
        <v>1</v>
      </c>
      <c r="E848">
        <f>WeeklyPicks!D284</f>
        <v>0</v>
      </c>
      <c r="F848">
        <f>IF(E848="","",SUMIFS(RaceResults!$C:$C,RaceResults!$A:$A,A848,RaceResults!$D:$D,E848))</f>
        <v>0</v>
      </c>
      <c r="G848">
        <f>IF(E848="","",SUMIFS(RaceResults!$E:$E,RaceResults!$A:$A,A848,RaceResults!$D:$D,E848))</f>
        <v>0</v>
      </c>
    </row>
    <row r="849" spans="1:7" x14ac:dyDescent="0.3">
      <c r="A849">
        <v>29</v>
      </c>
      <c r="B849" t="s">
        <v>63</v>
      </c>
      <c r="C849" t="s">
        <v>25</v>
      </c>
      <c r="D849">
        <v>2</v>
      </c>
      <c r="E849">
        <f>WeeklyPicks!E284</f>
        <v>0</v>
      </c>
      <c r="F849">
        <f>IF(E849="","",SUMIFS(RaceResults!$C:$C,RaceResults!$A:$A,A849,RaceResults!$D:$D,E849))</f>
        <v>0</v>
      </c>
      <c r="G849">
        <f>IF(E849="","",SUMIFS(RaceResults!$E:$E,RaceResults!$A:$A,A849,RaceResults!$D:$D,E849))</f>
        <v>0</v>
      </c>
    </row>
    <row r="850" spans="1:7" x14ac:dyDescent="0.3">
      <c r="A850">
        <v>29</v>
      </c>
      <c r="B850" t="s">
        <v>63</v>
      </c>
      <c r="C850" t="s">
        <v>25</v>
      </c>
      <c r="D850">
        <v>3</v>
      </c>
      <c r="E850">
        <f>WeeklyPicks!F284</f>
        <v>0</v>
      </c>
      <c r="F850">
        <f>IF(E850="","",SUMIFS(RaceResults!$C:$C,RaceResults!$A:$A,A850,RaceResults!$D:$D,E850))</f>
        <v>0</v>
      </c>
      <c r="G850">
        <f>IF(E850="","",SUMIFS(RaceResults!$E:$E,RaceResults!$A:$A,A850,RaceResults!$D:$D,E850))</f>
        <v>0</v>
      </c>
    </row>
    <row r="851" spans="1:7" x14ac:dyDescent="0.3">
      <c r="A851">
        <v>29</v>
      </c>
      <c r="B851" t="s">
        <v>63</v>
      </c>
      <c r="C851" t="s">
        <v>26</v>
      </c>
      <c r="D851">
        <v>1</v>
      </c>
      <c r="E851">
        <f>WeeklyPicks!D285</f>
        <v>0</v>
      </c>
      <c r="F851">
        <f>IF(E851="","",SUMIFS(RaceResults!$C:$C,RaceResults!$A:$A,A851,RaceResults!$D:$D,E851))</f>
        <v>0</v>
      </c>
      <c r="G851">
        <f>IF(E851="","",SUMIFS(RaceResults!$E:$E,RaceResults!$A:$A,A851,RaceResults!$D:$D,E851))</f>
        <v>0</v>
      </c>
    </row>
    <row r="852" spans="1:7" x14ac:dyDescent="0.3">
      <c r="A852">
        <v>29</v>
      </c>
      <c r="B852" t="s">
        <v>63</v>
      </c>
      <c r="C852" t="s">
        <v>26</v>
      </c>
      <c r="D852">
        <v>2</v>
      </c>
      <c r="E852">
        <f>WeeklyPicks!E285</f>
        <v>0</v>
      </c>
      <c r="F852">
        <f>IF(E852="","",SUMIFS(RaceResults!$C:$C,RaceResults!$A:$A,A852,RaceResults!$D:$D,E852))</f>
        <v>0</v>
      </c>
      <c r="G852">
        <f>IF(E852="","",SUMIFS(RaceResults!$E:$E,RaceResults!$A:$A,A852,RaceResults!$D:$D,E852))</f>
        <v>0</v>
      </c>
    </row>
    <row r="853" spans="1:7" x14ac:dyDescent="0.3">
      <c r="A853">
        <v>29</v>
      </c>
      <c r="B853" t="s">
        <v>63</v>
      </c>
      <c r="C853" t="s">
        <v>26</v>
      </c>
      <c r="D853">
        <v>3</v>
      </c>
      <c r="E853">
        <f>WeeklyPicks!F285</f>
        <v>0</v>
      </c>
      <c r="F853">
        <f>IF(E853="","",SUMIFS(RaceResults!$C:$C,RaceResults!$A:$A,A853,RaceResults!$D:$D,E853))</f>
        <v>0</v>
      </c>
      <c r="G853">
        <f>IF(E853="","",SUMIFS(RaceResults!$E:$E,RaceResults!$A:$A,A853,RaceResults!$D:$D,E853))</f>
        <v>0</v>
      </c>
    </row>
    <row r="854" spans="1:7" x14ac:dyDescent="0.3">
      <c r="A854">
        <v>29</v>
      </c>
      <c r="B854" t="s">
        <v>63</v>
      </c>
      <c r="C854" t="s">
        <v>27</v>
      </c>
      <c r="D854">
        <v>1</v>
      </c>
      <c r="E854">
        <f>WeeklyPicks!D286</f>
        <v>0</v>
      </c>
      <c r="F854">
        <f>IF(E854="","",SUMIFS(RaceResults!$C:$C,RaceResults!$A:$A,A854,RaceResults!$D:$D,E854))</f>
        <v>0</v>
      </c>
      <c r="G854">
        <f>IF(E854="","",SUMIFS(RaceResults!$E:$E,RaceResults!$A:$A,A854,RaceResults!$D:$D,E854))</f>
        <v>0</v>
      </c>
    </row>
    <row r="855" spans="1:7" x14ac:dyDescent="0.3">
      <c r="A855">
        <v>29</v>
      </c>
      <c r="B855" t="s">
        <v>63</v>
      </c>
      <c r="C855" t="s">
        <v>27</v>
      </c>
      <c r="D855">
        <v>2</v>
      </c>
      <c r="E855">
        <f>WeeklyPicks!E286</f>
        <v>0</v>
      </c>
      <c r="F855">
        <f>IF(E855="","",SUMIFS(RaceResults!$C:$C,RaceResults!$A:$A,A855,RaceResults!$D:$D,E855))</f>
        <v>0</v>
      </c>
      <c r="G855">
        <f>IF(E855="","",SUMIFS(RaceResults!$E:$E,RaceResults!$A:$A,A855,RaceResults!$D:$D,E855))</f>
        <v>0</v>
      </c>
    </row>
    <row r="856" spans="1:7" x14ac:dyDescent="0.3">
      <c r="A856">
        <v>29</v>
      </c>
      <c r="B856" t="s">
        <v>63</v>
      </c>
      <c r="C856" t="s">
        <v>27</v>
      </c>
      <c r="D856">
        <v>3</v>
      </c>
      <c r="E856">
        <f>WeeklyPicks!F286</f>
        <v>0</v>
      </c>
      <c r="F856">
        <f>IF(E856="","",SUMIFS(RaceResults!$C:$C,RaceResults!$A:$A,A856,RaceResults!$D:$D,E856))</f>
        <v>0</v>
      </c>
      <c r="G856">
        <f>IF(E856="","",SUMIFS(RaceResults!$E:$E,RaceResults!$A:$A,A856,RaceResults!$D:$D,E856))</f>
        <v>0</v>
      </c>
    </row>
    <row r="857" spans="1:7" x14ac:dyDescent="0.3">
      <c r="A857">
        <v>29</v>
      </c>
      <c r="B857" t="s">
        <v>63</v>
      </c>
      <c r="C857" t="s">
        <v>28</v>
      </c>
      <c r="D857">
        <v>1</v>
      </c>
      <c r="E857">
        <f>WeeklyPicks!D287</f>
        <v>0</v>
      </c>
      <c r="F857">
        <f>IF(E857="","",SUMIFS(RaceResults!$C:$C,RaceResults!$A:$A,A857,RaceResults!$D:$D,E857))</f>
        <v>0</v>
      </c>
      <c r="G857">
        <f>IF(E857="","",SUMIFS(RaceResults!$E:$E,RaceResults!$A:$A,A857,RaceResults!$D:$D,E857))</f>
        <v>0</v>
      </c>
    </row>
    <row r="858" spans="1:7" x14ac:dyDescent="0.3">
      <c r="A858">
        <v>29</v>
      </c>
      <c r="B858" t="s">
        <v>63</v>
      </c>
      <c r="C858" t="s">
        <v>28</v>
      </c>
      <c r="D858">
        <v>2</v>
      </c>
      <c r="E858">
        <f>WeeklyPicks!E287</f>
        <v>0</v>
      </c>
      <c r="F858">
        <f>IF(E858="","",SUMIFS(RaceResults!$C:$C,RaceResults!$A:$A,A858,RaceResults!$D:$D,E858))</f>
        <v>0</v>
      </c>
      <c r="G858">
        <f>IF(E858="","",SUMIFS(RaceResults!$E:$E,RaceResults!$A:$A,A858,RaceResults!$D:$D,E858))</f>
        <v>0</v>
      </c>
    </row>
    <row r="859" spans="1:7" x14ac:dyDescent="0.3">
      <c r="A859">
        <v>29</v>
      </c>
      <c r="B859" t="s">
        <v>63</v>
      </c>
      <c r="C859" t="s">
        <v>28</v>
      </c>
      <c r="D859">
        <v>3</v>
      </c>
      <c r="E859">
        <f>WeeklyPicks!F287</f>
        <v>0</v>
      </c>
      <c r="F859">
        <f>IF(E859="","",SUMIFS(RaceResults!$C:$C,RaceResults!$A:$A,A859,RaceResults!$D:$D,E859))</f>
        <v>0</v>
      </c>
      <c r="G859">
        <f>IF(E859="","",SUMIFS(RaceResults!$E:$E,RaceResults!$A:$A,A859,RaceResults!$D:$D,E859))</f>
        <v>0</v>
      </c>
    </row>
    <row r="860" spans="1:7" x14ac:dyDescent="0.3">
      <c r="A860">
        <v>29</v>
      </c>
      <c r="B860" t="s">
        <v>63</v>
      </c>
      <c r="C860" t="s">
        <v>29</v>
      </c>
      <c r="D860">
        <v>1</v>
      </c>
      <c r="E860">
        <f>WeeklyPicks!D288</f>
        <v>0</v>
      </c>
      <c r="F860">
        <f>IF(E860="","",SUMIFS(RaceResults!$C:$C,RaceResults!$A:$A,A860,RaceResults!$D:$D,E860))</f>
        <v>0</v>
      </c>
      <c r="G860">
        <f>IF(E860="","",SUMIFS(RaceResults!$E:$E,RaceResults!$A:$A,A860,RaceResults!$D:$D,E860))</f>
        <v>0</v>
      </c>
    </row>
    <row r="861" spans="1:7" x14ac:dyDescent="0.3">
      <c r="A861">
        <v>29</v>
      </c>
      <c r="B861" t="s">
        <v>63</v>
      </c>
      <c r="C861" t="s">
        <v>29</v>
      </c>
      <c r="D861">
        <v>2</v>
      </c>
      <c r="E861">
        <f>WeeklyPicks!E288</f>
        <v>0</v>
      </c>
      <c r="F861">
        <f>IF(E861="","",SUMIFS(RaceResults!$C:$C,RaceResults!$A:$A,A861,RaceResults!$D:$D,E861))</f>
        <v>0</v>
      </c>
      <c r="G861">
        <f>IF(E861="","",SUMIFS(RaceResults!$E:$E,RaceResults!$A:$A,A861,RaceResults!$D:$D,E861))</f>
        <v>0</v>
      </c>
    </row>
    <row r="862" spans="1:7" x14ac:dyDescent="0.3">
      <c r="A862">
        <v>29</v>
      </c>
      <c r="B862" t="s">
        <v>63</v>
      </c>
      <c r="C862" t="s">
        <v>29</v>
      </c>
      <c r="D862">
        <v>3</v>
      </c>
      <c r="E862">
        <f>WeeklyPicks!F288</f>
        <v>0</v>
      </c>
      <c r="F862">
        <f>IF(E862="","",SUMIFS(RaceResults!$C:$C,RaceResults!$A:$A,A862,RaceResults!$D:$D,E862))</f>
        <v>0</v>
      </c>
      <c r="G862">
        <f>IF(E862="","",SUMIFS(RaceResults!$E:$E,RaceResults!$A:$A,A862,RaceResults!$D:$D,E862))</f>
        <v>0</v>
      </c>
    </row>
    <row r="863" spans="1:7" x14ac:dyDescent="0.3">
      <c r="A863">
        <v>29</v>
      </c>
      <c r="B863" t="s">
        <v>63</v>
      </c>
      <c r="C863" t="s">
        <v>30</v>
      </c>
      <c r="D863">
        <v>1</v>
      </c>
      <c r="E863">
        <f>WeeklyPicks!D289</f>
        <v>0</v>
      </c>
      <c r="F863">
        <f>IF(E863="","",SUMIFS(RaceResults!$C:$C,RaceResults!$A:$A,A863,RaceResults!$D:$D,E863))</f>
        <v>0</v>
      </c>
      <c r="G863">
        <f>IF(E863="","",SUMIFS(RaceResults!$E:$E,RaceResults!$A:$A,A863,RaceResults!$D:$D,E863))</f>
        <v>0</v>
      </c>
    </row>
    <row r="864" spans="1:7" x14ac:dyDescent="0.3">
      <c r="A864">
        <v>29</v>
      </c>
      <c r="B864" t="s">
        <v>63</v>
      </c>
      <c r="C864" t="s">
        <v>30</v>
      </c>
      <c r="D864">
        <v>2</v>
      </c>
      <c r="E864">
        <f>WeeklyPicks!E289</f>
        <v>0</v>
      </c>
      <c r="F864">
        <f>IF(E864="","",SUMIFS(RaceResults!$C:$C,RaceResults!$A:$A,A864,RaceResults!$D:$D,E864))</f>
        <v>0</v>
      </c>
      <c r="G864">
        <f>IF(E864="","",SUMIFS(RaceResults!$E:$E,RaceResults!$A:$A,A864,RaceResults!$D:$D,E864))</f>
        <v>0</v>
      </c>
    </row>
    <row r="865" spans="1:7" x14ac:dyDescent="0.3">
      <c r="A865">
        <v>29</v>
      </c>
      <c r="B865" t="s">
        <v>63</v>
      </c>
      <c r="C865" t="s">
        <v>30</v>
      </c>
      <c r="D865">
        <v>3</v>
      </c>
      <c r="E865">
        <f>WeeklyPicks!F289</f>
        <v>0</v>
      </c>
      <c r="F865">
        <f>IF(E865="","",SUMIFS(RaceResults!$C:$C,RaceResults!$A:$A,A865,RaceResults!$D:$D,E865))</f>
        <v>0</v>
      </c>
      <c r="G865">
        <f>IF(E865="","",SUMIFS(RaceResults!$E:$E,RaceResults!$A:$A,A865,RaceResults!$D:$D,E865))</f>
        <v>0</v>
      </c>
    </row>
    <row r="866" spans="1:7" x14ac:dyDescent="0.3">
      <c r="A866">
        <v>29</v>
      </c>
      <c r="B866" t="s">
        <v>63</v>
      </c>
      <c r="C866" t="s">
        <v>31</v>
      </c>
      <c r="D866">
        <v>1</v>
      </c>
      <c r="E866">
        <f>WeeklyPicks!D290</f>
        <v>0</v>
      </c>
      <c r="F866">
        <f>IF(E866="","",SUMIFS(RaceResults!$C:$C,RaceResults!$A:$A,A866,RaceResults!$D:$D,E866))</f>
        <v>0</v>
      </c>
      <c r="G866">
        <f>IF(E866="","",SUMIFS(RaceResults!$E:$E,RaceResults!$A:$A,A866,RaceResults!$D:$D,E866))</f>
        <v>0</v>
      </c>
    </row>
    <row r="867" spans="1:7" x14ac:dyDescent="0.3">
      <c r="A867">
        <v>29</v>
      </c>
      <c r="B867" t="s">
        <v>63</v>
      </c>
      <c r="C867" t="s">
        <v>31</v>
      </c>
      <c r="D867">
        <v>2</v>
      </c>
      <c r="E867">
        <f>WeeklyPicks!E290</f>
        <v>0</v>
      </c>
      <c r="F867">
        <f>IF(E867="","",SUMIFS(RaceResults!$C:$C,RaceResults!$A:$A,A867,RaceResults!$D:$D,E867))</f>
        <v>0</v>
      </c>
      <c r="G867">
        <f>IF(E867="","",SUMIFS(RaceResults!$E:$E,RaceResults!$A:$A,A867,RaceResults!$D:$D,E867))</f>
        <v>0</v>
      </c>
    </row>
    <row r="868" spans="1:7" x14ac:dyDescent="0.3">
      <c r="A868">
        <v>29</v>
      </c>
      <c r="B868" t="s">
        <v>63</v>
      </c>
      <c r="C868" t="s">
        <v>31</v>
      </c>
      <c r="D868">
        <v>3</v>
      </c>
      <c r="E868">
        <f>WeeklyPicks!F290</f>
        <v>0</v>
      </c>
      <c r="F868">
        <f>IF(E868="","",SUMIFS(RaceResults!$C:$C,RaceResults!$A:$A,A868,RaceResults!$D:$D,E868))</f>
        <v>0</v>
      </c>
      <c r="G868">
        <f>IF(E868="","",SUMIFS(RaceResults!$E:$E,RaceResults!$A:$A,A868,RaceResults!$D:$D,E868))</f>
        <v>0</v>
      </c>
    </row>
    <row r="869" spans="1:7" x14ac:dyDescent="0.3">
      <c r="A869">
        <v>29</v>
      </c>
      <c r="B869" t="s">
        <v>63</v>
      </c>
      <c r="C869" t="s">
        <v>32</v>
      </c>
      <c r="D869">
        <v>1</v>
      </c>
      <c r="E869">
        <f>WeeklyPicks!D291</f>
        <v>0</v>
      </c>
      <c r="F869">
        <f>IF(E869="","",SUMIFS(RaceResults!$C:$C,RaceResults!$A:$A,A869,RaceResults!$D:$D,E869))</f>
        <v>0</v>
      </c>
      <c r="G869">
        <f>IF(E869="","",SUMIFS(RaceResults!$E:$E,RaceResults!$A:$A,A869,RaceResults!$D:$D,E869))</f>
        <v>0</v>
      </c>
    </row>
    <row r="870" spans="1:7" x14ac:dyDescent="0.3">
      <c r="A870">
        <v>29</v>
      </c>
      <c r="B870" t="s">
        <v>63</v>
      </c>
      <c r="C870" t="s">
        <v>32</v>
      </c>
      <c r="D870">
        <v>2</v>
      </c>
      <c r="E870">
        <f>WeeklyPicks!E291</f>
        <v>0</v>
      </c>
      <c r="F870">
        <f>IF(E870="","",SUMIFS(RaceResults!$C:$C,RaceResults!$A:$A,A870,RaceResults!$D:$D,E870))</f>
        <v>0</v>
      </c>
      <c r="G870">
        <f>IF(E870="","",SUMIFS(RaceResults!$E:$E,RaceResults!$A:$A,A870,RaceResults!$D:$D,E870))</f>
        <v>0</v>
      </c>
    </row>
    <row r="871" spans="1:7" x14ac:dyDescent="0.3">
      <c r="A871">
        <v>29</v>
      </c>
      <c r="B871" t="s">
        <v>63</v>
      </c>
      <c r="C871" t="s">
        <v>32</v>
      </c>
      <c r="D871">
        <v>3</v>
      </c>
      <c r="E871">
        <f>WeeklyPicks!F291</f>
        <v>0</v>
      </c>
      <c r="F871">
        <f>IF(E871="","",SUMIFS(RaceResults!$C:$C,RaceResults!$A:$A,A871,RaceResults!$D:$D,E871))</f>
        <v>0</v>
      </c>
      <c r="G871">
        <f>IF(E871="","",SUMIFS(RaceResults!$E:$E,RaceResults!$A:$A,A871,RaceResults!$D:$D,E871))</f>
        <v>0</v>
      </c>
    </row>
    <row r="872" spans="1:7" x14ac:dyDescent="0.3">
      <c r="A872">
        <v>30</v>
      </c>
      <c r="B872" t="s">
        <v>65</v>
      </c>
      <c r="C872" t="s">
        <v>21</v>
      </c>
      <c r="D872">
        <v>1</v>
      </c>
      <c r="E872">
        <f>WeeklyPicks!D292</f>
        <v>0</v>
      </c>
      <c r="F872">
        <f>IF(E872="","",SUMIFS(RaceResults!$C:$C,RaceResults!$A:$A,A872,RaceResults!$D:$D,E872))</f>
        <v>0</v>
      </c>
      <c r="G872">
        <f>IF(E872="","",SUMIFS(RaceResults!$E:$E,RaceResults!$A:$A,A872,RaceResults!$D:$D,E872))</f>
        <v>0</v>
      </c>
    </row>
    <row r="873" spans="1:7" x14ac:dyDescent="0.3">
      <c r="A873">
        <v>30</v>
      </c>
      <c r="B873" t="s">
        <v>65</v>
      </c>
      <c r="C873" t="s">
        <v>21</v>
      </c>
      <c r="D873">
        <v>2</v>
      </c>
      <c r="E873">
        <f>WeeklyPicks!E292</f>
        <v>0</v>
      </c>
      <c r="F873">
        <f>IF(E873="","",SUMIFS(RaceResults!$C:$C,RaceResults!$A:$A,A873,RaceResults!$D:$D,E873))</f>
        <v>0</v>
      </c>
      <c r="G873">
        <f>IF(E873="","",SUMIFS(RaceResults!$E:$E,RaceResults!$A:$A,A873,RaceResults!$D:$D,E873))</f>
        <v>0</v>
      </c>
    </row>
    <row r="874" spans="1:7" x14ac:dyDescent="0.3">
      <c r="A874">
        <v>30</v>
      </c>
      <c r="B874" t="s">
        <v>65</v>
      </c>
      <c r="C874" t="s">
        <v>21</v>
      </c>
      <c r="D874">
        <v>3</v>
      </c>
      <c r="E874">
        <f>WeeklyPicks!F292</f>
        <v>0</v>
      </c>
      <c r="F874">
        <f>IF(E874="","",SUMIFS(RaceResults!$C:$C,RaceResults!$A:$A,A874,RaceResults!$D:$D,E874))</f>
        <v>0</v>
      </c>
      <c r="G874">
        <f>IF(E874="","",SUMIFS(RaceResults!$E:$E,RaceResults!$A:$A,A874,RaceResults!$D:$D,E874))</f>
        <v>0</v>
      </c>
    </row>
    <row r="875" spans="1:7" x14ac:dyDescent="0.3">
      <c r="A875">
        <v>30</v>
      </c>
      <c r="B875" t="s">
        <v>65</v>
      </c>
      <c r="C875" t="s">
        <v>22</v>
      </c>
      <c r="D875">
        <v>1</v>
      </c>
      <c r="E875">
        <f>WeeklyPicks!D293</f>
        <v>0</v>
      </c>
      <c r="F875">
        <f>IF(E875="","",SUMIFS(RaceResults!$C:$C,RaceResults!$A:$A,A875,RaceResults!$D:$D,E875))</f>
        <v>0</v>
      </c>
      <c r="G875">
        <f>IF(E875="","",SUMIFS(RaceResults!$E:$E,RaceResults!$A:$A,A875,RaceResults!$D:$D,E875))</f>
        <v>0</v>
      </c>
    </row>
    <row r="876" spans="1:7" x14ac:dyDescent="0.3">
      <c r="A876">
        <v>30</v>
      </c>
      <c r="B876" t="s">
        <v>65</v>
      </c>
      <c r="C876" t="s">
        <v>22</v>
      </c>
      <c r="D876">
        <v>2</v>
      </c>
      <c r="E876">
        <f>WeeklyPicks!E293</f>
        <v>0</v>
      </c>
      <c r="F876">
        <f>IF(E876="","",SUMIFS(RaceResults!$C:$C,RaceResults!$A:$A,A876,RaceResults!$D:$D,E876))</f>
        <v>0</v>
      </c>
      <c r="G876">
        <f>IF(E876="","",SUMIFS(RaceResults!$E:$E,RaceResults!$A:$A,A876,RaceResults!$D:$D,E876))</f>
        <v>0</v>
      </c>
    </row>
    <row r="877" spans="1:7" x14ac:dyDescent="0.3">
      <c r="A877">
        <v>30</v>
      </c>
      <c r="B877" t="s">
        <v>65</v>
      </c>
      <c r="C877" t="s">
        <v>22</v>
      </c>
      <c r="D877">
        <v>3</v>
      </c>
      <c r="E877">
        <f>WeeklyPicks!F293</f>
        <v>0</v>
      </c>
      <c r="F877">
        <f>IF(E877="","",SUMIFS(RaceResults!$C:$C,RaceResults!$A:$A,A877,RaceResults!$D:$D,E877))</f>
        <v>0</v>
      </c>
      <c r="G877">
        <f>IF(E877="","",SUMIFS(RaceResults!$E:$E,RaceResults!$A:$A,A877,RaceResults!$D:$D,E877))</f>
        <v>0</v>
      </c>
    </row>
    <row r="878" spans="1:7" x14ac:dyDescent="0.3">
      <c r="A878">
        <v>30</v>
      </c>
      <c r="B878" t="s">
        <v>65</v>
      </c>
      <c r="C878" t="s">
        <v>25</v>
      </c>
      <c r="D878">
        <v>1</v>
      </c>
      <c r="E878">
        <f>WeeklyPicks!D294</f>
        <v>0</v>
      </c>
      <c r="F878">
        <f>IF(E878="","",SUMIFS(RaceResults!$C:$C,RaceResults!$A:$A,A878,RaceResults!$D:$D,E878))</f>
        <v>0</v>
      </c>
      <c r="G878">
        <f>IF(E878="","",SUMIFS(RaceResults!$E:$E,RaceResults!$A:$A,A878,RaceResults!$D:$D,E878))</f>
        <v>0</v>
      </c>
    </row>
    <row r="879" spans="1:7" x14ac:dyDescent="0.3">
      <c r="A879">
        <v>30</v>
      </c>
      <c r="B879" t="s">
        <v>65</v>
      </c>
      <c r="C879" t="s">
        <v>25</v>
      </c>
      <c r="D879">
        <v>2</v>
      </c>
      <c r="E879">
        <f>WeeklyPicks!E294</f>
        <v>0</v>
      </c>
      <c r="F879">
        <f>IF(E879="","",SUMIFS(RaceResults!$C:$C,RaceResults!$A:$A,A879,RaceResults!$D:$D,E879))</f>
        <v>0</v>
      </c>
      <c r="G879">
        <f>IF(E879="","",SUMIFS(RaceResults!$E:$E,RaceResults!$A:$A,A879,RaceResults!$D:$D,E879))</f>
        <v>0</v>
      </c>
    </row>
    <row r="880" spans="1:7" x14ac:dyDescent="0.3">
      <c r="A880">
        <v>30</v>
      </c>
      <c r="B880" t="s">
        <v>65</v>
      </c>
      <c r="C880" t="s">
        <v>25</v>
      </c>
      <c r="D880">
        <v>3</v>
      </c>
      <c r="E880">
        <f>WeeklyPicks!F294</f>
        <v>0</v>
      </c>
      <c r="F880">
        <f>IF(E880="","",SUMIFS(RaceResults!$C:$C,RaceResults!$A:$A,A880,RaceResults!$D:$D,E880))</f>
        <v>0</v>
      </c>
      <c r="G880">
        <f>IF(E880="","",SUMIFS(RaceResults!$E:$E,RaceResults!$A:$A,A880,RaceResults!$D:$D,E880))</f>
        <v>0</v>
      </c>
    </row>
    <row r="881" spans="1:7" x14ac:dyDescent="0.3">
      <c r="A881">
        <v>30</v>
      </c>
      <c r="B881" t="s">
        <v>65</v>
      </c>
      <c r="C881" t="s">
        <v>26</v>
      </c>
      <c r="D881">
        <v>1</v>
      </c>
      <c r="E881">
        <f>WeeklyPicks!D295</f>
        <v>0</v>
      </c>
      <c r="F881">
        <f>IF(E881="","",SUMIFS(RaceResults!$C:$C,RaceResults!$A:$A,A881,RaceResults!$D:$D,E881))</f>
        <v>0</v>
      </c>
      <c r="G881">
        <f>IF(E881="","",SUMIFS(RaceResults!$E:$E,RaceResults!$A:$A,A881,RaceResults!$D:$D,E881))</f>
        <v>0</v>
      </c>
    </row>
    <row r="882" spans="1:7" x14ac:dyDescent="0.3">
      <c r="A882">
        <v>30</v>
      </c>
      <c r="B882" t="s">
        <v>65</v>
      </c>
      <c r="C882" t="s">
        <v>26</v>
      </c>
      <c r="D882">
        <v>2</v>
      </c>
      <c r="E882">
        <f>WeeklyPicks!E295</f>
        <v>0</v>
      </c>
      <c r="F882">
        <f>IF(E882="","",SUMIFS(RaceResults!$C:$C,RaceResults!$A:$A,A882,RaceResults!$D:$D,E882))</f>
        <v>0</v>
      </c>
      <c r="G882">
        <f>IF(E882="","",SUMIFS(RaceResults!$E:$E,RaceResults!$A:$A,A882,RaceResults!$D:$D,E882))</f>
        <v>0</v>
      </c>
    </row>
    <row r="883" spans="1:7" x14ac:dyDescent="0.3">
      <c r="A883">
        <v>30</v>
      </c>
      <c r="B883" t="s">
        <v>65</v>
      </c>
      <c r="C883" t="s">
        <v>26</v>
      </c>
      <c r="D883">
        <v>3</v>
      </c>
      <c r="E883">
        <f>WeeklyPicks!F295</f>
        <v>0</v>
      </c>
      <c r="F883">
        <f>IF(E883="","",SUMIFS(RaceResults!$C:$C,RaceResults!$A:$A,A883,RaceResults!$D:$D,E883))</f>
        <v>0</v>
      </c>
      <c r="G883">
        <f>IF(E883="","",SUMIFS(RaceResults!$E:$E,RaceResults!$A:$A,A883,RaceResults!$D:$D,E883))</f>
        <v>0</v>
      </c>
    </row>
    <row r="884" spans="1:7" x14ac:dyDescent="0.3">
      <c r="A884">
        <v>30</v>
      </c>
      <c r="B884" t="s">
        <v>65</v>
      </c>
      <c r="C884" t="s">
        <v>27</v>
      </c>
      <c r="D884">
        <v>1</v>
      </c>
      <c r="E884">
        <f>WeeklyPicks!D296</f>
        <v>0</v>
      </c>
      <c r="F884">
        <f>IF(E884="","",SUMIFS(RaceResults!$C:$C,RaceResults!$A:$A,A884,RaceResults!$D:$D,E884))</f>
        <v>0</v>
      </c>
      <c r="G884">
        <f>IF(E884="","",SUMIFS(RaceResults!$E:$E,RaceResults!$A:$A,A884,RaceResults!$D:$D,E884))</f>
        <v>0</v>
      </c>
    </row>
    <row r="885" spans="1:7" x14ac:dyDescent="0.3">
      <c r="A885">
        <v>30</v>
      </c>
      <c r="B885" t="s">
        <v>65</v>
      </c>
      <c r="C885" t="s">
        <v>27</v>
      </c>
      <c r="D885">
        <v>2</v>
      </c>
      <c r="E885">
        <f>WeeklyPicks!E296</f>
        <v>0</v>
      </c>
      <c r="F885">
        <f>IF(E885="","",SUMIFS(RaceResults!$C:$C,RaceResults!$A:$A,A885,RaceResults!$D:$D,E885))</f>
        <v>0</v>
      </c>
      <c r="G885">
        <f>IF(E885="","",SUMIFS(RaceResults!$E:$E,RaceResults!$A:$A,A885,RaceResults!$D:$D,E885))</f>
        <v>0</v>
      </c>
    </row>
    <row r="886" spans="1:7" x14ac:dyDescent="0.3">
      <c r="A886">
        <v>30</v>
      </c>
      <c r="B886" t="s">
        <v>65</v>
      </c>
      <c r="C886" t="s">
        <v>27</v>
      </c>
      <c r="D886">
        <v>3</v>
      </c>
      <c r="E886">
        <f>WeeklyPicks!F296</f>
        <v>0</v>
      </c>
      <c r="F886">
        <f>IF(E886="","",SUMIFS(RaceResults!$C:$C,RaceResults!$A:$A,A886,RaceResults!$D:$D,E886))</f>
        <v>0</v>
      </c>
      <c r="G886">
        <f>IF(E886="","",SUMIFS(RaceResults!$E:$E,RaceResults!$A:$A,A886,RaceResults!$D:$D,E886))</f>
        <v>0</v>
      </c>
    </row>
    <row r="887" spans="1:7" x14ac:dyDescent="0.3">
      <c r="A887">
        <v>30</v>
      </c>
      <c r="B887" t="s">
        <v>65</v>
      </c>
      <c r="C887" t="s">
        <v>28</v>
      </c>
      <c r="D887">
        <v>1</v>
      </c>
      <c r="E887">
        <f>WeeklyPicks!D297</f>
        <v>0</v>
      </c>
      <c r="F887">
        <f>IF(E887="","",SUMIFS(RaceResults!$C:$C,RaceResults!$A:$A,A887,RaceResults!$D:$D,E887))</f>
        <v>0</v>
      </c>
      <c r="G887">
        <f>IF(E887="","",SUMIFS(RaceResults!$E:$E,RaceResults!$A:$A,A887,RaceResults!$D:$D,E887))</f>
        <v>0</v>
      </c>
    </row>
    <row r="888" spans="1:7" x14ac:dyDescent="0.3">
      <c r="A888">
        <v>30</v>
      </c>
      <c r="B888" t="s">
        <v>65</v>
      </c>
      <c r="C888" t="s">
        <v>28</v>
      </c>
      <c r="D888">
        <v>2</v>
      </c>
      <c r="E888">
        <f>WeeklyPicks!E297</f>
        <v>0</v>
      </c>
      <c r="F888">
        <f>IF(E888="","",SUMIFS(RaceResults!$C:$C,RaceResults!$A:$A,A888,RaceResults!$D:$D,E888))</f>
        <v>0</v>
      </c>
      <c r="G888">
        <f>IF(E888="","",SUMIFS(RaceResults!$E:$E,RaceResults!$A:$A,A888,RaceResults!$D:$D,E888))</f>
        <v>0</v>
      </c>
    </row>
    <row r="889" spans="1:7" x14ac:dyDescent="0.3">
      <c r="A889">
        <v>30</v>
      </c>
      <c r="B889" t="s">
        <v>65</v>
      </c>
      <c r="C889" t="s">
        <v>28</v>
      </c>
      <c r="D889">
        <v>3</v>
      </c>
      <c r="E889">
        <f>WeeklyPicks!F297</f>
        <v>0</v>
      </c>
      <c r="F889">
        <f>IF(E889="","",SUMIFS(RaceResults!$C:$C,RaceResults!$A:$A,A889,RaceResults!$D:$D,E889))</f>
        <v>0</v>
      </c>
      <c r="G889">
        <f>IF(E889="","",SUMIFS(RaceResults!$E:$E,RaceResults!$A:$A,A889,RaceResults!$D:$D,E889))</f>
        <v>0</v>
      </c>
    </row>
    <row r="890" spans="1:7" x14ac:dyDescent="0.3">
      <c r="A890">
        <v>30</v>
      </c>
      <c r="B890" t="s">
        <v>65</v>
      </c>
      <c r="C890" t="s">
        <v>29</v>
      </c>
      <c r="D890">
        <v>1</v>
      </c>
      <c r="E890">
        <f>WeeklyPicks!D298</f>
        <v>0</v>
      </c>
      <c r="F890">
        <f>IF(E890="","",SUMIFS(RaceResults!$C:$C,RaceResults!$A:$A,A890,RaceResults!$D:$D,E890))</f>
        <v>0</v>
      </c>
      <c r="G890">
        <f>IF(E890="","",SUMIFS(RaceResults!$E:$E,RaceResults!$A:$A,A890,RaceResults!$D:$D,E890))</f>
        <v>0</v>
      </c>
    </row>
    <row r="891" spans="1:7" x14ac:dyDescent="0.3">
      <c r="A891">
        <v>30</v>
      </c>
      <c r="B891" t="s">
        <v>65</v>
      </c>
      <c r="C891" t="s">
        <v>29</v>
      </c>
      <c r="D891">
        <v>2</v>
      </c>
      <c r="E891">
        <f>WeeklyPicks!E298</f>
        <v>0</v>
      </c>
      <c r="F891">
        <f>IF(E891="","",SUMIFS(RaceResults!$C:$C,RaceResults!$A:$A,A891,RaceResults!$D:$D,E891))</f>
        <v>0</v>
      </c>
      <c r="G891">
        <f>IF(E891="","",SUMIFS(RaceResults!$E:$E,RaceResults!$A:$A,A891,RaceResults!$D:$D,E891))</f>
        <v>0</v>
      </c>
    </row>
    <row r="892" spans="1:7" x14ac:dyDescent="0.3">
      <c r="A892">
        <v>30</v>
      </c>
      <c r="B892" t="s">
        <v>65</v>
      </c>
      <c r="C892" t="s">
        <v>29</v>
      </c>
      <c r="D892">
        <v>3</v>
      </c>
      <c r="E892">
        <f>WeeklyPicks!F298</f>
        <v>0</v>
      </c>
      <c r="F892">
        <f>IF(E892="","",SUMIFS(RaceResults!$C:$C,RaceResults!$A:$A,A892,RaceResults!$D:$D,E892))</f>
        <v>0</v>
      </c>
      <c r="G892">
        <f>IF(E892="","",SUMIFS(RaceResults!$E:$E,RaceResults!$A:$A,A892,RaceResults!$D:$D,E892))</f>
        <v>0</v>
      </c>
    </row>
    <row r="893" spans="1:7" x14ac:dyDescent="0.3">
      <c r="A893">
        <v>30</v>
      </c>
      <c r="B893" t="s">
        <v>65</v>
      </c>
      <c r="C893" t="s">
        <v>30</v>
      </c>
      <c r="D893">
        <v>1</v>
      </c>
      <c r="E893">
        <f>WeeklyPicks!D299</f>
        <v>0</v>
      </c>
      <c r="F893">
        <f>IF(E893="","",SUMIFS(RaceResults!$C:$C,RaceResults!$A:$A,A893,RaceResults!$D:$D,E893))</f>
        <v>0</v>
      </c>
      <c r="G893">
        <f>IF(E893="","",SUMIFS(RaceResults!$E:$E,RaceResults!$A:$A,A893,RaceResults!$D:$D,E893))</f>
        <v>0</v>
      </c>
    </row>
    <row r="894" spans="1:7" x14ac:dyDescent="0.3">
      <c r="A894">
        <v>30</v>
      </c>
      <c r="B894" t="s">
        <v>65</v>
      </c>
      <c r="C894" t="s">
        <v>30</v>
      </c>
      <c r="D894">
        <v>2</v>
      </c>
      <c r="E894">
        <f>WeeklyPicks!E299</f>
        <v>0</v>
      </c>
      <c r="F894">
        <f>IF(E894="","",SUMIFS(RaceResults!$C:$C,RaceResults!$A:$A,A894,RaceResults!$D:$D,E894))</f>
        <v>0</v>
      </c>
      <c r="G894">
        <f>IF(E894="","",SUMIFS(RaceResults!$E:$E,RaceResults!$A:$A,A894,RaceResults!$D:$D,E894))</f>
        <v>0</v>
      </c>
    </row>
    <row r="895" spans="1:7" x14ac:dyDescent="0.3">
      <c r="A895">
        <v>30</v>
      </c>
      <c r="B895" t="s">
        <v>65</v>
      </c>
      <c r="C895" t="s">
        <v>30</v>
      </c>
      <c r="D895">
        <v>3</v>
      </c>
      <c r="E895">
        <f>WeeklyPicks!F299</f>
        <v>0</v>
      </c>
      <c r="F895">
        <f>IF(E895="","",SUMIFS(RaceResults!$C:$C,RaceResults!$A:$A,A895,RaceResults!$D:$D,E895))</f>
        <v>0</v>
      </c>
      <c r="G895">
        <f>IF(E895="","",SUMIFS(RaceResults!$E:$E,RaceResults!$A:$A,A895,RaceResults!$D:$D,E895))</f>
        <v>0</v>
      </c>
    </row>
    <row r="896" spans="1:7" x14ac:dyDescent="0.3">
      <c r="A896">
        <v>30</v>
      </c>
      <c r="B896" t="s">
        <v>65</v>
      </c>
      <c r="C896" t="s">
        <v>31</v>
      </c>
      <c r="D896">
        <v>1</v>
      </c>
      <c r="E896">
        <f>WeeklyPicks!D300</f>
        <v>0</v>
      </c>
      <c r="F896">
        <f>IF(E896="","",SUMIFS(RaceResults!$C:$C,RaceResults!$A:$A,A896,RaceResults!$D:$D,E896))</f>
        <v>0</v>
      </c>
      <c r="G896">
        <f>IF(E896="","",SUMIFS(RaceResults!$E:$E,RaceResults!$A:$A,A896,RaceResults!$D:$D,E896))</f>
        <v>0</v>
      </c>
    </row>
    <row r="897" spans="1:7" x14ac:dyDescent="0.3">
      <c r="A897">
        <v>30</v>
      </c>
      <c r="B897" t="s">
        <v>65</v>
      </c>
      <c r="C897" t="s">
        <v>31</v>
      </c>
      <c r="D897">
        <v>2</v>
      </c>
      <c r="E897">
        <f>WeeklyPicks!E300</f>
        <v>0</v>
      </c>
      <c r="F897">
        <f>IF(E897="","",SUMIFS(RaceResults!$C:$C,RaceResults!$A:$A,A897,RaceResults!$D:$D,E897))</f>
        <v>0</v>
      </c>
      <c r="G897">
        <f>IF(E897="","",SUMIFS(RaceResults!$E:$E,RaceResults!$A:$A,A897,RaceResults!$D:$D,E897))</f>
        <v>0</v>
      </c>
    </row>
    <row r="898" spans="1:7" x14ac:dyDescent="0.3">
      <c r="A898">
        <v>30</v>
      </c>
      <c r="B898" t="s">
        <v>65</v>
      </c>
      <c r="C898" t="s">
        <v>31</v>
      </c>
      <c r="D898">
        <v>3</v>
      </c>
      <c r="E898">
        <f>WeeklyPicks!F300</f>
        <v>0</v>
      </c>
      <c r="F898">
        <f>IF(E898="","",SUMIFS(RaceResults!$C:$C,RaceResults!$A:$A,A898,RaceResults!$D:$D,E898))</f>
        <v>0</v>
      </c>
      <c r="G898">
        <f>IF(E898="","",SUMIFS(RaceResults!$E:$E,RaceResults!$A:$A,A898,RaceResults!$D:$D,E898))</f>
        <v>0</v>
      </c>
    </row>
    <row r="899" spans="1:7" x14ac:dyDescent="0.3">
      <c r="A899">
        <v>30</v>
      </c>
      <c r="B899" t="s">
        <v>65</v>
      </c>
      <c r="C899" t="s">
        <v>32</v>
      </c>
      <c r="D899">
        <v>1</v>
      </c>
      <c r="E899">
        <f>WeeklyPicks!D301</f>
        <v>0</v>
      </c>
      <c r="F899">
        <f>IF(E899="","",SUMIFS(RaceResults!$C:$C,RaceResults!$A:$A,A899,RaceResults!$D:$D,E899))</f>
        <v>0</v>
      </c>
      <c r="G899">
        <f>IF(E899="","",SUMIFS(RaceResults!$E:$E,RaceResults!$A:$A,A899,RaceResults!$D:$D,E899))</f>
        <v>0</v>
      </c>
    </row>
    <row r="900" spans="1:7" x14ac:dyDescent="0.3">
      <c r="A900">
        <v>30</v>
      </c>
      <c r="B900" t="s">
        <v>65</v>
      </c>
      <c r="C900" t="s">
        <v>32</v>
      </c>
      <c r="D900">
        <v>2</v>
      </c>
      <c r="E900">
        <f>WeeklyPicks!E301</f>
        <v>0</v>
      </c>
      <c r="F900">
        <f>IF(E900="","",SUMIFS(RaceResults!$C:$C,RaceResults!$A:$A,A900,RaceResults!$D:$D,E900))</f>
        <v>0</v>
      </c>
      <c r="G900">
        <f>IF(E900="","",SUMIFS(RaceResults!$E:$E,RaceResults!$A:$A,A900,RaceResults!$D:$D,E900))</f>
        <v>0</v>
      </c>
    </row>
    <row r="901" spans="1:7" x14ac:dyDescent="0.3">
      <c r="A901">
        <v>30</v>
      </c>
      <c r="B901" t="s">
        <v>65</v>
      </c>
      <c r="C901" t="s">
        <v>32</v>
      </c>
      <c r="D901">
        <v>3</v>
      </c>
      <c r="E901">
        <f>WeeklyPicks!F301</f>
        <v>0</v>
      </c>
      <c r="F901">
        <f>IF(E901="","",SUMIFS(RaceResults!$C:$C,RaceResults!$A:$A,A901,RaceResults!$D:$D,E901))</f>
        <v>0</v>
      </c>
      <c r="G901">
        <f>IF(E901="","",SUMIFS(RaceResults!$E:$E,RaceResults!$A:$A,A901,RaceResults!$D:$D,E901))</f>
        <v>0</v>
      </c>
    </row>
    <row r="902" spans="1:7" x14ac:dyDescent="0.3">
      <c r="A902">
        <v>31</v>
      </c>
      <c r="B902" t="s">
        <v>57</v>
      </c>
      <c r="C902" t="s">
        <v>21</v>
      </c>
      <c r="D902">
        <v>1</v>
      </c>
      <c r="E902">
        <f>WeeklyPicks!D302</f>
        <v>0</v>
      </c>
      <c r="F902">
        <f>IF(E902="","",SUMIFS(RaceResults!$C:$C,RaceResults!$A:$A,A902,RaceResults!$D:$D,E902))</f>
        <v>0</v>
      </c>
      <c r="G902">
        <f>IF(E902="","",SUMIFS(RaceResults!$E:$E,RaceResults!$A:$A,A902,RaceResults!$D:$D,E902))</f>
        <v>0</v>
      </c>
    </row>
    <row r="903" spans="1:7" x14ac:dyDescent="0.3">
      <c r="A903">
        <v>31</v>
      </c>
      <c r="B903" t="s">
        <v>57</v>
      </c>
      <c r="C903" t="s">
        <v>21</v>
      </c>
      <c r="D903">
        <v>2</v>
      </c>
      <c r="E903">
        <f>WeeklyPicks!E302</f>
        <v>0</v>
      </c>
      <c r="F903">
        <f>IF(E903="","",SUMIFS(RaceResults!$C:$C,RaceResults!$A:$A,A903,RaceResults!$D:$D,E903))</f>
        <v>0</v>
      </c>
      <c r="G903">
        <f>IF(E903="","",SUMIFS(RaceResults!$E:$E,RaceResults!$A:$A,A903,RaceResults!$D:$D,E903))</f>
        <v>0</v>
      </c>
    </row>
    <row r="904" spans="1:7" x14ac:dyDescent="0.3">
      <c r="A904">
        <v>31</v>
      </c>
      <c r="B904" t="s">
        <v>57</v>
      </c>
      <c r="C904" t="s">
        <v>21</v>
      </c>
      <c r="D904">
        <v>3</v>
      </c>
      <c r="E904">
        <f>WeeklyPicks!F302</f>
        <v>0</v>
      </c>
      <c r="F904">
        <f>IF(E904="","",SUMIFS(RaceResults!$C:$C,RaceResults!$A:$A,A904,RaceResults!$D:$D,E904))</f>
        <v>0</v>
      </c>
      <c r="G904">
        <f>IF(E904="","",SUMIFS(RaceResults!$E:$E,RaceResults!$A:$A,A904,RaceResults!$D:$D,E904))</f>
        <v>0</v>
      </c>
    </row>
    <row r="905" spans="1:7" x14ac:dyDescent="0.3">
      <c r="A905">
        <v>31</v>
      </c>
      <c r="B905" t="s">
        <v>57</v>
      </c>
      <c r="C905" t="s">
        <v>22</v>
      </c>
      <c r="D905">
        <v>1</v>
      </c>
      <c r="E905">
        <f>WeeklyPicks!D303</f>
        <v>0</v>
      </c>
      <c r="F905">
        <f>IF(E905="","",SUMIFS(RaceResults!$C:$C,RaceResults!$A:$A,A905,RaceResults!$D:$D,E905))</f>
        <v>0</v>
      </c>
      <c r="G905">
        <f>IF(E905="","",SUMIFS(RaceResults!$E:$E,RaceResults!$A:$A,A905,RaceResults!$D:$D,E905))</f>
        <v>0</v>
      </c>
    </row>
    <row r="906" spans="1:7" x14ac:dyDescent="0.3">
      <c r="A906">
        <v>31</v>
      </c>
      <c r="B906" t="s">
        <v>57</v>
      </c>
      <c r="C906" t="s">
        <v>22</v>
      </c>
      <c r="D906">
        <v>2</v>
      </c>
      <c r="E906">
        <f>WeeklyPicks!E303</f>
        <v>0</v>
      </c>
      <c r="F906">
        <f>IF(E906="","",SUMIFS(RaceResults!$C:$C,RaceResults!$A:$A,A906,RaceResults!$D:$D,E906))</f>
        <v>0</v>
      </c>
      <c r="G906">
        <f>IF(E906="","",SUMIFS(RaceResults!$E:$E,RaceResults!$A:$A,A906,RaceResults!$D:$D,E906))</f>
        <v>0</v>
      </c>
    </row>
    <row r="907" spans="1:7" x14ac:dyDescent="0.3">
      <c r="A907">
        <v>31</v>
      </c>
      <c r="B907" t="s">
        <v>57</v>
      </c>
      <c r="C907" t="s">
        <v>22</v>
      </c>
      <c r="D907">
        <v>3</v>
      </c>
      <c r="E907">
        <f>WeeklyPicks!F303</f>
        <v>0</v>
      </c>
      <c r="F907">
        <f>IF(E907="","",SUMIFS(RaceResults!$C:$C,RaceResults!$A:$A,A907,RaceResults!$D:$D,E907))</f>
        <v>0</v>
      </c>
      <c r="G907">
        <f>IF(E907="","",SUMIFS(RaceResults!$E:$E,RaceResults!$A:$A,A907,RaceResults!$D:$D,E907))</f>
        <v>0</v>
      </c>
    </row>
    <row r="908" spans="1:7" x14ac:dyDescent="0.3">
      <c r="A908">
        <v>31</v>
      </c>
      <c r="B908" t="s">
        <v>57</v>
      </c>
      <c r="C908" t="s">
        <v>25</v>
      </c>
      <c r="D908">
        <v>1</v>
      </c>
      <c r="E908">
        <f>WeeklyPicks!D304</f>
        <v>0</v>
      </c>
      <c r="F908">
        <f>IF(E908="","",SUMIFS(RaceResults!$C:$C,RaceResults!$A:$A,A908,RaceResults!$D:$D,E908))</f>
        <v>0</v>
      </c>
      <c r="G908">
        <f>IF(E908="","",SUMIFS(RaceResults!$E:$E,RaceResults!$A:$A,A908,RaceResults!$D:$D,E908))</f>
        <v>0</v>
      </c>
    </row>
    <row r="909" spans="1:7" x14ac:dyDescent="0.3">
      <c r="A909">
        <v>31</v>
      </c>
      <c r="B909" t="s">
        <v>57</v>
      </c>
      <c r="C909" t="s">
        <v>25</v>
      </c>
      <c r="D909">
        <v>2</v>
      </c>
      <c r="E909">
        <f>WeeklyPicks!E304</f>
        <v>0</v>
      </c>
      <c r="F909">
        <f>IF(E909="","",SUMIFS(RaceResults!$C:$C,RaceResults!$A:$A,A909,RaceResults!$D:$D,E909))</f>
        <v>0</v>
      </c>
      <c r="G909">
        <f>IF(E909="","",SUMIFS(RaceResults!$E:$E,RaceResults!$A:$A,A909,RaceResults!$D:$D,E909))</f>
        <v>0</v>
      </c>
    </row>
    <row r="910" spans="1:7" x14ac:dyDescent="0.3">
      <c r="A910">
        <v>31</v>
      </c>
      <c r="B910" t="s">
        <v>57</v>
      </c>
      <c r="C910" t="s">
        <v>25</v>
      </c>
      <c r="D910">
        <v>3</v>
      </c>
      <c r="E910">
        <f>WeeklyPicks!F304</f>
        <v>0</v>
      </c>
      <c r="F910">
        <f>IF(E910="","",SUMIFS(RaceResults!$C:$C,RaceResults!$A:$A,A910,RaceResults!$D:$D,E910))</f>
        <v>0</v>
      </c>
      <c r="G910">
        <f>IF(E910="","",SUMIFS(RaceResults!$E:$E,RaceResults!$A:$A,A910,RaceResults!$D:$D,E910))</f>
        <v>0</v>
      </c>
    </row>
    <row r="911" spans="1:7" x14ac:dyDescent="0.3">
      <c r="A911">
        <v>31</v>
      </c>
      <c r="B911" t="s">
        <v>57</v>
      </c>
      <c r="C911" t="s">
        <v>26</v>
      </c>
      <c r="D911">
        <v>1</v>
      </c>
      <c r="E911">
        <f>WeeklyPicks!D305</f>
        <v>0</v>
      </c>
      <c r="F911">
        <f>IF(E911="","",SUMIFS(RaceResults!$C:$C,RaceResults!$A:$A,A911,RaceResults!$D:$D,E911))</f>
        <v>0</v>
      </c>
      <c r="G911">
        <f>IF(E911="","",SUMIFS(RaceResults!$E:$E,RaceResults!$A:$A,A911,RaceResults!$D:$D,E911))</f>
        <v>0</v>
      </c>
    </row>
    <row r="912" spans="1:7" x14ac:dyDescent="0.3">
      <c r="A912">
        <v>31</v>
      </c>
      <c r="B912" t="s">
        <v>57</v>
      </c>
      <c r="C912" t="s">
        <v>26</v>
      </c>
      <c r="D912">
        <v>2</v>
      </c>
      <c r="E912">
        <f>WeeklyPicks!E305</f>
        <v>0</v>
      </c>
      <c r="F912">
        <f>IF(E912="","",SUMIFS(RaceResults!$C:$C,RaceResults!$A:$A,A912,RaceResults!$D:$D,E912))</f>
        <v>0</v>
      </c>
      <c r="G912">
        <f>IF(E912="","",SUMIFS(RaceResults!$E:$E,RaceResults!$A:$A,A912,RaceResults!$D:$D,E912))</f>
        <v>0</v>
      </c>
    </row>
    <row r="913" spans="1:7" x14ac:dyDescent="0.3">
      <c r="A913">
        <v>31</v>
      </c>
      <c r="B913" t="s">
        <v>57</v>
      </c>
      <c r="C913" t="s">
        <v>26</v>
      </c>
      <c r="D913">
        <v>3</v>
      </c>
      <c r="E913">
        <f>WeeklyPicks!F305</f>
        <v>0</v>
      </c>
      <c r="F913">
        <f>IF(E913="","",SUMIFS(RaceResults!$C:$C,RaceResults!$A:$A,A913,RaceResults!$D:$D,E913))</f>
        <v>0</v>
      </c>
      <c r="G913">
        <f>IF(E913="","",SUMIFS(RaceResults!$E:$E,RaceResults!$A:$A,A913,RaceResults!$D:$D,E913))</f>
        <v>0</v>
      </c>
    </row>
    <row r="914" spans="1:7" x14ac:dyDescent="0.3">
      <c r="A914">
        <v>31</v>
      </c>
      <c r="B914" t="s">
        <v>57</v>
      </c>
      <c r="C914" t="s">
        <v>27</v>
      </c>
      <c r="D914">
        <v>1</v>
      </c>
      <c r="E914">
        <f>WeeklyPicks!D306</f>
        <v>0</v>
      </c>
      <c r="F914">
        <f>IF(E914="","",SUMIFS(RaceResults!$C:$C,RaceResults!$A:$A,A914,RaceResults!$D:$D,E914))</f>
        <v>0</v>
      </c>
      <c r="G914">
        <f>IF(E914="","",SUMIFS(RaceResults!$E:$E,RaceResults!$A:$A,A914,RaceResults!$D:$D,E914))</f>
        <v>0</v>
      </c>
    </row>
    <row r="915" spans="1:7" x14ac:dyDescent="0.3">
      <c r="A915">
        <v>31</v>
      </c>
      <c r="B915" t="s">
        <v>57</v>
      </c>
      <c r="C915" t="s">
        <v>27</v>
      </c>
      <c r="D915">
        <v>2</v>
      </c>
      <c r="E915">
        <f>WeeklyPicks!E306</f>
        <v>0</v>
      </c>
      <c r="F915">
        <f>IF(E915="","",SUMIFS(RaceResults!$C:$C,RaceResults!$A:$A,A915,RaceResults!$D:$D,E915))</f>
        <v>0</v>
      </c>
      <c r="G915">
        <f>IF(E915="","",SUMIFS(RaceResults!$E:$E,RaceResults!$A:$A,A915,RaceResults!$D:$D,E915))</f>
        <v>0</v>
      </c>
    </row>
    <row r="916" spans="1:7" x14ac:dyDescent="0.3">
      <c r="A916">
        <v>31</v>
      </c>
      <c r="B916" t="s">
        <v>57</v>
      </c>
      <c r="C916" t="s">
        <v>27</v>
      </c>
      <c r="D916">
        <v>3</v>
      </c>
      <c r="E916">
        <f>WeeklyPicks!F306</f>
        <v>0</v>
      </c>
      <c r="F916">
        <f>IF(E916="","",SUMIFS(RaceResults!$C:$C,RaceResults!$A:$A,A916,RaceResults!$D:$D,E916))</f>
        <v>0</v>
      </c>
      <c r="G916">
        <f>IF(E916="","",SUMIFS(RaceResults!$E:$E,RaceResults!$A:$A,A916,RaceResults!$D:$D,E916))</f>
        <v>0</v>
      </c>
    </row>
    <row r="917" spans="1:7" x14ac:dyDescent="0.3">
      <c r="A917">
        <v>31</v>
      </c>
      <c r="B917" t="s">
        <v>57</v>
      </c>
      <c r="C917" t="s">
        <v>28</v>
      </c>
      <c r="D917">
        <v>1</v>
      </c>
      <c r="E917">
        <f>WeeklyPicks!D307</f>
        <v>0</v>
      </c>
      <c r="F917">
        <f>IF(E917="","",SUMIFS(RaceResults!$C:$C,RaceResults!$A:$A,A917,RaceResults!$D:$D,E917))</f>
        <v>0</v>
      </c>
      <c r="G917">
        <f>IF(E917="","",SUMIFS(RaceResults!$E:$E,RaceResults!$A:$A,A917,RaceResults!$D:$D,E917))</f>
        <v>0</v>
      </c>
    </row>
    <row r="918" spans="1:7" x14ac:dyDescent="0.3">
      <c r="A918">
        <v>31</v>
      </c>
      <c r="B918" t="s">
        <v>57</v>
      </c>
      <c r="C918" t="s">
        <v>28</v>
      </c>
      <c r="D918">
        <v>2</v>
      </c>
      <c r="E918">
        <f>WeeklyPicks!E307</f>
        <v>0</v>
      </c>
      <c r="F918">
        <f>IF(E918="","",SUMIFS(RaceResults!$C:$C,RaceResults!$A:$A,A918,RaceResults!$D:$D,E918))</f>
        <v>0</v>
      </c>
      <c r="G918">
        <f>IF(E918="","",SUMIFS(RaceResults!$E:$E,RaceResults!$A:$A,A918,RaceResults!$D:$D,E918))</f>
        <v>0</v>
      </c>
    </row>
    <row r="919" spans="1:7" x14ac:dyDescent="0.3">
      <c r="A919">
        <v>31</v>
      </c>
      <c r="B919" t="s">
        <v>57</v>
      </c>
      <c r="C919" t="s">
        <v>28</v>
      </c>
      <c r="D919">
        <v>3</v>
      </c>
      <c r="E919">
        <f>WeeklyPicks!F307</f>
        <v>0</v>
      </c>
      <c r="F919">
        <f>IF(E919="","",SUMIFS(RaceResults!$C:$C,RaceResults!$A:$A,A919,RaceResults!$D:$D,E919))</f>
        <v>0</v>
      </c>
      <c r="G919">
        <f>IF(E919="","",SUMIFS(RaceResults!$E:$E,RaceResults!$A:$A,A919,RaceResults!$D:$D,E919))</f>
        <v>0</v>
      </c>
    </row>
    <row r="920" spans="1:7" x14ac:dyDescent="0.3">
      <c r="A920">
        <v>31</v>
      </c>
      <c r="B920" t="s">
        <v>57</v>
      </c>
      <c r="C920" t="s">
        <v>29</v>
      </c>
      <c r="D920">
        <v>1</v>
      </c>
      <c r="E920">
        <f>WeeklyPicks!D308</f>
        <v>0</v>
      </c>
      <c r="F920">
        <f>IF(E920="","",SUMIFS(RaceResults!$C:$C,RaceResults!$A:$A,A920,RaceResults!$D:$D,E920))</f>
        <v>0</v>
      </c>
      <c r="G920">
        <f>IF(E920="","",SUMIFS(RaceResults!$E:$E,RaceResults!$A:$A,A920,RaceResults!$D:$D,E920))</f>
        <v>0</v>
      </c>
    </row>
    <row r="921" spans="1:7" x14ac:dyDescent="0.3">
      <c r="A921">
        <v>31</v>
      </c>
      <c r="B921" t="s">
        <v>57</v>
      </c>
      <c r="C921" t="s">
        <v>29</v>
      </c>
      <c r="D921">
        <v>2</v>
      </c>
      <c r="E921">
        <f>WeeklyPicks!E308</f>
        <v>0</v>
      </c>
      <c r="F921">
        <f>IF(E921="","",SUMIFS(RaceResults!$C:$C,RaceResults!$A:$A,A921,RaceResults!$D:$D,E921))</f>
        <v>0</v>
      </c>
      <c r="G921">
        <f>IF(E921="","",SUMIFS(RaceResults!$E:$E,RaceResults!$A:$A,A921,RaceResults!$D:$D,E921))</f>
        <v>0</v>
      </c>
    </row>
    <row r="922" spans="1:7" x14ac:dyDescent="0.3">
      <c r="A922">
        <v>31</v>
      </c>
      <c r="B922" t="s">
        <v>57</v>
      </c>
      <c r="C922" t="s">
        <v>29</v>
      </c>
      <c r="D922">
        <v>3</v>
      </c>
      <c r="E922">
        <f>WeeklyPicks!F308</f>
        <v>0</v>
      </c>
      <c r="F922">
        <f>IF(E922="","",SUMIFS(RaceResults!$C:$C,RaceResults!$A:$A,A922,RaceResults!$D:$D,E922))</f>
        <v>0</v>
      </c>
      <c r="G922">
        <f>IF(E922="","",SUMIFS(RaceResults!$E:$E,RaceResults!$A:$A,A922,RaceResults!$D:$D,E922))</f>
        <v>0</v>
      </c>
    </row>
    <row r="923" spans="1:7" x14ac:dyDescent="0.3">
      <c r="A923">
        <v>31</v>
      </c>
      <c r="B923" t="s">
        <v>57</v>
      </c>
      <c r="C923" t="s">
        <v>30</v>
      </c>
      <c r="D923">
        <v>1</v>
      </c>
      <c r="E923">
        <f>WeeklyPicks!D309</f>
        <v>0</v>
      </c>
      <c r="F923">
        <f>IF(E923="","",SUMIFS(RaceResults!$C:$C,RaceResults!$A:$A,A923,RaceResults!$D:$D,E923))</f>
        <v>0</v>
      </c>
      <c r="G923">
        <f>IF(E923="","",SUMIFS(RaceResults!$E:$E,RaceResults!$A:$A,A923,RaceResults!$D:$D,E923))</f>
        <v>0</v>
      </c>
    </row>
    <row r="924" spans="1:7" x14ac:dyDescent="0.3">
      <c r="A924">
        <v>31</v>
      </c>
      <c r="B924" t="s">
        <v>57</v>
      </c>
      <c r="C924" t="s">
        <v>30</v>
      </c>
      <c r="D924">
        <v>2</v>
      </c>
      <c r="E924">
        <f>WeeklyPicks!E309</f>
        <v>0</v>
      </c>
      <c r="F924">
        <f>IF(E924="","",SUMIFS(RaceResults!$C:$C,RaceResults!$A:$A,A924,RaceResults!$D:$D,E924))</f>
        <v>0</v>
      </c>
      <c r="G924">
        <f>IF(E924="","",SUMIFS(RaceResults!$E:$E,RaceResults!$A:$A,A924,RaceResults!$D:$D,E924))</f>
        <v>0</v>
      </c>
    </row>
    <row r="925" spans="1:7" x14ac:dyDescent="0.3">
      <c r="A925">
        <v>31</v>
      </c>
      <c r="B925" t="s">
        <v>57</v>
      </c>
      <c r="C925" t="s">
        <v>30</v>
      </c>
      <c r="D925">
        <v>3</v>
      </c>
      <c r="E925">
        <f>WeeklyPicks!F309</f>
        <v>0</v>
      </c>
      <c r="F925">
        <f>IF(E925="","",SUMIFS(RaceResults!$C:$C,RaceResults!$A:$A,A925,RaceResults!$D:$D,E925))</f>
        <v>0</v>
      </c>
      <c r="G925">
        <f>IF(E925="","",SUMIFS(RaceResults!$E:$E,RaceResults!$A:$A,A925,RaceResults!$D:$D,E925))</f>
        <v>0</v>
      </c>
    </row>
    <row r="926" spans="1:7" x14ac:dyDescent="0.3">
      <c r="A926">
        <v>31</v>
      </c>
      <c r="B926" t="s">
        <v>57</v>
      </c>
      <c r="C926" t="s">
        <v>31</v>
      </c>
      <c r="D926">
        <v>1</v>
      </c>
      <c r="E926">
        <f>WeeklyPicks!D310</f>
        <v>0</v>
      </c>
      <c r="F926">
        <f>IF(E926="","",SUMIFS(RaceResults!$C:$C,RaceResults!$A:$A,A926,RaceResults!$D:$D,E926))</f>
        <v>0</v>
      </c>
      <c r="G926">
        <f>IF(E926="","",SUMIFS(RaceResults!$E:$E,RaceResults!$A:$A,A926,RaceResults!$D:$D,E926))</f>
        <v>0</v>
      </c>
    </row>
    <row r="927" spans="1:7" x14ac:dyDescent="0.3">
      <c r="A927">
        <v>31</v>
      </c>
      <c r="B927" t="s">
        <v>57</v>
      </c>
      <c r="C927" t="s">
        <v>31</v>
      </c>
      <c r="D927">
        <v>2</v>
      </c>
      <c r="E927">
        <f>WeeklyPicks!E310</f>
        <v>0</v>
      </c>
      <c r="F927">
        <f>IF(E927="","",SUMIFS(RaceResults!$C:$C,RaceResults!$A:$A,A927,RaceResults!$D:$D,E927))</f>
        <v>0</v>
      </c>
      <c r="G927">
        <f>IF(E927="","",SUMIFS(RaceResults!$E:$E,RaceResults!$A:$A,A927,RaceResults!$D:$D,E927))</f>
        <v>0</v>
      </c>
    </row>
    <row r="928" spans="1:7" x14ac:dyDescent="0.3">
      <c r="A928">
        <v>31</v>
      </c>
      <c r="B928" t="s">
        <v>57</v>
      </c>
      <c r="C928" t="s">
        <v>31</v>
      </c>
      <c r="D928">
        <v>3</v>
      </c>
      <c r="E928">
        <f>WeeklyPicks!F310</f>
        <v>0</v>
      </c>
      <c r="F928">
        <f>IF(E928="","",SUMIFS(RaceResults!$C:$C,RaceResults!$A:$A,A928,RaceResults!$D:$D,E928))</f>
        <v>0</v>
      </c>
      <c r="G928">
        <f>IF(E928="","",SUMIFS(RaceResults!$E:$E,RaceResults!$A:$A,A928,RaceResults!$D:$D,E928))</f>
        <v>0</v>
      </c>
    </row>
    <row r="929" spans="1:7" x14ac:dyDescent="0.3">
      <c r="A929">
        <v>31</v>
      </c>
      <c r="B929" t="s">
        <v>57</v>
      </c>
      <c r="C929" t="s">
        <v>32</v>
      </c>
      <c r="D929">
        <v>1</v>
      </c>
      <c r="E929">
        <f>WeeklyPicks!D311</f>
        <v>0</v>
      </c>
      <c r="F929">
        <f>IF(E929="","",SUMIFS(RaceResults!$C:$C,RaceResults!$A:$A,A929,RaceResults!$D:$D,E929))</f>
        <v>0</v>
      </c>
      <c r="G929">
        <f>IF(E929="","",SUMIFS(RaceResults!$E:$E,RaceResults!$A:$A,A929,RaceResults!$D:$D,E929))</f>
        <v>0</v>
      </c>
    </row>
    <row r="930" spans="1:7" x14ac:dyDescent="0.3">
      <c r="A930">
        <v>31</v>
      </c>
      <c r="B930" t="s">
        <v>57</v>
      </c>
      <c r="C930" t="s">
        <v>32</v>
      </c>
      <c r="D930">
        <v>2</v>
      </c>
      <c r="E930">
        <f>WeeklyPicks!E311</f>
        <v>0</v>
      </c>
      <c r="F930">
        <f>IF(E930="","",SUMIFS(RaceResults!$C:$C,RaceResults!$A:$A,A930,RaceResults!$D:$D,E930))</f>
        <v>0</v>
      </c>
      <c r="G930">
        <f>IF(E930="","",SUMIFS(RaceResults!$E:$E,RaceResults!$A:$A,A930,RaceResults!$D:$D,E930))</f>
        <v>0</v>
      </c>
    </row>
    <row r="931" spans="1:7" x14ac:dyDescent="0.3">
      <c r="A931">
        <v>31</v>
      </c>
      <c r="B931" t="s">
        <v>57</v>
      </c>
      <c r="C931" t="s">
        <v>32</v>
      </c>
      <c r="D931">
        <v>3</v>
      </c>
      <c r="E931">
        <f>WeeklyPicks!F311</f>
        <v>0</v>
      </c>
      <c r="F931">
        <f>IF(E931="","",SUMIFS(RaceResults!$C:$C,RaceResults!$A:$A,A931,RaceResults!$D:$D,E931))</f>
        <v>0</v>
      </c>
      <c r="G931">
        <f>IF(E931="","",SUMIFS(RaceResults!$E:$E,RaceResults!$A:$A,A931,RaceResults!$D:$D,E931))</f>
        <v>0</v>
      </c>
    </row>
    <row r="932" spans="1:7" x14ac:dyDescent="0.3">
      <c r="A932">
        <v>32</v>
      </c>
      <c r="B932" t="s">
        <v>73</v>
      </c>
      <c r="C932" t="s">
        <v>21</v>
      </c>
      <c r="D932">
        <v>1</v>
      </c>
      <c r="E932">
        <f>WeeklyPicks!D312</f>
        <v>0</v>
      </c>
      <c r="F932">
        <f>IF(E932="","",SUMIFS(RaceResults!$C:$C,RaceResults!$A:$A,A932,RaceResults!$D:$D,E932))</f>
        <v>0</v>
      </c>
      <c r="G932">
        <f>IF(E932="","",SUMIFS(RaceResults!$E:$E,RaceResults!$A:$A,A932,RaceResults!$D:$D,E932))</f>
        <v>0</v>
      </c>
    </row>
    <row r="933" spans="1:7" x14ac:dyDescent="0.3">
      <c r="A933">
        <v>32</v>
      </c>
      <c r="B933" t="s">
        <v>73</v>
      </c>
      <c r="C933" t="s">
        <v>21</v>
      </c>
      <c r="D933">
        <v>2</v>
      </c>
      <c r="E933">
        <f>WeeklyPicks!E312</f>
        <v>0</v>
      </c>
      <c r="F933">
        <f>IF(E933="","",SUMIFS(RaceResults!$C:$C,RaceResults!$A:$A,A933,RaceResults!$D:$D,E933))</f>
        <v>0</v>
      </c>
      <c r="G933">
        <f>IF(E933="","",SUMIFS(RaceResults!$E:$E,RaceResults!$A:$A,A933,RaceResults!$D:$D,E933))</f>
        <v>0</v>
      </c>
    </row>
    <row r="934" spans="1:7" x14ac:dyDescent="0.3">
      <c r="A934">
        <v>32</v>
      </c>
      <c r="B934" t="s">
        <v>73</v>
      </c>
      <c r="C934" t="s">
        <v>21</v>
      </c>
      <c r="D934">
        <v>3</v>
      </c>
      <c r="E934">
        <f>WeeklyPicks!F312</f>
        <v>0</v>
      </c>
      <c r="F934">
        <f>IF(E934="","",SUMIFS(RaceResults!$C:$C,RaceResults!$A:$A,A934,RaceResults!$D:$D,E934))</f>
        <v>0</v>
      </c>
      <c r="G934">
        <f>IF(E934="","",SUMIFS(RaceResults!$E:$E,RaceResults!$A:$A,A934,RaceResults!$D:$D,E934))</f>
        <v>0</v>
      </c>
    </row>
    <row r="935" spans="1:7" x14ac:dyDescent="0.3">
      <c r="A935">
        <v>32</v>
      </c>
      <c r="B935" t="s">
        <v>73</v>
      </c>
      <c r="C935" t="s">
        <v>22</v>
      </c>
      <c r="D935">
        <v>1</v>
      </c>
      <c r="E935">
        <f>WeeklyPicks!D313</f>
        <v>0</v>
      </c>
      <c r="F935">
        <f>IF(E935="","",SUMIFS(RaceResults!$C:$C,RaceResults!$A:$A,A935,RaceResults!$D:$D,E935))</f>
        <v>0</v>
      </c>
      <c r="G935">
        <f>IF(E935="","",SUMIFS(RaceResults!$E:$E,RaceResults!$A:$A,A935,RaceResults!$D:$D,E935))</f>
        <v>0</v>
      </c>
    </row>
    <row r="936" spans="1:7" x14ac:dyDescent="0.3">
      <c r="A936">
        <v>32</v>
      </c>
      <c r="B936" t="s">
        <v>73</v>
      </c>
      <c r="C936" t="s">
        <v>22</v>
      </c>
      <c r="D936">
        <v>2</v>
      </c>
      <c r="E936">
        <f>WeeklyPicks!E313</f>
        <v>0</v>
      </c>
      <c r="F936">
        <f>IF(E936="","",SUMIFS(RaceResults!$C:$C,RaceResults!$A:$A,A936,RaceResults!$D:$D,E936))</f>
        <v>0</v>
      </c>
      <c r="G936">
        <f>IF(E936="","",SUMIFS(RaceResults!$E:$E,RaceResults!$A:$A,A936,RaceResults!$D:$D,E936))</f>
        <v>0</v>
      </c>
    </row>
    <row r="937" spans="1:7" x14ac:dyDescent="0.3">
      <c r="A937">
        <v>32</v>
      </c>
      <c r="B937" t="s">
        <v>73</v>
      </c>
      <c r="C937" t="s">
        <v>22</v>
      </c>
      <c r="D937">
        <v>3</v>
      </c>
      <c r="E937">
        <f>WeeklyPicks!F313</f>
        <v>0</v>
      </c>
      <c r="F937">
        <f>IF(E937="","",SUMIFS(RaceResults!$C:$C,RaceResults!$A:$A,A937,RaceResults!$D:$D,E937))</f>
        <v>0</v>
      </c>
      <c r="G937">
        <f>IF(E937="","",SUMIFS(RaceResults!$E:$E,RaceResults!$A:$A,A937,RaceResults!$D:$D,E937))</f>
        <v>0</v>
      </c>
    </row>
    <row r="938" spans="1:7" x14ac:dyDescent="0.3">
      <c r="A938">
        <v>32</v>
      </c>
      <c r="B938" t="s">
        <v>73</v>
      </c>
      <c r="C938" t="s">
        <v>25</v>
      </c>
      <c r="D938">
        <v>1</v>
      </c>
      <c r="E938">
        <f>WeeklyPicks!D314</f>
        <v>0</v>
      </c>
      <c r="F938">
        <f>IF(E938="","",SUMIFS(RaceResults!$C:$C,RaceResults!$A:$A,A938,RaceResults!$D:$D,E938))</f>
        <v>0</v>
      </c>
      <c r="G938">
        <f>IF(E938="","",SUMIFS(RaceResults!$E:$E,RaceResults!$A:$A,A938,RaceResults!$D:$D,E938))</f>
        <v>0</v>
      </c>
    </row>
    <row r="939" spans="1:7" x14ac:dyDescent="0.3">
      <c r="A939">
        <v>32</v>
      </c>
      <c r="B939" t="s">
        <v>73</v>
      </c>
      <c r="C939" t="s">
        <v>25</v>
      </c>
      <c r="D939">
        <v>2</v>
      </c>
      <c r="E939">
        <f>WeeklyPicks!E314</f>
        <v>0</v>
      </c>
      <c r="F939">
        <f>IF(E939="","",SUMIFS(RaceResults!$C:$C,RaceResults!$A:$A,A939,RaceResults!$D:$D,E939))</f>
        <v>0</v>
      </c>
      <c r="G939">
        <f>IF(E939="","",SUMIFS(RaceResults!$E:$E,RaceResults!$A:$A,A939,RaceResults!$D:$D,E939))</f>
        <v>0</v>
      </c>
    </row>
    <row r="940" spans="1:7" x14ac:dyDescent="0.3">
      <c r="A940">
        <v>32</v>
      </c>
      <c r="B940" t="s">
        <v>73</v>
      </c>
      <c r="C940" t="s">
        <v>25</v>
      </c>
      <c r="D940">
        <v>3</v>
      </c>
      <c r="E940">
        <f>WeeklyPicks!F314</f>
        <v>0</v>
      </c>
      <c r="F940">
        <f>IF(E940="","",SUMIFS(RaceResults!$C:$C,RaceResults!$A:$A,A940,RaceResults!$D:$D,E940))</f>
        <v>0</v>
      </c>
      <c r="G940">
        <f>IF(E940="","",SUMIFS(RaceResults!$E:$E,RaceResults!$A:$A,A940,RaceResults!$D:$D,E940))</f>
        <v>0</v>
      </c>
    </row>
    <row r="941" spans="1:7" x14ac:dyDescent="0.3">
      <c r="A941">
        <v>32</v>
      </c>
      <c r="B941" t="s">
        <v>73</v>
      </c>
      <c r="C941" t="s">
        <v>26</v>
      </c>
      <c r="D941">
        <v>1</v>
      </c>
      <c r="E941">
        <f>WeeklyPicks!D315</f>
        <v>0</v>
      </c>
      <c r="F941">
        <f>IF(E941="","",SUMIFS(RaceResults!$C:$C,RaceResults!$A:$A,A941,RaceResults!$D:$D,E941))</f>
        <v>0</v>
      </c>
      <c r="G941">
        <f>IF(E941="","",SUMIFS(RaceResults!$E:$E,RaceResults!$A:$A,A941,RaceResults!$D:$D,E941))</f>
        <v>0</v>
      </c>
    </row>
    <row r="942" spans="1:7" x14ac:dyDescent="0.3">
      <c r="A942">
        <v>32</v>
      </c>
      <c r="B942" t="s">
        <v>73</v>
      </c>
      <c r="C942" t="s">
        <v>26</v>
      </c>
      <c r="D942">
        <v>2</v>
      </c>
      <c r="E942">
        <f>WeeklyPicks!E315</f>
        <v>0</v>
      </c>
      <c r="F942">
        <f>IF(E942="","",SUMIFS(RaceResults!$C:$C,RaceResults!$A:$A,A942,RaceResults!$D:$D,E942))</f>
        <v>0</v>
      </c>
      <c r="G942">
        <f>IF(E942="","",SUMIFS(RaceResults!$E:$E,RaceResults!$A:$A,A942,RaceResults!$D:$D,E942))</f>
        <v>0</v>
      </c>
    </row>
    <row r="943" spans="1:7" x14ac:dyDescent="0.3">
      <c r="A943">
        <v>32</v>
      </c>
      <c r="B943" t="s">
        <v>73</v>
      </c>
      <c r="C943" t="s">
        <v>26</v>
      </c>
      <c r="D943">
        <v>3</v>
      </c>
      <c r="E943">
        <f>WeeklyPicks!F315</f>
        <v>0</v>
      </c>
      <c r="F943">
        <f>IF(E943="","",SUMIFS(RaceResults!$C:$C,RaceResults!$A:$A,A943,RaceResults!$D:$D,E943))</f>
        <v>0</v>
      </c>
      <c r="G943">
        <f>IF(E943="","",SUMIFS(RaceResults!$E:$E,RaceResults!$A:$A,A943,RaceResults!$D:$D,E943))</f>
        <v>0</v>
      </c>
    </row>
    <row r="944" spans="1:7" x14ac:dyDescent="0.3">
      <c r="A944">
        <v>32</v>
      </c>
      <c r="B944" t="s">
        <v>73</v>
      </c>
      <c r="C944" t="s">
        <v>27</v>
      </c>
      <c r="D944">
        <v>1</v>
      </c>
      <c r="E944">
        <f>WeeklyPicks!D316</f>
        <v>0</v>
      </c>
      <c r="F944">
        <f>IF(E944="","",SUMIFS(RaceResults!$C:$C,RaceResults!$A:$A,A944,RaceResults!$D:$D,E944))</f>
        <v>0</v>
      </c>
      <c r="G944">
        <f>IF(E944="","",SUMIFS(RaceResults!$E:$E,RaceResults!$A:$A,A944,RaceResults!$D:$D,E944))</f>
        <v>0</v>
      </c>
    </row>
    <row r="945" spans="1:7" x14ac:dyDescent="0.3">
      <c r="A945">
        <v>32</v>
      </c>
      <c r="B945" t="s">
        <v>73</v>
      </c>
      <c r="C945" t="s">
        <v>27</v>
      </c>
      <c r="D945">
        <v>2</v>
      </c>
      <c r="E945">
        <f>WeeklyPicks!E316</f>
        <v>0</v>
      </c>
      <c r="F945">
        <f>IF(E945="","",SUMIFS(RaceResults!$C:$C,RaceResults!$A:$A,A945,RaceResults!$D:$D,E945))</f>
        <v>0</v>
      </c>
      <c r="G945">
        <f>IF(E945="","",SUMIFS(RaceResults!$E:$E,RaceResults!$A:$A,A945,RaceResults!$D:$D,E945))</f>
        <v>0</v>
      </c>
    </row>
    <row r="946" spans="1:7" x14ac:dyDescent="0.3">
      <c r="A946">
        <v>32</v>
      </c>
      <c r="B946" t="s">
        <v>73</v>
      </c>
      <c r="C946" t="s">
        <v>27</v>
      </c>
      <c r="D946">
        <v>3</v>
      </c>
      <c r="E946">
        <f>WeeklyPicks!F316</f>
        <v>0</v>
      </c>
      <c r="F946">
        <f>IF(E946="","",SUMIFS(RaceResults!$C:$C,RaceResults!$A:$A,A946,RaceResults!$D:$D,E946))</f>
        <v>0</v>
      </c>
      <c r="G946">
        <f>IF(E946="","",SUMIFS(RaceResults!$E:$E,RaceResults!$A:$A,A946,RaceResults!$D:$D,E946))</f>
        <v>0</v>
      </c>
    </row>
    <row r="947" spans="1:7" x14ac:dyDescent="0.3">
      <c r="A947">
        <v>32</v>
      </c>
      <c r="B947" t="s">
        <v>73</v>
      </c>
      <c r="C947" t="s">
        <v>28</v>
      </c>
      <c r="D947">
        <v>1</v>
      </c>
      <c r="E947">
        <f>WeeklyPicks!D317</f>
        <v>0</v>
      </c>
      <c r="F947">
        <f>IF(E947="","",SUMIFS(RaceResults!$C:$C,RaceResults!$A:$A,A947,RaceResults!$D:$D,E947))</f>
        <v>0</v>
      </c>
      <c r="G947">
        <f>IF(E947="","",SUMIFS(RaceResults!$E:$E,RaceResults!$A:$A,A947,RaceResults!$D:$D,E947))</f>
        <v>0</v>
      </c>
    </row>
    <row r="948" spans="1:7" x14ac:dyDescent="0.3">
      <c r="A948">
        <v>32</v>
      </c>
      <c r="B948" t="s">
        <v>73</v>
      </c>
      <c r="C948" t="s">
        <v>28</v>
      </c>
      <c r="D948">
        <v>2</v>
      </c>
      <c r="E948">
        <f>WeeklyPicks!E317</f>
        <v>0</v>
      </c>
      <c r="F948">
        <f>IF(E948="","",SUMIFS(RaceResults!$C:$C,RaceResults!$A:$A,A948,RaceResults!$D:$D,E948))</f>
        <v>0</v>
      </c>
      <c r="G948">
        <f>IF(E948="","",SUMIFS(RaceResults!$E:$E,RaceResults!$A:$A,A948,RaceResults!$D:$D,E948))</f>
        <v>0</v>
      </c>
    </row>
    <row r="949" spans="1:7" x14ac:dyDescent="0.3">
      <c r="A949">
        <v>32</v>
      </c>
      <c r="B949" t="s">
        <v>73</v>
      </c>
      <c r="C949" t="s">
        <v>28</v>
      </c>
      <c r="D949">
        <v>3</v>
      </c>
      <c r="E949">
        <f>WeeklyPicks!F317</f>
        <v>0</v>
      </c>
      <c r="F949">
        <f>IF(E949="","",SUMIFS(RaceResults!$C:$C,RaceResults!$A:$A,A949,RaceResults!$D:$D,E949))</f>
        <v>0</v>
      </c>
      <c r="G949">
        <f>IF(E949="","",SUMIFS(RaceResults!$E:$E,RaceResults!$A:$A,A949,RaceResults!$D:$D,E949))</f>
        <v>0</v>
      </c>
    </row>
    <row r="950" spans="1:7" x14ac:dyDescent="0.3">
      <c r="A950">
        <v>32</v>
      </c>
      <c r="B950" t="s">
        <v>73</v>
      </c>
      <c r="C950" t="s">
        <v>29</v>
      </c>
      <c r="D950">
        <v>1</v>
      </c>
      <c r="E950">
        <f>WeeklyPicks!D318</f>
        <v>0</v>
      </c>
      <c r="F950">
        <f>IF(E950="","",SUMIFS(RaceResults!$C:$C,RaceResults!$A:$A,A950,RaceResults!$D:$D,E950))</f>
        <v>0</v>
      </c>
      <c r="G950">
        <f>IF(E950="","",SUMIFS(RaceResults!$E:$E,RaceResults!$A:$A,A950,RaceResults!$D:$D,E950))</f>
        <v>0</v>
      </c>
    </row>
    <row r="951" spans="1:7" x14ac:dyDescent="0.3">
      <c r="A951">
        <v>32</v>
      </c>
      <c r="B951" t="s">
        <v>73</v>
      </c>
      <c r="C951" t="s">
        <v>29</v>
      </c>
      <c r="D951">
        <v>2</v>
      </c>
      <c r="E951">
        <f>WeeklyPicks!E318</f>
        <v>0</v>
      </c>
      <c r="F951">
        <f>IF(E951="","",SUMIFS(RaceResults!$C:$C,RaceResults!$A:$A,A951,RaceResults!$D:$D,E951))</f>
        <v>0</v>
      </c>
      <c r="G951">
        <f>IF(E951="","",SUMIFS(RaceResults!$E:$E,RaceResults!$A:$A,A951,RaceResults!$D:$D,E951))</f>
        <v>0</v>
      </c>
    </row>
    <row r="952" spans="1:7" x14ac:dyDescent="0.3">
      <c r="A952">
        <v>32</v>
      </c>
      <c r="B952" t="s">
        <v>73</v>
      </c>
      <c r="C952" t="s">
        <v>29</v>
      </c>
      <c r="D952">
        <v>3</v>
      </c>
      <c r="E952">
        <f>WeeklyPicks!F318</f>
        <v>0</v>
      </c>
      <c r="F952">
        <f>IF(E952="","",SUMIFS(RaceResults!$C:$C,RaceResults!$A:$A,A952,RaceResults!$D:$D,E952))</f>
        <v>0</v>
      </c>
      <c r="G952">
        <f>IF(E952="","",SUMIFS(RaceResults!$E:$E,RaceResults!$A:$A,A952,RaceResults!$D:$D,E952))</f>
        <v>0</v>
      </c>
    </row>
    <row r="953" spans="1:7" x14ac:dyDescent="0.3">
      <c r="A953">
        <v>32</v>
      </c>
      <c r="B953" t="s">
        <v>73</v>
      </c>
      <c r="C953" t="s">
        <v>30</v>
      </c>
      <c r="D953">
        <v>1</v>
      </c>
      <c r="E953">
        <f>WeeklyPicks!D319</f>
        <v>0</v>
      </c>
      <c r="F953">
        <f>IF(E953="","",SUMIFS(RaceResults!$C:$C,RaceResults!$A:$A,A953,RaceResults!$D:$D,E953))</f>
        <v>0</v>
      </c>
      <c r="G953">
        <f>IF(E953="","",SUMIFS(RaceResults!$E:$E,RaceResults!$A:$A,A953,RaceResults!$D:$D,E953))</f>
        <v>0</v>
      </c>
    </row>
    <row r="954" spans="1:7" x14ac:dyDescent="0.3">
      <c r="A954">
        <v>32</v>
      </c>
      <c r="B954" t="s">
        <v>73</v>
      </c>
      <c r="C954" t="s">
        <v>30</v>
      </c>
      <c r="D954">
        <v>2</v>
      </c>
      <c r="E954">
        <f>WeeklyPicks!E319</f>
        <v>0</v>
      </c>
      <c r="F954">
        <f>IF(E954="","",SUMIFS(RaceResults!$C:$C,RaceResults!$A:$A,A954,RaceResults!$D:$D,E954))</f>
        <v>0</v>
      </c>
      <c r="G954">
        <f>IF(E954="","",SUMIFS(RaceResults!$E:$E,RaceResults!$A:$A,A954,RaceResults!$D:$D,E954))</f>
        <v>0</v>
      </c>
    </row>
    <row r="955" spans="1:7" x14ac:dyDescent="0.3">
      <c r="A955">
        <v>32</v>
      </c>
      <c r="B955" t="s">
        <v>73</v>
      </c>
      <c r="C955" t="s">
        <v>30</v>
      </c>
      <c r="D955">
        <v>3</v>
      </c>
      <c r="E955">
        <f>WeeklyPicks!F319</f>
        <v>0</v>
      </c>
      <c r="F955">
        <f>IF(E955="","",SUMIFS(RaceResults!$C:$C,RaceResults!$A:$A,A955,RaceResults!$D:$D,E955))</f>
        <v>0</v>
      </c>
      <c r="G955">
        <f>IF(E955="","",SUMIFS(RaceResults!$E:$E,RaceResults!$A:$A,A955,RaceResults!$D:$D,E955))</f>
        <v>0</v>
      </c>
    </row>
    <row r="956" spans="1:7" x14ac:dyDescent="0.3">
      <c r="A956">
        <v>32</v>
      </c>
      <c r="B956" t="s">
        <v>73</v>
      </c>
      <c r="C956" t="s">
        <v>31</v>
      </c>
      <c r="D956">
        <v>1</v>
      </c>
      <c r="E956">
        <f>WeeklyPicks!D320</f>
        <v>0</v>
      </c>
      <c r="F956">
        <f>IF(E956="","",SUMIFS(RaceResults!$C:$C,RaceResults!$A:$A,A956,RaceResults!$D:$D,E956))</f>
        <v>0</v>
      </c>
      <c r="G956">
        <f>IF(E956="","",SUMIFS(RaceResults!$E:$E,RaceResults!$A:$A,A956,RaceResults!$D:$D,E956))</f>
        <v>0</v>
      </c>
    </row>
    <row r="957" spans="1:7" x14ac:dyDescent="0.3">
      <c r="A957">
        <v>32</v>
      </c>
      <c r="B957" t="s">
        <v>73</v>
      </c>
      <c r="C957" t="s">
        <v>31</v>
      </c>
      <c r="D957">
        <v>2</v>
      </c>
      <c r="E957">
        <f>WeeklyPicks!E320</f>
        <v>0</v>
      </c>
      <c r="F957">
        <f>IF(E957="","",SUMIFS(RaceResults!$C:$C,RaceResults!$A:$A,A957,RaceResults!$D:$D,E957))</f>
        <v>0</v>
      </c>
      <c r="G957">
        <f>IF(E957="","",SUMIFS(RaceResults!$E:$E,RaceResults!$A:$A,A957,RaceResults!$D:$D,E957))</f>
        <v>0</v>
      </c>
    </row>
    <row r="958" spans="1:7" x14ac:dyDescent="0.3">
      <c r="A958">
        <v>32</v>
      </c>
      <c r="B958" t="s">
        <v>73</v>
      </c>
      <c r="C958" t="s">
        <v>31</v>
      </c>
      <c r="D958">
        <v>3</v>
      </c>
      <c r="E958">
        <f>WeeklyPicks!F320</f>
        <v>0</v>
      </c>
      <c r="F958">
        <f>IF(E958="","",SUMIFS(RaceResults!$C:$C,RaceResults!$A:$A,A958,RaceResults!$D:$D,E958))</f>
        <v>0</v>
      </c>
      <c r="G958">
        <f>IF(E958="","",SUMIFS(RaceResults!$E:$E,RaceResults!$A:$A,A958,RaceResults!$D:$D,E958))</f>
        <v>0</v>
      </c>
    </row>
    <row r="959" spans="1:7" x14ac:dyDescent="0.3">
      <c r="A959">
        <v>32</v>
      </c>
      <c r="B959" t="s">
        <v>73</v>
      </c>
      <c r="C959" t="s">
        <v>32</v>
      </c>
      <c r="D959">
        <v>1</v>
      </c>
      <c r="E959">
        <f>WeeklyPicks!D321</f>
        <v>0</v>
      </c>
      <c r="F959">
        <f>IF(E959="","",SUMIFS(RaceResults!$C:$C,RaceResults!$A:$A,A959,RaceResults!$D:$D,E959))</f>
        <v>0</v>
      </c>
      <c r="G959">
        <f>IF(E959="","",SUMIFS(RaceResults!$E:$E,RaceResults!$A:$A,A959,RaceResults!$D:$D,E959))</f>
        <v>0</v>
      </c>
    </row>
    <row r="960" spans="1:7" x14ac:dyDescent="0.3">
      <c r="A960">
        <v>32</v>
      </c>
      <c r="B960" t="s">
        <v>73</v>
      </c>
      <c r="C960" t="s">
        <v>32</v>
      </c>
      <c r="D960">
        <v>2</v>
      </c>
      <c r="E960">
        <f>WeeklyPicks!E321</f>
        <v>0</v>
      </c>
      <c r="F960">
        <f>IF(E960="","",SUMIFS(RaceResults!$C:$C,RaceResults!$A:$A,A960,RaceResults!$D:$D,E960))</f>
        <v>0</v>
      </c>
      <c r="G960">
        <f>IF(E960="","",SUMIFS(RaceResults!$E:$E,RaceResults!$A:$A,A960,RaceResults!$D:$D,E960))</f>
        <v>0</v>
      </c>
    </row>
    <row r="961" spans="1:7" x14ac:dyDescent="0.3">
      <c r="A961">
        <v>32</v>
      </c>
      <c r="B961" t="s">
        <v>73</v>
      </c>
      <c r="C961" t="s">
        <v>32</v>
      </c>
      <c r="D961">
        <v>3</v>
      </c>
      <c r="E961">
        <f>WeeklyPicks!F321</f>
        <v>0</v>
      </c>
      <c r="F961">
        <f>IF(E961="","",SUMIFS(RaceResults!$C:$C,RaceResults!$A:$A,A961,RaceResults!$D:$D,E961))</f>
        <v>0</v>
      </c>
      <c r="G961">
        <f>IF(E961="","",SUMIFS(RaceResults!$E:$E,RaceResults!$A:$A,A961,RaceResults!$D:$D,E961))</f>
        <v>0</v>
      </c>
    </row>
    <row r="962" spans="1:7" x14ac:dyDescent="0.3">
      <c r="A962">
        <v>33</v>
      </c>
      <c r="B962" t="s">
        <v>54</v>
      </c>
      <c r="C962" t="s">
        <v>21</v>
      </c>
      <c r="D962">
        <v>1</v>
      </c>
      <c r="E962">
        <f>WeeklyPicks!D322</f>
        <v>0</v>
      </c>
      <c r="F962">
        <f>IF(E962="","",SUMIFS(RaceResults!$C:$C,RaceResults!$A:$A,A962,RaceResults!$D:$D,E962))</f>
        <v>0</v>
      </c>
      <c r="G962">
        <f>IF(E962="","",SUMIFS(RaceResults!$E:$E,RaceResults!$A:$A,A962,RaceResults!$D:$D,E962))</f>
        <v>0</v>
      </c>
    </row>
    <row r="963" spans="1:7" x14ac:dyDescent="0.3">
      <c r="A963">
        <v>33</v>
      </c>
      <c r="B963" t="s">
        <v>54</v>
      </c>
      <c r="C963" t="s">
        <v>21</v>
      </c>
      <c r="D963">
        <v>2</v>
      </c>
      <c r="E963">
        <f>WeeklyPicks!E322</f>
        <v>0</v>
      </c>
      <c r="F963">
        <f>IF(E963="","",SUMIFS(RaceResults!$C:$C,RaceResults!$A:$A,A963,RaceResults!$D:$D,E963))</f>
        <v>0</v>
      </c>
      <c r="G963">
        <f>IF(E963="","",SUMIFS(RaceResults!$E:$E,RaceResults!$A:$A,A963,RaceResults!$D:$D,E963))</f>
        <v>0</v>
      </c>
    </row>
    <row r="964" spans="1:7" x14ac:dyDescent="0.3">
      <c r="A964">
        <v>33</v>
      </c>
      <c r="B964" t="s">
        <v>54</v>
      </c>
      <c r="C964" t="s">
        <v>21</v>
      </c>
      <c r="D964">
        <v>3</v>
      </c>
      <c r="E964">
        <f>WeeklyPicks!F322</f>
        <v>0</v>
      </c>
      <c r="F964">
        <f>IF(E964="","",SUMIFS(RaceResults!$C:$C,RaceResults!$A:$A,A964,RaceResults!$D:$D,E964))</f>
        <v>0</v>
      </c>
      <c r="G964">
        <f>IF(E964="","",SUMIFS(RaceResults!$E:$E,RaceResults!$A:$A,A964,RaceResults!$D:$D,E964))</f>
        <v>0</v>
      </c>
    </row>
    <row r="965" spans="1:7" x14ac:dyDescent="0.3">
      <c r="A965">
        <v>33</v>
      </c>
      <c r="B965" t="s">
        <v>54</v>
      </c>
      <c r="C965" t="s">
        <v>22</v>
      </c>
      <c r="D965">
        <v>1</v>
      </c>
      <c r="E965">
        <f>WeeklyPicks!D323</f>
        <v>0</v>
      </c>
      <c r="F965">
        <f>IF(E965="","",SUMIFS(RaceResults!$C:$C,RaceResults!$A:$A,A965,RaceResults!$D:$D,E965))</f>
        <v>0</v>
      </c>
      <c r="G965">
        <f>IF(E965="","",SUMIFS(RaceResults!$E:$E,RaceResults!$A:$A,A965,RaceResults!$D:$D,E965))</f>
        <v>0</v>
      </c>
    </row>
    <row r="966" spans="1:7" x14ac:dyDescent="0.3">
      <c r="A966">
        <v>33</v>
      </c>
      <c r="B966" t="s">
        <v>54</v>
      </c>
      <c r="C966" t="s">
        <v>22</v>
      </c>
      <c r="D966">
        <v>2</v>
      </c>
      <c r="E966">
        <f>WeeklyPicks!E323</f>
        <v>0</v>
      </c>
      <c r="F966">
        <f>IF(E966="","",SUMIFS(RaceResults!$C:$C,RaceResults!$A:$A,A966,RaceResults!$D:$D,E966))</f>
        <v>0</v>
      </c>
      <c r="G966">
        <f>IF(E966="","",SUMIFS(RaceResults!$E:$E,RaceResults!$A:$A,A966,RaceResults!$D:$D,E966))</f>
        <v>0</v>
      </c>
    </row>
    <row r="967" spans="1:7" x14ac:dyDescent="0.3">
      <c r="A967">
        <v>33</v>
      </c>
      <c r="B967" t="s">
        <v>54</v>
      </c>
      <c r="C967" t="s">
        <v>22</v>
      </c>
      <c r="D967">
        <v>3</v>
      </c>
      <c r="E967">
        <f>WeeklyPicks!F323</f>
        <v>0</v>
      </c>
      <c r="F967">
        <f>IF(E967="","",SUMIFS(RaceResults!$C:$C,RaceResults!$A:$A,A967,RaceResults!$D:$D,E967))</f>
        <v>0</v>
      </c>
      <c r="G967">
        <f>IF(E967="","",SUMIFS(RaceResults!$E:$E,RaceResults!$A:$A,A967,RaceResults!$D:$D,E967))</f>
        <v>0</v>
      </c>
    </row>
    <row r="968" spans="1:7" x14ac:dyDescent="0.3">
      <c r="A968">
        <v>33</v>
      </c>
      <c r="B968" t="s">
        <v>54</v>
      </c>
      <c r="C968" t="s">
        <v>25</v>
      </c>
      <c r="D968">
        <v>1</v>
      </c>
      <c r="E968">
        <f>WeeklyPicks!D324</f>
        <v>0</v>
      </c>
      <c r="F968">
        <f>IF(E968="","",SUMIFS(RaceResults!$C:$C,RaceResults!$A:$A,A968,RaceResults!$D:$D,E968))</f>
        <v>0</v>
      </c>
      <c r="G968">
        <f>IF(E968="","",SUMIFS(RaceResults!$E:$E,RaceResults!$A:$A,A968,RaceResults!$D:$D,E968))</f>
        <v>0</v>
      </c>
    </row>
    <row r="969" spans="1:7" x14ac:dyDescent="0.3">
      <c r="A969">
        <v>33</v>
      </c>
      <c r="B969" t="s">
        <v>54</v>
      </c>
      <c r="C969" t="s">
        <v>25</v>
      </c>
      <c r="D969">
        <v>2</v>
      </c>
      <c r="E969">
        <f>WeeklyPicks!E324</f>
        <v>0</v>
      </c>
      <c r="F969">
        <f>IF(E969="","",SUMIFS(RaceResults!$C:$C,RaceResults!$A:$A,A969,RaceResults!$D:$D,E969))</f>
        <v>0</v>
      </c>
      <c r="G969">
        <f>IF(E969="","",SUMIFS(RaceResults!$E:$E,RaceResults!$A:$A,A969,RaceResults!$D:$D,E969))</f>
        <v>0</v>
      </c>
    </row>
    <row r="970" spans="1:7" x14ac:dyDescent="0.3">
      <c r="A970">
        <v>33</v>
      </c>
      <c r="B970" t="s">
        <v>54</v>
      </c>
      <c r="C970" t="s">
        <v>25</v>
      </c>
      <c r="D970">
        <v>3</v>
      </c>
      <c r="E970">
        <f>WeeklyPicks!F324</f>
        <v>0</v>
      </c>
      <c r="F970">
        <f>IF(E970="","",SUMIFS(RaceResults!$C:$C,RaceResults!$A:$A,A970,RaceResults!$D:$D,E970))</f>
        <v>0</v>
      </c>
      <c r="G970">
        <f>IF(E970="","",SUMIFS(RaceResults!$E:$E,RaceResults!$A:$A,A970,RaceResults!$D:$D,E970))</f>
        <v>0</v>
      </c>
    </row>
    <row r="971" spans="1:7" x14ac:dyDescent="0.3">
      <c r="A971">
        <v>33</v>
      </c>
      <c r="B971" t="s">
        <v>54</v>
      </c>
      <c r="C971" t="s">
        <v>26</v>
      </c>
      <c r="D971">
        <v>1</v>
      </c>
      <c r="E971">
        <f>WeeklyPicks!D325</f>
        <v>0</v>
      </c>
      <c r="F971">
        <f>IF(E971="","",SUMIFS(RaceResults!$C:$C,RaceResults!$A:$A,A971,RaceResults!$D:$D,E971))</f>
        <v>0</v>
      </c>
      <c r="G971">
        <f>IF(E971="","",SUMIFS(RaceResults!$E:$E,RaceResults!$A:$A,A971,RaceResults!$D:$D,E971))</f>
        <v>0</v>
      </c>
    </row>
    <row r="972" spans="1:7" x14ac:dyDescent="0.3">
      <c r="A972">
        <v>33</v>
      </c>
      <c r="B972" t="s">
        <v>54</v>
      </c>
      <c r="C972" t="s">
        <v>26</v>
      </c>
      <c r="D972">
        <v>2</v>
      </c>
      <c r="E972">
        <f>WeeklyPicks!E325</f>
        <v>0</v>
      </c>
      <c r="F972">
        <f>IF(E972="","",SUMIFS(RaceResults!$C:$C,RaceResults!$A:$A,A972,RaceResults!$D:$D,E972))</f>
        <v>0</v>
      </c>
      <c r="G972">
        <f>IF(E972="","",SUMIFS(RaceResults!$E:$E,RaceResults!$A:$A,A972,RaceResults!$D:$D,E972))</f>
        <v>0</v>
      </c>
    </row>
    <row r="973" spans="1:7" x14ac:dyDescent="0.3">
      <c r="A973">
        <v>33</v>
      </c>
      <c r="B973" t="s">
        <v>54</v>
      </c>
      <c r="C973" t="s">
        <v>26</v>
      </c>
      <c r="D973">
        <v>3</v>
      </c>
      <c r="E973">
        <f>WeeklyPicks!F325</f>
        <v>0</v>
      </c>
      <c r="F973">
        <f>IF(E973="","",SUMIFS(RaceResults!$C:$C,RaceResults!$A:$A,A973,RaceResults!$D:$D,E973))</f>
        <v>0</v>
      </c>
      <c r="G973">
        <f>IF(E973="","",SUMIFS(RaceResults!$E:$E,RaceResults!$A:$A,A973,RaceResults!$D:$D,E973))</f>
        <v>0</v>
      </c>
    </row>
    <row r="974" spans="1:7" x14ac:dyDescent="0.3">
      <c r="A974">
        <v>33</v>
      </c>
      <c r="B974" t="s">
        <v>54</v>
      </c>
      <c r="C974" t="s">
        <v>27</v>
      </c>
      <c r="D974">
        <v>1</v>
      </c>
      <c r="E974">
        <f>WeeklyPicks!D326</f>
        <v>0</v>
      </c>
      <c r="F974">
        <f>IF(E974="","",SUMIFS(RaceResults!$C:$C,RaceResults!$A:$A,A974,RaceResults!$D:$D,E974))</f>
        <v>0</v>
      </c>
      <c r="G974">
        <f>IF(E974="","",SUMIFS(RaceResults!$E:$E,RaceResults!$A:$A,A974,RaceResults!$D:$D,E974))</f>
        <v>0</v>
      </c>
    </row>
    <row r="975" spans="1:7" x14ac:dyDescent="0.3">
      <c r="A975">
        <v>33</v>
      </c>
      <c r="B975" t="s">
        <v>54</v>
      </c>
      <c r="C975" t="s">
        <v>27</v>
      </c>
      <c r="D975">
        <v>2</v>
      </c>
      <c r="E975">
        <f>WeeklyPicks!E326</f>
        <v>0</v>
      </c>
      <c r="F975">
        <f>IF(E975="","",SUMIFS(RaceResults!$C:$C,RaceResults!$A:$A,A975,RaceResults!$D:$D,E975))</f>
        <v>0</v>
      </c>
      <c r="G975">
        <f>IF(E975="","",SUMIFS(RaceResults!$E:$E,RaceResults!$A:$A,A975,RaceResults!$D:$D,E975))</f>
        <v>0</v>
      </c>
    </row>
    <row r="976" spans="1:7" x14ac:dyDescent="0.3">
      <c r="A976">
        <v>33</v>
      </c>
      <c r="B976" t="s">
        <v>54</v>
      </c>
      <c r="C976" t="s">
        <v>27</v>
      </c>
      <c r="D976">
        <v>3</v>
      </c>
      <c r="E976">
        <f>WeeklyPicks!F326</f>
        <v>0</v>
      </c>
      <c r="F976">
        <f>IF(E976="","",SUMIFS(RaceResults!$C:$C,RaceResults!$A:$A,A976,RaceResults!$D:$D,E976))</f>
        <v>0</v>
      </c>
      <c r="G976">
        <f>IF(E976="","",SUMIFS(RaceResults!$E:$E,RaceResults!$A:$A,A976,RaceResults!$D:$D,E976))</f>
        <v>0</v>
      </c>
    </row>
    <row r="977" spans="1:7" x14ac:dyDescent="0.3">
      <c r="A977">
        <v>33</v>
      </c>
      <c r="B977" t="s">
        <v>54</v>
      </c>
      <c r="C977" t="s">
        <v>28</v>
      </c>
      <c r="D977">
        <v>1</v>
      </c>
      <c r="E977">
        <f>WeeklyPicks!D327</f>
        <v>0</v>
      </c>
      <c r="F977">
        <f>IF(E977="","",SUMIFS(RaceResults!$C:$C,RaceResults!$A:$A,A977,RaceResults!$D:$D,E977))</f>
        <v>0</v>
      </c>
      <c r="G977">
        <f>IF(E977="","",SUMIFS(RaceResults!$E:$E,RaceResults!$A:$A,A977,RaceResults!$D:$D,E977))</f>
        <v>0</v>
      </c>
    </row>
    <row r="978" spans="1:7" x14ac:dyDescent="0.3">
      <c r="A978">
        <v>33</v>
      </c>
      <c r="B978" t="s">
        <v>54</v>
      </c>
      <c r="C978" t="s">
        <v>28</v>
      </c>
      <c r="D978">
        <v>2</v>
      </c>
      <c r="E978">
        <f>WeeklyPicks!E327</f>
        <v>0</v>
      </c>
      <c r="F978">
        <f>IF(E978="","",SUMIFS(RaceResults!$C:$C,RaceResults!$A:$A,A978,RaceResults!$D:$D,E978))</f>
        <v>0</v>
      </c>
      <c r="G978">
        <f>IF(E978="","",SUMIFS(RaceResults!$E:$E,RaceResults!$A:$A,A978,RaceResults!$D:$D,E978))</f>
        <v>0</v>
      </c>
    </row>
    <row r="979" spans="1:7" x14ac:dyDescent="0.3">
      <c r="A979">
        <v>33</v>
      </c>
      <c r="B979" t="s">
        <v>54</v>
      </c>
      <c r="C979" t="s">
        <v>28</v>
      </c>
      <c r="D979">
        <v>3</v>
      </c>
      <c r="E979">
        <f>WeeklyPicks!F327</f>
        <v>0</v>
      </c>
      <c r="F979">
        <f>IF(E979="","",SUMIFS(RaceResults!$C:$C,RaceResults!$A:$A,A979,RaceResults!$D:$D,E979))</f>
        <v>0</v>
      </c>
      <c r="G979">
        <f>IF(E979="","",SUMIFS(RaceResults!$E:$E,RaceResults!$A:$A,A979,RaceResults!$D:$D,E979))</f>
        <v>0</v>
      </c>
    </row>
    <row r="980" spans="1:7" x14ac:dyDescent="0.3">
      <c r="A980">
        <v>33</v>
      </c>
      <c r="B980" t="s">
        <v>54</v>
      </c>
      <c r="C980" t="s">
        <v>29</v>
      </c>
      <c r="D980">
        <v>1</v>
      </c>
      <c r="E980">
        <f>WeeklyPicks!D328</f>
        <v>0</v>
      </c>
      <c r="F980">
        <f>IF(E980="","",SUMIFS(RaceResults!$C:$C,RaceResults!$A:$A,A980,RaceResults!$D:$D,E980))</f>
        <v>0</v>
      </c>
      <c r="G980">
        <f>IF(E980="","",SUMIFS(RaceResults!$E:$E,RaceResults!$A:$A,A980,RaceResults!$D:$D,E980))</f>
        <v>0</v>
      </c>
    </row>
    <row r="981" spans="1:7" x14ac:dyDescent="0.3">
      <c r="A981">
        <v>33</v>
      </c>
      <c r="B981" t="s">
        <v>54</v>
      </c>
      <c r="C981" t="s">
        <v>29</v>
      </c>
      <c r="D981">
        <v>2</v>
      </c>
      <c r="E981">
        <f>WeeklyPicks!E328</f>
        <v>0</v>
      </c>
      <c r="F981">
        <f>IF(E981="","",SUMIFS(RaceResults!$C:$C,RaceResults!$A:$A,A981,RaceResults!$D:$D,E981))</f>
        <v>0</v>
      </c>
      <c r="G981">
        <f>IF(E981="","",SUMIFS(RaceResults!$E:$E,RaceResults!$A:$A,A981,RaceResults!$D:$D,E981))</f>
        <v>0</v>
      </c>
    </row>
    <row r="982" spans="1:7" x14ac:dyDescent="0.3">
      <c r="A982">
        <v>33</v>
      </c>
      <c r="B982" t="s">
        <v>54</v>
      </c>
      <c r="C982" t="s">
        <v>29</v>
      </c>
      <c r="D982">
        <v>3</v>
      </c>
      <c r="E982">
        <f>WeeklyPicks!F328</f>
        <v>0</v>
      </c>
      <c r="F982">
        <f>IF(E982="","",SUMIFS(RaceResults!$C:$C,RaceResults!$A:$A,A982,RaceResults!$D:$D,E982))</f>
        <v>0</v>
      </c>
      <c r="G982">
        <f>IF(E982="","",SUMIFS(RaceResults!$E:$E,RaceResults!$A:$A,A982,RaceResults!$D:$D,E982))</f>
        <v>0</v>
      </c>
    </row>
    <row r="983" spans="1:7" x14ac:dyDescent="0.3">
      <c r="A983">
        <v>33</v>
      </c>
      <c r="B983" t="s">
        <v>54</v>
      </c>
      <c r="C983" t="s">
        <v>30</v>
      </c>
      <c r="D983">
        <v>1</v>
      </c>
      <c r="E983">
        <f>WeeklyPicks!D329</f>
        <v>0</v>
      </c>
      <c r="F983">
        <f>IF(E983="","",SUMIFS(RaceResults!$C:$C,RaceResults!$A:$A,A983,RaceResults!$D:$D,E983))</f>
        <v>0</v>
      </c>
      <c r="G983">
        <f>IF(E983="","",SUMIFS(RaceResults!$E:$E,RaceResults!$A:$A,A983,RaceResults!$D:$D,E983))</f>
        <v>0</v>
      </c>
    </row>
    <row r="984" spans="1:7" x14ac:dyDescent="0.3">
      <c r="A984">
        <v>33</v>
      </c>
      <c r="B984" t="s">
        <v>54</v>
      </c>
      <c r="C984" t="s">
        <v>30</v>
      </c>
      <c r="D984">
        <v>2</v>
      </c>
      <c r="E984">
        <f>WeeklyPicks!E329</f>
        <v>0</v>
      </c>
      <c r="F984">
        <f>IF(E984="","",SUMIFS(RaceResults!$C:$C,RaceResults!$A:$A,A984,RaceResults!$D:$D,E984))</f>
        <v>0</v>
      </c>
      <c r="G984">
        <f>IF(E984="","",SUMIFS(RaceResults!$E:$E,RaceResults!$A:$A,A984,RaceResults!$D:$D,E984))</f>
        <v>0</v>
      </c>
    </row>
    <row r="985" spans="1:7" x14ac:dyDescent="0.3">
      <c r="A985">
        <v>33</v>
      </c>
      <c r="B985" t="s">
        <v>54</v>
      </c>
      <c r="C985" t="s">
        <v>30</v>
      </c>
      <c r="D985">
        <v>3</v>
      </c>
      <c r="E985">
        <f>WeeklyPicks!F329</f>
        <v>0</v>
      </c>
      <c r="F985">
        <f>IF(E985="","",SUMIFS(RaceResults!$C:$C,RaceResults!$A:$A,A985,RaceResults!$D:$D,E985))</f>
        <v>0</v>
      </c>
      <c r="G985">
        <f>IF(E985="","",SUMIFS(RaceResults!$E:$E,RaceResults!$A:$A,A985,RaceResults!$D:$D,E985))</f>
        <v>0</v>
      </c>
    </row>
    <row r="986" spans="1:7" x14ac:dyDescent="0.3">
      <c r="A986">
        <v>33</v>
      </c>
      <c r="B986" t="s">
        <v>54</v>
      </c>
      <c r="C986" t="s">
        <v>31</v>
      </c>
      <c r="D986">
        <v>1</v>
      </c>
      <c r="E986">
        <f>WeeklyPicks!D330</f>
        <v>0</v>
      </c>
      <c r="F986">
        <f>IF(E986="","",SUMIFS(RaceResults!$C:$C,RaceResults!$A:$A,A986,RaceResults!$D:$D,E986))</f>
        <v>0</v>
      </c>
      <c r="G986">
        <f>IF(E986="","",SUMIFS(RaceResults!$E:$E,RaceResults!$A:$A,A986,RaceResults!$D:$D,E986))</f>
        <v>0</v>
      </c>
    </row>
    <row r="987" spans="1:7" x14ac:dyDescent="0.3">
      <c r="A987">
        <v>33</v>
      </c>
      <c r="B987" t="s">
        <v>54</v>
      </c>
      <c r="C987" t="s">
        <v>31</v>
      </c>
      <c r="D987">
        <v>2</v>
      </c>
      <c r="E987">
        <f>WeeklyPicks!E330</f>
        <v>0</v>
      </c>
      <c r="F987">
        <f>IF(E987="","",SUMIFS(RaceResults!$C:$C,RaceResults!$A:$A,A987,RaceResults!$D:$D,E987))</f>
        <v>0</v>
      </c>
      <c r="G987">
        <f>IF(E987="","",SUMIFS(RaceResults!$E:$E,RaceResults!$A:$A,A987,RaceResults!$D:$D,E987))</f>
        <v>0</v>
      </c>
    </row>
    <row r="988" spans="1:7" x14ac:dyDescent="0.3">
      <c r="A988">
        <v>33</v>
      </c>
      <c r="B988" t="s">
        <v>54</v>
      </c>
      <c r="C988" t="s">
        <v>31</v>
      </c>
      <c r="D988">
        <v>3</v>
      </c>
      <c r="E988">
        <f>WeeklyPicks!F330</f>
        <v>0</v>
      </c>
      <c r="F988">
        <f>IF(E988="","",SUMIFS(RaceResults!$C:$C,RaceResults!$A:$A,A988,RaceResults!$D:$D,E988))</f>
        <v>0</v>
      </c>
      <c r="G988">
        <f>IF(E988="","",SUMIFS(RaceResults!$E:$E,RaceResults!$A:$A,A988,RaceResults!$D:$D,E988))</f>
        <v>0</v>
      </c>
    </row>
    <row r="989" spans="1:7" x14ac:dyDescent="0.3">
      <c r="A989">
        <v>33</v>
      </c>
      <c r="B989" t="s">
        <v>54</v>
      </c>
      <c r="C989" t="s">
        <v>32</v>
      </c>
      <c r="D989">
        <v>1</v>
      </c>
      <c r="E989">
        <f>WeeklyPicks!D331</f>
        <v>0</v>
      </c>
      <c r="F989">
        <f>IF(E989="","",SUMIFS(RaceResults!$C:$C,RaceResults!$A:$A,A989,RaceResults!$D:$D,E989))</f>
        <v>0</v>
      </c>
      <c r="G989">
        <f>IF(E989="","",SUMIFS(RaceResults!$E:$E,RaceResults!$A:$A,A989,RaceResults!$D:$D,E989))</f>
        <v>0</v>
      </c>
    </row>
    <row r="990" spans="1:7" x14ac:dyDescent="0.3">
      <c r="A990">
        <v>33</v>
      </c>
      <c r="B990" t="s">
        <v>54</v>
      </c>
      <c r="C990" t="s">
        <v>32</v>
      </c>
      <c r="D990">
        <v>2</v>
      </c>
      <c r="E990">
        <f>WeeklyPicks!E331</f>
        <v>0</v>
      </c>
      <c r="F990">
        <f>IF(E990="","",SUMIFS(RaceResults!$C:$C,RaceResults!$A:$A,A990,RaceResults!$D:$D,E990))</f>
        <v>0</v>
      </c>
      <c r="G990">
        <f>IF(E990="","",SUMIFS(RaceResults!$E:$E,RaceResults!$A:$A,A990,RaceResults!$D:$D,E990))</f>
        <v>0</v>
      </c>
    </row>
    <row r="991" spans="1:7" x14ac:dyDescent="0.3">
      <c r="A991">
        <v>33</v>
      </c>
      <c r="B991" t="s">
        <v>54</v>
      </c>
      <c r="C991" t="s">
        <v>32</v>
      </c>
      <c r="D991">
        <v>3</v>
      </c>
      <c r="E991">
        <f>WeeklyPicks!F331</f>
        <v>0</v>
      </c>
      <c r="F991">
        <f>IF(E991="","",SUMIFS(RaceResults!$C:$C,RaceResults!$A:$A,A991,RaceResults!$D:$D,E991))</f>
        <v>0</v>
      </c>
      <c r="G991">
        <f>IF(E991="","",SUMIFS(RaceResults!$E:$E,RaceResults!$A:$A,A991,RaceResults!$D:$D,E991))</f>
        <v>0</v>
      </c>
    </row>
    <row r="992" spans="1:7" x14ac:dyDescent="0.3">
      <c r="A992">
        <v>34</v>
      </c>
      <c r="B992" t="s">
        <v>67</v>
      </c>
      <c r="C992" t="s">
        <v>21</v>
      </c>
      <c r="D992">
        <v>1</v>
      </c>
      <c r="E992">
        <f>WeeklyPicks!D332</f>
        <v>0</v>
      </c>
      <c r="F992">
        <f>IF(E992="","",SUMIFS(RaceResults!$C:$C,RaceResults!$A:$A,A992,RaceResults!$D:$D,E992))</f>
        <v>0</v>
      </c>
      <c r="G992">
        <f>IF(E992="","",SUMIFS(RaceResults!$E:$E,RaceResults!$A:$A,A992,RaceResults!$D:$D,E992))</f>
        <v>0</v>
      </c>
    </row>
    <row r="993" spans="1:7" x14ac:dyDescent="0.3">
      <c r="A993">
        <v>34</v>
      </c>
      <c r="B993" t="s">
        <v>67</v>
      </c>
      <c r="C993" t="s">
        <v>21</v>
      </c>
      <c r="D993">
        <v>2</v>
      </c>
      <c r="E993">
        <f>WeeklyPicks!E332</f>
        <v>0</v>
      </c>
      <c r="F993">
        <f>IF(E993="","",SUMIFS(RaceResults!$C:$C,RaceResults!$A:$A,A993,RaceResults!$D:$D,E993))</f>
        <v>0</v>
      </c>
      <c r="G993">
        <f>IF(E993="","",SUMIFS(RaceResults!$E:$E,RaceResults!$A:$A,A993,RaceResults!$D:$D,E993))</f>
        <v>0</v>
      </c>
    </row>
    <row r="994" spans="1:7" x14ac:dyDescent="0.3">
      <c r="A994">
        <v>34</v>
      </c>
      <c r="B994" t="s">
        <v>67</v>
      </c>
      <c r="C994" t="s">
        <v>21</v>
      </c>
      <c r="D994">
        <v>3</v>
      </c>
      <c r="E994">
        <f>WeeklyPicks!F332</f>
        <v>0</v>
      </c>
      <c r="F994">
        <f>IF(E994="","",SUMIFS(RaceResults!$C:$C,RaceResults!$A:$A,A994,RaceResults!$D:$D,E994))</f>
        <v>0</v>
      </c>
      <c r="G994">
        <f>IF(E994="","",SUMIFS(RaceResults!$E:$E,RaceResults!$A:$A,A994,RaceResults!$D:$D,E994))</f>
        <v>0</v>
      </c>
    </row>
    <row r="995" spans="1:7" x14ac:dyDescent="0.3">
      <c r="A995">
        <v>34</v>
      </c>
      <c r="B995" t="s">
        <v>67</v>
      </c>
      <c r="C995" t="s">
        <v>22</v>
      </c>
      <c r="D995">
        <v>1</v>
      </c>
      <c r="E995">
        <f>WeeklyPicks!D333</f>
        <v>0</v>
      </c>
      <c r="F995">
        <f>IF(E995="","",SUMIFS(RaceResults!$C:$C,RaceResults!$A:$A,A995,RaceResults!$D:$D,E995))</f>
        <v>0</v>
      </c>
      <c r="G995">
        <f>IF(E995="","",SUMIFS(RaceResults!$E:$E,RaceResults!$A:$A,A995,RaceResults!$D:$D,E995))</f>
        <v>0</v>
      </c>
    </row>
    <row r="996" spans="1:7" x14ac:dyDescent="0.3">
      <c r="A996">
        <v>34</v>
      </c>
      <c r="B996" t="s">
        <v>67</v>
      </c>
      <c r="C996" t="s">
        <v>22</v>
      </c>
      <c r="D996">
        <v>2</v>
      </c>
      <c r="E996">
        <f>WeeklyPicks!E333</f>
        <v>0</v>
      </c>
      <c r="F996">
        <f>IF(E996="","",SUMIFS(RaceResults!$C:$C,RaceResults!$A:$A,A996,RaceResults!$D:$D,E996))</f>
        <v>0</v>
      </c>
      <c r="G996">
        <f>IF(E996="","",SUMIFS(RaceResults!$E:$E,RaceResults!$A:$A,A996,RaceResults!$D:$D,E996))</f>
        <v>0</v>
      </c>
    </row>
    <row r="997" spans="1:7" x14ac:dyDescent="0.3">
      <c r="A997">
        <v>34</v>
      </c>
      <c r="B997" t="s">
        <v>67</v>
      </c>
      <c r="C997" t="s">
        <v>22</v>
      </c>
      <c r="D997">
        <v>3</v>
      </c>
      <c r="E997">
        <f>WeeklyPicks!F333</f>
        <v>0</v>
      </c>
      <c r="F997">
        <f>IF(E997="","",SUMIFS(RaceResults!$C:$C,RaceResults!$A:$A,A997,RaceResults!$D:$D,E997))</f>
        <v>0</v>
      </c>
      <c r="G997">
        <f>IF(E997="","",SUMIFS(RaceResults!$E:$E,RaceResults!$A:$A,A997,RaceResults!$D:$D,E997))</f>
        <v>0</v>
      </c>
    </row>
    <row r="998" spans="1:7" x14ac:dyDescent="0.3">
      <c r="A998">
        <v>34</v>
      </c>
      <c r="B998" t="s">
        <v>67</v>
      </c>
      <c r="C998" t="s">
        <v>25</v>
      </c>
      <c r="D998">
        <v>1</v>
      </c>
      <c r="E998">
        <f>WeeklyPicks!D334</f>
        <v>0</v>
      </c>
      <c r="F998">
        <f>IF(E998="","",SUMIFS(RaceResults!$C:$C,RaceResults!$A:$A,A998,RaceResults!$D:$D,E998))</f>
        <v>0</v>
      </c>
      <c r="G998">
        <f>IF(E998="","",SUMIFS(RaceResults!$E:$E,RaceResults!$A:$A,A998,RaceResults!$D:$D,E998))</f>
        <v>0</v>
      </c>
    </row>
    <row r="999" spans="1:7" x14ac:dyDescent="0.3">
      <c r="A999">
        <v>34</v>
      </c>
      <c r="B999" t="s">
        <v>67</v>
      </c>
      <c r="C999" t="s">
        <v>25</v>
      </c>
      <c r="D999">
        <v>2</v>
      </c>
      <c r="E999">
        <f>WeeklyPicks!E334</f>
        <v>0</v>
      </c>
      <c r="F999">
        <f>IF(E999="","",SUMIFS(RaceResults!$C:$C,RaceResults!$A:$A,A999,RaceResults!$D:$D,E999))</f>
        <v>0</v>
      </c>
      <c r="G999">
        <f>IF(E999="","",SUMIFS(RaceResults!$E:$E,RaceResults!$A:$A,A999,RaceResults!$D:$D,E999))</f>
        <v>0</v>
      </c>
    </row>
    <row r="1000" spans="1:7" x14ac:dyDescent="0.3">
      <c r="A1000">
        <v>34</v>
      </c>
      <c r="B1000" t="s">
        <v>67</v>
      </c>
      <c r="C1000" t="s">
        <v>25</v>
      </c>
      <c r="D1000">
        <v>3</v>
      </c>
      <c r="E1000">
        <f>WeeklyPicks!F334</f>
        <v>0</v>
      </c>
      <c r="F1000">
        <f>IF(E1000="","",SUMIFS(RaceResults!$C:$C,RaceResults!$A:$A,A1000,RaceResults!$D:$D,E1000))</f>
        <v>0</v>
      </c>
      <c r="G1000">
        <f>IF(E1000="","",SUMIFS(RaceResults!$E:$E,RaceResults!$A:$A,A1000,RaceResults!$D:$D,E1000))</f>
        <v>0</v>
      </c>
    </row>
    <row r="1001" spans="1:7" x14ac:dyDescent="0.3">
      <c r="A1001">
        <v>34</v>
      </c>
      <c r="B1001" t="s">
        <v>67</v>
      </c>
      <c r="C1001" t="s">
        <v>26</v>
      </c>
      <c r="D1001">
        <v>1</v>
      </c>
      <c r="E1001">
        <f>WeeklyPicks!D335</f>
        <v>0</v>
      </c>
      <c r="F1001">
        <f>IF(E1001="","",SUMIFS(RaceResults!$C:$C,RaceResults!$A:$A,A1001,RaceResults!$D:$D,E1001))</f>
        <v>0</v>
      </c>
      <c r="G1001">
        <f>IF(E1001="","",SUMIFS(RaceResults!$E:$E,RaceResults!$A:$A,A1001,RaceResults!$D:$D,E1001))</f>
        <v>0</v>
      </c>
    </row>
    <row r="1002" spans="1:7" x14ac:dyDescent="0.3">
      <c r="A1002">
        <v>34</v>
      </c>
      <c r="B1002" t="s">
        <v>67</v>
      </c>
      <c r="C1002" t="s">
        <v>26</v>
      </c>
      <c r="D1002">
        <v>2</v>
      </c>
      <c r="E1002">
        <f>WeeklyPicks!E335</f>
        <v>0</v>
      </c>
      <c r="F1002">
        <f>IF(E1002="","",SUMIFS(RaceResults!$C:$C,RaceResults!$A:$A,A1002,RaceResults!$D:$D,E1002))</f>
        <v>0</v>
      </c>
      <c r="G1002">
        <f>IF(E1002="","",SUMIFS(RaceResults!$E:$E,RaceResults!$A:$A,A1002,RaceResults!$D:$D,E1002))</f>
        <v>0</v>
      </c>
    </row>
    <row r="1003" spans="1:7" x14ac:dyDescent="0.3">
      <c r="A1003">
        <v>34</v>
      </c>
      <c r="B1003" t="s">
        <v>67</v>
      </c>
      <c r="C1003" t="s">
        <v>26</v>
      </c>
      <c r="D1003">
        <v>3</v>
      </c>
      <c r="E1003">
        <f>WeeklyPicks!F335</f>
        <v>0</v>
      </c>
      <c r="F1003">
        <f>IF(E1003="","",SUMIFS(RaceResults!$C:$C,RaceResults!$A:$A,A1003,RaceResults!$D:$D,E1003))</f>
        <v>0</v>
      </c>
      <c r="G1003">
        <f>IF(E1003="","",SUMIFS(RaceResults!$E:$E,RaceResults!$A:$A,A1003,RaceResults!$D:$D,E1003))</f>
        <v>0</v>
      </c>
    </row>
    <row r="1004" spans="1:7" x14ac:dyDescent="0.3">
      <c r="A1004">
        <v>34</v>
      </c>
      <c r="B1004" t="s">
        <v>67</v>
      </c>
      <c r="C1004" t="s">
        <v>27</v>
      </c>
      <c r="D1004">
        <v>1</v>
      </c>
      <c r="E1004">
        <f>WeeklyPicks!D336</f>
        <v>0</v>
      </c>
      <c r="F1004">
        <f>IF(E1004="","",SUMIFS(RaceResults!$C:$C,RaceResults!$A:$A,A1004,RaceResults!$D:$D,E1004))</f>
        <v>0</v>
      </c>
      <c r="G1004">
        <f>IF(E1004="","",SUMIFS(RaceResults!$E:$E,RaceResults!$A:$A,A1004,RaceResults!$D:$D,E1004))</f>
        <v>0</v>
      </c>
    </row>
    <row r="1005" spans="1:7" x14ac:dyDescent="0.3">
      <c r="A1005">
        <v>34</v>
      </c>
      <c r="B1005" t="s">
        <v>67</v>
      </c>
      <c r="C1005" t="s">
        <v>27</v>
      </c>
      <c r="D1005">
        <v>2</v>
      </c>
      <c r="E1005">
        <f>WeeklyPicks!E336</f>
        <v>0</v>
      </c>
      <c r="F1005">
        <f>IF(E1005="","",SUMIFS(RaceResults!$C:$C,RaceResults!$A:$A,A1005,RaceResults!$D:$D,E1005))</f>
        <v>0</v>
      </c>
      <c r="G1005">
        <f>IF(E1005="","",SUMIFS(RaceResults!$E:$E,RaceResults!$A:$A,A1005,RaceResults!$D:$D,E1005))</f>
        <v>0</v>
      </c>
    </row>
    <row r="1006" spans="1:7" x14ac:dyDescent="0.3">
      <c r="A1006">
        <v>34</v>
      </c>
      <c r="B1006" t="s">
        <v>67</v>
      </c>
      <c r="C1006" t="s">
        <v>27</v>
      </c>
      <c r="D1006">
        <v>3</v>
      </c>
      <c r="E1006">
        <f>WeeklyPicks!F336</f>
        <v>0</v>
      </c>
      <c r="F1006">
        <f>IF(E1006="","",SUMIFS(RaceResults!$C:$C,RaceResults!$A:$A,A1006,RaceResults!$D:$D,E1006))</f>
        <v>0</v>
      </c>
      <c r="G1006">
        <f>IF(E1006="","",SUMIFS(RaceResults!$E:$E,RaceResults!$A:$A,A1006,RaceResults!$D:$D,E1006))</f>
        <v>0</v>
      </c>
    </row>
    <row r="1007" spans="1:7" x14ac:dyDescent="0.3">
      <c r="A1007">
        <v>34</v>
      </c>
      <c r="B1007" t="s">
        <v>67</v>
      </c>
      <c r="C1007" t="s">
        <v>28</v>
      </c>
      <c r="D1007">
        <v>1</v>
      </c>
      <c r="E1007">
        <f>WeeklyPicks!D337</f>
        <v>0</v>
      </c>
      <c r="F1007">
        <f>IF(E1007="","",SUMIFS(RaceResults!$C:$C,RaceResults!$A:$A,A1007,RaceResults!$D:$D,E1007))</f>
        <v>0</v>
      </c>
      <c r="G1007">
        <f>IF(E1007="","",SUMIFS(RaceResults!$E:$E,RaceResults!$A:$A,A1007,RaceResults!$D:$D,E1007))</f>
        <v>0</v>
      </c>
    </row>
    <row r="1008" spans="1:7" x14ac:dyDescent="0.3">
      <c r="A1008">
        <v>34</v>
      </c>
      <c r="B1008" t="s">
        <v>67</v>
      </c>
      <c r="C1008" t="s">
        <v>28</v>
      </c>
      <c r="D1008">
        <v>2</v>
      </c>
      <c r="E1008">
        <f>WeeklyPicks!E337</f>
        <v>0</v>
      </c>
      <c r="F1008">
        <f>IF(E1008="","",SUMIFS(RaceResults!$C:$C,RaceResults!$A:$A,A1008,RaceResults!$D:$D,E1008))</f>
        <v>0</v>
      </c>
      <c r="G1008">
        <f>IF(E1008="","",SUMIFS(RaceResults!$E:$E,RaceResults!$A:$A,A1008,RaceResults!$D:$D,E1008))</f>
        <v>0</v>
      </c>
    </row>
    <row r="1009" spans="1:7" x14ac:dyDescent="0.3">
      <c r="A1009">
        <v>34</v>
      </c>
      <c r="B1009" t="s">
        <v>67</v>
      </c>
      <c r="C1009" t="s">
        <v>28</v>
      </c>
      <c r="D1009">
        <v>3</v>
      </c>
      <c r="E1009">
        <f>WeeklyPicks!F337</f>
        <v>0</v>
      </c>
      <c r="F1009">
        <f>IF(E1009="","",SUMIFS(RaceResults!$C:$C,RaceResults!$A:$A,A1009,RaceResults!$D:$D,E1009))</f>
        <v>0</v>
      </c>
      <c r="G1009">
        <f>IF(E1009="","",SUMIFS(RaceResults!$E:$E,RaceResults!$A:$A,A1009,RaceResults!$D:$D,E1009))</f>
        <v>0</v>
      </c>
    </row>
    <row r="1010" spans="1:7" x14ac:dyDescent="0.3">
      <c r="A1010">
        <v>34</v>
      </c>
      <c r="B1010" t="s">
        <v>67</v>
      </c>
      <c r="C1010" t="s">
        <v>29</v>
      </c>
      <c r="D1010">
        <v>1</v>
      </c>
      <c r="E1010">
        <f>WeeklyPicks!D338</f>
        <v>0</v>
      </c>
      <c r="F1010">
        <f>IF(E1010="","",SUMIFS(RaceResults!$C:$C,RaceResults!$A:$A,A1010,RaceResults!$D:$D,E1010))</f>
        <v>0</v>
      </c>
      <c r="G1010">
        <f>IF(E1010="","",SUMIFS(RaceResults!$E:$E,RaceResults!$A:$A,A1010,RaceResults!$D:$D,E1010))</f>
        <v>0</v>
      </c>
    </row>
    <row r="1011" spans="1:7" x14ac:dyDescent="0.3">
      <c r="A1011">
        <v>34</v>
      </c>
      <c r="B1011" t="s">
        <v>67</v>
      </c>
      <c r="C1011" t="s">
        <v>29</v>
      </c>
      <c r="D1011">
        <v>2</v>
      </c>
      <c r="E1011">
        <f>WeeklyPicks!E338</f>
        <v>0</v>
      </c>
      <c r="F1011">
        <f>IF(E1011="","",SUMIFS(RaceResults!$C:$C,RaceResults!$A:$A,A1011,RaceResults!$D:$D,E1011))</f>
        <v>0</v>
      </c>
      <c r="G1011">
        <f>IF(E1011="","",SUMIFS(RaceResults!$E:$E,RaceResults!$A:$A,A1011,RaceResults!$D:$D,E1011))</f>
        <v>0</v>
      </c>
    </row>
    <row r="1012" spans="1:7" x14ac:dyDescent="0.3">
      <c r="A1012">
        <v>34</v>
      </c>
      <c r="B1012" t="s">
        <v>67</v>
      </c>
      <c r="C1012" t="s">
        <v>29</v>
      </c>
      <c r="D1012">
        <v>3</v>
      </c>
      <c r="E1012">
        <f>WeeklyPicks!F338</f>
        <v>0</v>
      </c>
      <c r="F1012">
        <f>IF(E1012="","",SUMIFS(RaceResults!$C:$C,RaceResults!$A:$A,A1012,RaceResults!$D:$D,E1012))</f>
        <v>0</v>
      </c>
      <c r="G1012">
        <f>IF(E1012="","",SUMIFS(RaceResults!$E:$E,RaceResults!$A:$A,A1012,RaceResults!$D:$D,E1012))</f>
        <v>0</v>
      </c>
    </row>
    <row r="1013" spans="1:7" x14ac:dyDescent="0.3">
      <c r="A1013">
        <v>34</v>
      </c>
      <c r="B1013" t="s">
        <v>67</v>
      </c>
      <c r="C1013" t="s">
        <v>30</v>
      </c>
      <c r="D1013">
        <v>1</v>
      </c>
      <c r="E1013">
        <f>WeeklyPicks!D339</f>
        <v>0</v>
      </c>
      <c r="F1013">
        <f>IF(E1013="","",SUMIFS(RaceResults!$C:$C,RaceResults!$A:$A,A1013,RaceResults!$D:$D,E1013))</f>
        <v>0</v>
      </c>
      <c r="G1013">
        <f>IF(E1013="","",SUMIFS(RaceResults!$E:$E,RaceResults!$A:$A,A1013,RaceResults!$D:$D,E1013))</f>
        <v>0</v>
      </c>
    </row>
    <row r="1014" spans="1:7" x14ac:dyDescent="0.3">
      <c r="A1014">
        <v>34</v>
      </c>
      <c r="B1014" t="s">
        <v>67</v>
      </c>
      <c r="C1014" t="s">
        <v>30</v>
      </c>
      <c r="D1014">
        <v>2</v>
      </c>
      <c r="E1014">
        <f>WeeklyPicks!E339</f>
        <v>0</v>
      </c>
      <c r="F1014">
        <f>IF(E1014="","",SUMIFS(RaceResults!$C:$C,RaceResults!$A:$A,A1014,RaceResults!$D:$D,E1014))</f>
        <v>0</v>
      </c>
      <c r="G1014">
        <f>IF(E1014="","",SUMIFS(RaceResults!$E:$E,RaceResults!$A:$A,A1014,RaceResults!$D:$D,E1014))</f>
        <v>0</v>
      </c>
    </row>
    <row r="1015" spans="1:7" x14ac:dyDescent="0.3">
      <c r="A1015">
        <v>34</v>
      </c>
      <c r="B1015" t="s">
        <v>67</v>
      </c>
      <c r="C1015" t="s">
        <v>30</v>
      </c>
      <c r="D1015">
        <v>3</v>
      </c>
      <c r="E1015">
        <f>WeeklyPicks!F339</f>
        <v>0</v>
      </c>
      <c r="F1015">
        <f>IF(E1015="","",SUMIFS(RaceResults!$C:$C,RaceResults!$A:$A,A1015,RaceResults!$D:$D,E1015))</f>
        <v>0</v>
      </c>
      <c r="G1015">
        <f>IF(E1015="","",SUMIFS(RaceResults!$E:$E,RaceResults!$A:$A,A1015,RaceResults!$D:$D,E1015))</f>
        <v>0</v>
      </c>
    </row>
    <row r="1016" spans="1:7" x14ac:dyDescent="0.3">
      <c r="A1016">
        <v>34</v>
      </c>
      <c r="B1016" t="s">
        <v>67</v>
      </c>
      <c r="C1016" t="s">
        <v>31</v>
      </c>
      <c r="D1016">
        <v>1</v>
      </c>
      <c r="E1016">
        <f>WeeklyPicks!D340</f>
        <v>0</v>
      </c>
      <c r="F1016">
        <f>IF(E1016="","",SUMIFS(RaceResults!$C:$C,RaceResults!$A:$A,A1016,RaceResults!$D:$D,E1016))</f>
        <v>0</v>
      </c>
      <c r="G1016">
        <f>IF(E1016="","",SUMIFS(RaceResults!$E:$E,RaceResults!$A:$A,A1016,RaceResults!$D:$D,E1016))</f>
        <v>0</v>
      </c>
    </row>
    <row r="1017" spans="1:7" x14ac:dyDescent="0.3">
      <c r="A1017">
        <v>34</v>
      </c>
      <c r="B1017" t="s">
        <v>67</v>
      </c>
      <c r="C1017" t="s">
        <v>31</v>
      </c>
      <c r="D1017">
        <v>2</v>
      </c>
      <c r="E1017">
        <f>WeeklyPicks!E340</f>
        <v>0</v>
      </c>
      <c r="F1017">
        <f>IF(E1017="","",SUMIFS(RaceResults!$C:$C,RaceResults!$A:$A,A1017,RaceResults!$D:$D,E1017))</f>
        <v>0</v>
      </c>
      <c r="G1017">
        <f>IF(E1017="","",SUMIFS(RaceResults!$E:$E,RaceResults!$A:$A,A1017,RaceResults!$D:$D,E1017))</f>
        <v>0</v>
      </c>
    </row>
    <row r="1018" spans="1:7" x14ac:dyDescent="0.3">
      <c r="A1018">
        <v>34</v>
      </c>
      <c r="B1018" t="s">
        <v>67</v>
      </c>
      <c r="C1018" t="s">
        <v>31</v>
      </c>
      <c r="D1018">
        <v>3</v>
      </c>
      <c r="E1018">
        <f>WeeklyPicks!F340</f>
        <v>0</v>
      </c>
      <c r="F1018">
        <f>IF(E1018="","",SUMIFS(RaceResults!$C:$C,RaceResults!$A:$A,A1018,RaceResults!$D:$D,E1018))</f>
        <v>0</v>
      </c>
      <c r="G1018">
        <f>IF(E1018="","",SUMIFS(RaceResults!$E:$E,RaceResults!$A:$A,A1018,RaceResults!$D:$D,E1018))</f>
        <v>0</v>
      </c>
    </row>
    <row r="1019" spans="1:7" x14ac:dyDescent="0.3">
      <c r="A1019">
        <v>34</v>
      </c>
      <c r="B1019" t="s">
        <v>67</v>
      </c>
      <c r="C1019" t="s">
        <v>32</v>
      </c>
      <c r="D1019">
        <v>1</v>
      </c>
      <c r="E1019">
        <f>WeeklyPicks!D341</f>
        <v>0</v>
      </c>
      <c r="F1019">
        <f>IF(E1019="","",SUMIFS(RaceResults!$C:$C,RaceResults!$A:$A,A1019,RaceResults!$D:$D,E1019))</f>
        <v>0</v>
      </c>
      <c r="G1019">
        <f>IF(E1019="","",SUMIFS(RaceResults!$E:$E,RaceResults!$A:$A,A1019,RaceResults!$D:$D,E1019))</f>
        <v>0</v>
      </c>
    </row>
    <row r="1020" spans="1:7" x14ac:dyDescent="0.3">
      <c r="A1020">
        <v>34</v>
      </c>
      <c r="B1020" t="s">
        <v>67</v>
      </c>
      <c r="C1020" t="s">
        <v>32</v>
      </c>
      <c r="D1020">
        <v>2</v>
      </c>
      <c r="E1020">
        <f>WeeklyPicks!E341</f>
        <v>0</v>
      </c>
      <c r="F1020">
        <f>IF(E1020="","",SUMIFS(RaceResults!$C:$C,RaceResults!$A:$A,A1020,RaceResults!$D:$D,E1020))</f>
        <v>0</v>
      </c>
      <c r="G1020">
        <f>IF(E1020="","",SUMIFS(RaceResults!$E:$E,RaceResults!$A:$A,A1020,RaceResults!$D:$D,E1020))</f>
        <v>0</v>
      </c>
    </row>
    <row r="1021" spans="1:7" x14ac:dyDescent="0.3">
      <c r="A1021">
        <v>34</v>
      </c>
      <c r="B1021" t="s">
        <v>67</v>
      </c>
      <c r="C1021" t="s">
        <v>32</v>
      </c>
      <c r="D1021">
        <v>3</v>
      </c>
      <c r="E1021">
        <f>WeeklyPicks!F341</f>
        <v>0</v>
      </c>
      <c r="F1021">
        <f>IF(E1021="","",SUMIFS(RaceResults!$C:$C,RaceResults!$A:$A,A1021,RaceResults!$D:$D,E1021))</f>
        <v>0</v>
      </c>
      <c r="G1021">
        <f>IF(E1021="","",SUMIFS(RaceResults!$E:$E,RaceResults!$A:$A,A1021,RaceResults!$D:$D,E1021))</f>
        <v>0</v>
      </c>
    </row>
    <row r="1022" spans="1:7" x14ac:dyDescent="0.3">
      <c r="A1022">
        <v>35</v>
      </c>
      <c r="B1022" t="s">
        <v>61</v>
      </c>
      <c r="C1022" t="s">
        <v>21</v>
      </c>
      <c r="D1022">
        <v>1</v>
      </c>
      <c r="E1022">
        <f>WeeklyPicks!D342</f>
        <v>0</v>
      </c>
      <c r="F1022">
        <f>IF(E1022="","",SUMIFS(RaceResults!$C:$C,RaceResults!$A:$A,A1022,RaceResults!$D:$D,E1022))</f>
        <v>0</v>
      </c>
      <c r="G1022">
        <f>IF(E1022="","",SUMIFS(RaceResults!$E:$E,RaceResults!$A:$A,A1022,RaceResults!$D:$D,E1022))</f>
        <v>0</v>
      </c>
    </row>
    <row r="1023" spans="1:7" x14ac:dyDescent="0.3">
      <c r="A1023">
        <v>35</v>
      </c>
      <c r="B1023" t="s">
        <v>61</v>
      </c>
      <c r="C1023" t="s">
        <v>21</v>
      </c>
      <c r="D1023">
        <v>2</v>
      </c>
      <c r="E1023">
        <f>WeeklyPicks!E342</f>
        <v>0</v>
      </c>
      <c r="F1023">
        <f>IF(E1023="","",SUMIFS(RaceResults!$C:$C,RaceResults!$A:$A,A1023,RaceResults!$D:$D,E1023))</f>
        <v>0</v>
      </c>
      <c r="G1023">
        <f>IF(E1023="","",SUMIFS(RaceResults!$E:$E,RaceResults!$A:$A,A1023,RaceResults!$D:$D,E1023))</f>
        <v>0</v>
      </c>
    </row>
    <row r="1024" spans="1:7" x14ac:dyDescent="0.3">
      <c r="A1024">
        <v>35</v>
      </c>
      <c r="B1024" t="s">
        <v>61</v>
      </c>
      <c r="C1024" t="s">
        <v>21</v>
      </c>
      <c r="D1024">
        <v>3</v>
      </c>
      <c r="E1024">
        <f>WeeklyPicks!F342</f>
        <v>0</v>
      </c>
      <c r="F1024">
        <f>IF(E1024="","",SUMIFS(RaceResults!$C:$C,RaceResults!$A:$A,A1024,RaceResults!$D:$D,E1024))</f>
        <v>0</v>
      </c>
      <c r="G1024">
        <f>IF(E1024="","",SUMIFS(RaceResults!$E:$E,RaceResults!$A:$A,A1024,RaceResults!$D:$D,E1024))</f>
        <v>0</v>
      </c>
    </row>
    <row r="1025" spans="1:7" x14ac:dyDescent="0.3">
      <c r="A1025">
        <v>35</v>
      </c>
      <c r="B1025" t="s">
        <v>61</v>
      </c>
      <c r="C1025" t="s">
        <v>22</v>
      </c>
      <c r="D1025">
        <v>1</v>
      </c>
      <c r="E1025">
        <f>WeeklyPicks!D343</f>
        <v>0</v>
      </c>
      <c r="F1025">
        <f>IF(E1025="","",SUMIFS(RaceResults!$C:$C,RaceResults!$A:$A,A1025,RaceResults!$D:$D,E1025))</f>
        <v>0</v>
      </c>
      <c r="G1025">
        <f>IF(E1025="","",SUMIFS(RaceResults!$E:$E,RaceResults!$A:$A,A1025,RaceResults!$D:$D,E1025))</f>
        <v>0</v>
      </c>
    </row>
    <row r="1026" spans="1:7" x14ac:dyDescent="0.3">
      <c r="A1026">
        <v>35</v>
      </c>
      <c r="B1026" t="s">
        <v>61</v>
      </c>
      <c r="C1026" t="s">
        <v>22</v>
      </c>
      <c r="D1026">
        <v>2</v>
      </c>
      <c r="E1026">
        <f>WeeklyPicks!E343</f>
        <v>0</v>
      </c>
      <c r="F1026">
        <f>IF(E1026="","",SUMIFS(RaceResults!$C:$C,RaceResults!$A:$A,A1026,RaceResults!$D:$D,E1026))</f>
        <v>0</v>
      </c>
      <c r="G1026">
        <f>IF(E1026="","",SUMIFS(RaceResults!$E:$E,RaceResults!$A:$A,A1026,RaceResults!$D:$D,E1026))</f>
        <v>0</v>
      </c>
    </row>
    <row r="1027" spans="1:7" x14ac:dyDescent="0.3">
      <c r="A1027">
        <v>35</v>
      </c>
      <c r="B1027" t="s">
        <v>61</v>
      </c>
      <c r="C1027" t="s">
        <v>22</v>
      </c>
      <c r="D1027">
        <v>3</v>
      </c>
      <c r="E1027">
        <f>WeeklyPicks!F343</f>
        <v>0</v>
      </c>
      <c r="F1027">
        <f>IF(E1027="","",SUMIFS(RaceResults!$C:$C,RaceResults!$A:$A,A1027,RaceResults!$D:$D,E1027))</f>
        <v>0</v>
      </c>
      <c r="G1027">
        <f>IF(E1027="","",SUMIFS(RaceResults!$E:$E,RaceResults!$A:$A,A1027,RaceResults!$D:$D,E1027))</f>
        <v>0</v>
      </c>
    </row>
    <row r="1028" spans="1:7" x14ac:dyDescent="0.3">
      <c r="A1028">
        <v>35</v>
      </c>
      <c r="B1028" t="s">
        <v>61</v>
      </c>
      <c r="C1028" t="s">
        <v>25</v>
      </c>
      <c r="D1028">
        <v>1</v>
      </c>
      <c r="E1028">
        <f>WeeklyPicks!D344</f>
        <v>0</v>
      </c>
      <c r="F1028">
        <f>IF(E1028="","",SUMIFS(RaceResults!$C:$C,RaceResults!$A:$A,A1028,RaceResults!$D:$D,E1028))</f>
        <v>0</v>
      </c>
      <c r="G1028">
        <f>IF(E1028="","",SUMIFS(RaceResults!$E:$E,RaceResults!$A:$A,A1028,RaceResults!$D:$D,E1028))</f>
        <v>0</v>
      </c>
    </row>
    <row r="1029" spans="1:7" x14ac:dyDescent="0.3">
      <c r="A1029">
        <v>35</v>
      </c>
      <c r="B1029" t="s">
        <v>61</v>
      </c>
      <c r="C1029" t="s">
        <v>25</v>
      </c>
      <c r="D1029">
        <v>2</v>
      </c>
      <c r="E1029">
        <f>WeeklyPicks!E344</f>
        <v>0</v>
      </c>
      <c r="F1029">
        <f>IF(E1029="","",SUMIFS(RaceResults!$C:$C,RaceResults!$A:$A,A1029,RaceResults!$D:$D,E1029))</f>
        <v>0</v>
      </c>
      <c r="G1029">
        <f>IF(E1029="","",SUMIFS(RaceResults!$E:$E,RaceResults!$A:$A,A1029,RaceResults!$D:$D,E1029))</f>
        <v>0</v>
      </c>
    </row>
    <row r="1030" spans="1:7" x14ac:dyDescent="0.3">
      <c r="A1030">
        <v>35</v>
      </c>
      <c r="B1030" t="s">
        <v>61</v>
      </c>
      <c r="C1030" t="s">
        <v>25</v>
      </c>
      <c r="D1030">
        <v>3</v>
      </c>
      <c r="E1030">
        <f>WeeklyPicks!F344</f>
        <v>0</v>
      </c>
      <c r="F1030">
        <f>IF(E1030="","",SUMIFS(RaceResults!$C:$C,RaceResults!$A:$A,A1030,RaceResults!$D:$D,E1030))</f>
        <v>0</v>
      </c>
      <c r="G1030">
        <f>IF(E1030="","",SUMIFS(RaceResults!$E:$E,RaceResults!$A:$A,A1030,RaceResults!$D:$D,E1030))</f>
        <v>0</v>
      </c>
    </row>
    <row r="1031" spans="1:7" x14ac:dyDescent="0.3">
      <c r="A1031">
        <v>35</v>
      </c>
      <c r="B1031" t="s">
        <v>61</v>
      </c>
      <c r="C1031" t="s">
        <v>26</v>
      </c>
      <c r="D1031">
        <v>1</v>
      </c>
      <c r="E1031">
        <f>WeeklyPicks!D345</f>
        <v>0</v>
      </c>
      <c r="F1031">
        <f>IF(E1031="","",SUMIFS(RaceResults!$C:$C,RaceResults!$A:$A,A1031,RaceResults!$D:$D,E1031))</f>
        <v>0</v>
      </c>
      <c r="G1031">
        <f>IF(E1031="","",SUMIFS(RaceResults!$E:$E,RaceResults!$A:$A,A1031,RaceResults!$D:$D,E1031))</f>
        <v>0</v>
      </c>
    </row>
    <row r="1032" spans="1:7" x14ac:dyDescent="0.3">
      <c r="A1032">
        <v>35</v>
      </c>
      <c r="B1032" t="s">
        <v>61</v>
      </c>
      <c r="C1032" t="s">
        <v>26</v>
      </c>
      <c r="D1032">
        <v>2</v>
      </c>
      <c r="E1032">
        <f>WeeklyPicks!E345</f>
        <v>0</v>
      </c>
      <c r="F1032">
        <f>IF(E1032="","",SUMIFS(RaceResults!$C:$C,RaceResults!$A:$A,A1032,RaceResults!$D:$D,E1032))</f>
        <v>0</v>
      </c>
      <c r="G1032">
        <f>IF(E1032="","",SUMIFS(RaceResults!$E:$E,RaceResults!$A:$A,A1032,RaceResults!$D:$D,E1032))</f>
        <v>0</v>
      </c>
    </row>
    <row r="1033" spans="1:7" x14ac:dyDescent="0.3">
      <c r="A1033">
        <v>35</v>
      </c>
      <c r="B1033" t="s">
        <v>61</v>
      </c>
      <c r="C1033" t="s">
        <v>26</v>
      </c>
      <c r="D1033">
        <v>3</v>
      </c>
      <c r="E1033">
        <f>WeeklyPicks!F345</f>
        <v>0</v>
      </c>
      <c r="F1033">
        <f>IF(E1033="","",SUMIFS(RaceResults!$C:$C,RaceResults!$A:$A,A1033,RaceResults!$D:$D,E1033))</f>
        <v>0</v>
      </c>
      <c r="G1033">
        <f>IF(E1033="","",SUMIFS(RaceResults!$E:$E,RaceResults!$A:$A,A1033,RaceResults!$D:$D,E1033))</f>
        <v>0</v>
      </c>
    </row>
    <row r="1034" spans="1:7" x14ac:dyDescent="0.3">
      <c r="A1034">
        <v>35</v>
      </c>
      <c r="B1034" t="s">
        <v>61</v>
      </c>
      <c r="C1034" t="s">
        <v>27</v>
      </c>
      <c r="D1034">
        <v>1</v>
      </c>
      <c r="E1034">
        <f>WeeklyPicks!D346</f>
        <v>0</v>
      </c>
      <c r="F1034">
        <f>IF(E1034="","",SUMIFS(RaceResults!$C:$C,RaceResults!$A:$A,A1034,RaceResults!$D:$D,E1034))</f>
        <v>0</v>
      </c>
      <c r="G1034">
        <f>IF(E1034="","",SUMIFS(RaceResults!$E:$E,RaceResults!$A:$A,A1034,RaceResults!$D:$D,E1034))</f>
        <v>0</v>
      </c>
    </row>
    <row r="1035" spans="1:7" x14ac:dyDescent="0.3">
      <c r="A1035">
        <v>35</v>
      </c>
      <c r="B1035" t="s">
        <v>61</v>
      </c>
      <c r="C1035" t="s">
        <v>27</v>
      </c>
      <c r="D1035">
        <v>2</v>
      </c>
      <c r="E1035">
        <f>WeeklyPicks!E346</f>
        <v>0</v>
      </c>
      <c r="F1035">
        <f>IF(E1035="","",SUMIFS(RaceResults!$C:$C,RaceResults!$A:$A,A1035,RaceResults!$D:$D,E1035))</f>
        <v>0</v>
      </c>
      <c r="G1035">
        <f>IF(E1035="","",SUMIFS(RaceResults!$E:$E,RaceResults!$A:$A,A1035,RaceResults!$D:$D,E1035))</f>
        <v>0</v>
      </c>
    </row>
    <row r="1036" spans="1:7" x14ac:dyDescent="0.3">
      <c r="A1036">
        <v>35</v>
      </c>
      <c r="B1036" t="s">
        <v>61</v>
      </c>
      <c r="C1036" t="s">
        <v>27</v>
      </c>
      <c r="D1036">
        <v>3</v>
      </c>
      <c r="E1036">
        <f>WeeklyPicks!F346</f>
        <v>0</v>
      </c>
      <c r="F1036">
        <f>IF(E1036="","",SUMIFS(RaceResults!$C:$C,RaceResults!$A:$A,A1036,RaceResults!$D:$D,E1036))</f>
        <v>0</v>
      </c>
      <c r="G1036">
        <f>IF(E1036="","",SUMIFS(RaceResults!$E:$E,RaceResults!$A:$A,A1036,RaceResults!$D:$D,E1036))</f>
        <v>0</v>
      </c>
    </row>
    <row r="1037" spans="1:7" x14ac:dyDescent="0.3">
      <c r="A1037">
        <v>35</v>
      </c>
      <c r="B1037" t="s">
        <v>61</v>
      </c>
      <c r="C1037" t="s">
        <v>28</v>
      </c>
      <c r="D1037">
        <v>1</v>
      </c>
      <c r="E1037">
        <f>WeeklyPicks!D347</f>
        <v>0</v>
      </c>
      <c r="F1037">
        <f>IF(E1037="","",SUMIFS(RaceResults!$C:$C,RaceResults!$A:$A,A1037,RaceResults!$D:$D,E1037))</f>
        <v>0</v>
      </c>
      <c r="G1037">
        <f>IF(E1037="","",SUMIFS(RaceResults!$E:$E,RaceResults!$A:$A,A1037,RaceResults!$D:$D,E1037))</f>
        <v>0</v>
      </c>
    </row>
    <row r="1038" spans="1:7" x14ac:dyDescent="0.3">
      <c r="A1038">
        <v>35</v>
      </c>
      <c r="B1038" t="s">
        <v>61</v>
      </c>
      <c r="C1038" t="s">
        <v>28</v>
      </c>
      <c r="D1038">
        <v>2</v>
      </c>
      <c r="E1038">
        <f>WeeklyPicks!E347</f>
        <v>0</v>
      </c>
      <c r="F1038">
        <f>IF(E1038="","",SUMIFS(RaceResults!$C:$C,RaceResults!$A:$A,A1038,RaceResults!$D:$D,E1038))</f>
        <v>0</v>
      </c>
      <c r="G1038">
        <f>IF(E1038="","",SUMIFS(RaceResults!$E:$E,RaceResults!$A:$A,A1038,RaceResults!$D:$D,E1038))</f>
        <v>0</v>
      </c>
    </row>
    <row r="1039" spans="1:7" x14ac:dyDescent="0.3">
      <c r="A1039">
        <v>35</v>
      </c>
      <c r="B1039" t="s">
        <v>61</v>
      </c>
      <c r="C1039" t="s">
        <v>28</v>
      </c>
      <c r="D1039">
        <v>3</v>
      </c>
      <c r="E1039">
        <f>WeeklyPicks!F347</f>
        <v>0</v>
      </c>
      <c r="F1039">
        <f>IF(E1039="","",SUMIFS(RaceResults!$C:$C,RaceResults!$A:$A,A1039,RaceResults!$D:$D,E1039))</f>
        <v>0</v>
      </c>
      <c r="G1039">
        <f>IF(E1039="","",SUMIFS(RaceResults!$E:$E,RaceResults!$A:$A,A1039,RaceResults!$D:$D,E1039))</f>
        <v>0</v>
      </c>
    </row>
    <row r="1040" spans="1:7" x14ac:dyDescent="0.3">
      <c r="A1040">
        <v>35</v>
      </c>
      <c r="B1040" t="s">
        <v>61</v>
      </c>
      <c r="C1040" t="s">
        <v>29</v>
      </c>
      <c r="D1040">
        <v>1</v>
      </c>
      <c r="E1040">
        <f>WeeklyPicks!D348</f>
        <v>0</v>
      </c>
      <c r="F1040">
        <f>IF(E1040="","",SUMIFS(RaceResults!$C:$C,RaceResults!$A:$A,A1040,RaceResults!$D:$D,E1040))</f>
        <v>0</v>
      </c>
      <c r="G1040">
        <f>IF(E1040="","",SUMIFS(RaceResults!$E:$E,RaceResults!$A:$A,A1040,RaceResults!$D:$D,E1040))</f>
        <v>0</v>
      </c>
    </row>
    <row r="1041" spans="1:7" x14ac:dyDescent="0.3">
      <c r="A1041">
        <v>35</v>
      </c>
      <c r="B1041" t="s">
        <v>61</v>
      </c>
      <c r="C1041" t="s">
        <v>29</v>
      </c>
      <c r="D1041">
        <v>2</v>
      </c>
      <c r="E1041">
        <f>WeeklyPicks!E348</f>
        <v>0</v>
      </c>
      <c r="F1041">
        <f>IF(E1041="","",SUMIFS(RaceResults!$C:$C,RaceResults!$A:$A,A1041,RaceResults!$D:$D,E1041))</f>
        <v>0</v>
      </c>
      <c r="G1041">
        <f>IF(E1041="","",SUMIFS(RaceResults!$E:$E,RaceResults!$A:$A,A1041,RaceResults!$D:$D,E1041))</f>
        <v>0</v>
      </c>
    </row>
    <row r="1042" spans="1:7" x14ac:dyDescent="0.3">
      <c r="A1042">
        <v>35</v>
      </c>
      <c r="B1042" t="s">
        <v>61</v>
      </c>
      <c r="C1042" t="s">
        <v>29</v>
      </c>
      <c r="D1042">
        <v>3</v>
      </c>
      <c r="E1042">
        <f>WeeklyPicks!F348</f>
        <v>0</v>
      </c>
      <c r="F1042">
        <f>IF(E1042="","",SUMIFS(RaceResults!$C:$C,RaceResults!$A:$A,A1042,RaceResults!$D:$D,E1042))</f>
        <v>0</v>
      </c>
      <c r="G1042">
        <f>IF(E1042="","",SUMIFS(RaceResults!$E:$E,RaceResults!$A:$A,A1042,RaceResults!$D:$D,E1042))</f>
        <v>0</v>
      </c>
    </row>
    <row r="1043" spans="1:7" x14ac:dyDescent="0.3">
      <c r="A1043">
        <v>35</v>
      </c>
      <c r="B1043" t="s">
        <v>61</v>
      </c>
      <c r="C1043" t="s">
        <v>30</v>
      </c>
      <c r="D1043">
        <v>1</v>
      </c>
      <c r="E1043">
        <f>WeeklyPicks!D349</f>
        <v>0</v>
      </c>
      <c r="F1043">
        <f>IF(E1043="","",SUMIFS(RaceResults!$C:$C,RaceResults!$A:$A,A1043,RaceResults!$D:$D,E1043))</f>
        <v>0</v>
      </c>
      <c r="G1043">
        <f>IF(E1043="","",SUMIFS(RaceResults!$E:$E,RaceResults!$A:$A,A1043,RaceResults!$D:$D,E1043))</f>
        <v>0</v>
      </c>
    </row>
    <row r="1044" spans="1:7" x14ac:dyDescent="0.3">
      <c r="A1044">
        <v>35</v>
      </c>
      <c r="B1044" t="s">
        <v>61</v>
      </c>
      <c r="C1044" t="s">
        <v>30</v>
      </c>
      <c r="D1044">
        <v>2</v>
      </c>
      <c r="E1044">
        <f>WeeklyPicks!E349</f>
        <v>0</v>
      </c>
      <c r="F1044">
        <f>IF(E1044="","",SUMIFS(RaceResults!$C:$C,RaceResults!$A:$A,A1044,RaceResults!$D:$D,E1044))</f>
        <v>0</v>
      </c>
      <c r="G1044">
        <f>IF(E1044="","",SUMIFS(RaceResults!$E:$E,RaceResults!$A:$A,A1044,RaceResults!$D:$D,E1044))</f>
        <v>0</v>
      </c>
    </row>
    <row r="1045" spans="1:7" x14ac:dyDescent="0.3">
      <c r="A1045">
        <v>35</v>
      </c>
      <c r="B1045" t="s">
        <v>61</v>
      </c>
      <c r="C1045" t="s">
        <v>30</v>
      </c>
      <c r="D1045">
        <v>3</v>
      </c>
      <c r="E1045">
        <f>WeeklyPicks!F349</f>
        <v>0</v>
      </c>
      <c r="F1045">
        <f>IF(E1045="","",SUMIFS(RaceResults!$C:$C,RaceResults!$A:$A,A1045,RaceResults!$D:$D,E1045))</f>
        <v>0</v>
      </c>
      <c r="G1045">
        <f>IF(E1045="","",SUMIFS(RaceResults!$E:$E,RaceResults!$A:$A,A1045,RaceResults!$D:$D,E1045))</f>
        <v>0</v>
      </c>
    </row>
    <row r="1046" spans="1:7" x14ac:dyDescent="0.3">
      <c r="A1046">
        <v>35</v>
      </c>
      <c r="B1046" t="s">
        <v>61</v>
      </c>
      <c r="C1046" t="s">
        <v>31</v>
      </c>
      <c r="D1046">
        <v>1</v>
      </c>
      <c r="E1046">
        <f>WeeklyPicks!D350</f>
        <v>0</v>
      </c>
      <c r="F1046">
        <f>IF(E1046="","",SUMIFS(RaceResults!$C:$C,RaceResults!$A:$A,A1046,RaceResults!$D:$D,E1046))</f>
        <v>0</v>
      </c>
      <c r="G1046">
        <f>IF(E1046="","",SUMIFS(RaceResults!$E:$E,RaceResults!$A:$A,A1046,RaceResults!$D:$D,E1046))</f>
        <v>0</v>
      </c>
    </row>
    <row r="1047" spans="1:7" x14ac:dyDescent="0.3">
      <c r="A1047">
        <v>35</v>
      </c>
      <c r="B1047" t="s">
        <v>61</v>
      </c>
      <c r="C1047" t="s">
        <v>31</v>
      </c>
      <c r="D1047">
        <v>2</v>
      </c>
      <c r="E1047">
        <f>WeeklyPicks!E350</f>
        <v>0</v>
      </c>
      <c r="F1047">
        <f>IF(E1047="","",SUMIFS(RaceResults!$C:$C,RaceResults!$A:$A,A1047,RaceResults!$D:$D,E1047))</f>
        <v>0</v>
      </c>
      <c r="G1047">
        <f>IF(E1047="","",SUMIFS(RaceResults!$E:$E,RaceResults!$A:$A,A1047,RaceResults!$D:$D,E1047))</f>
        <v>0</v>
      </c>
    </row>
    <row r="1048" spans="1:7" x14ac:dyDescent="0.3">
      <c r="A1048">
        <v>35</v>
      </c>
      <c r="B1048" t="s">
        <v>61</v>
      </c>
      <c r="C1048" t="s">
        <v>31</v>
      </c>
      <c r="D1048">
        <v>3</v>
      </c>
      <c r="E1048">
        <f>WeeklyPicks!F350</f>
        <v>0</v>
      </c>
      <c r="F1048">
        <f>IF(E1048="","",SUMIFS(RaceResults!$C:$C,RaceResults!$A:$A,A1048,RaceResults!$D:$D,E1048))</f>
        <v>0</v>
      </c>
      <c r="G1048">
        <f>IF(E1048="","",SUMIFS(RaceResults!$E:$E,RaceResults!$A:$A,A1048,RaceResults!$D:$D,E1048))</f>
        <v>0</v>
      </c>
    </row>
    <row r="1049" spans="1:7" x14ac:dyDescent="0.3">
      <c r="A1049">
        <v>35</v>
      </c>
      <c r="B1049" t="s">
        <v>61</v>
      </c>
      <c r="C1049" t="s">
        <v>32</v>
      </c>
      <c r="D1049">
        <v>1</v>
      </c>
      <c r="E1049">
        <f>WeeklyPicks!D351</f>
        <v>0</v>
      </c>
      <c r="F1049">
        <f>IF(E1049="","",SUMIFS(RaceResults!$C:$C,RaceResults!$A:$A,A1049,RaceResults!$D:$D,E1049))</f>
        <v>0</v>
      </c>
      <c r="G1049">
        <f>IF(E1049="","",SUMIFS(RaceResults!$E:$E,RaceResults!$A:$A,A1049,RaceResults!$D:$D,E1049))</f>
        <v>0</v>
      </c>
    </row>
    <row r="1050" spans="1:7" x14ac:dyDescent="0.3">
      <c r="A1050">
        <v>35</v>
      </c>
      <c r="B1050" t="s">
        <v>61</v>
      </c>
      <c r="C1050" t="s">
        <v>32</v>
      </c>
      <c r="D1050">
        <v>2</v>
      </c>
      <c r="E1050">
        <f>WeeklyPicks!E351</f>
        <v>0</v>
      </c>
      <c r="F1050">
        <f>IF(E1050="","",SUMIFS(RaceResults!$C:$C,RaceResults!$A:$A,A1050,RaceResults!$D:$D,E1050))</f>
        <v>0</v>
      </c>
      <c r="G1050">
        <f>IF(E1050="","",SUMIFS(RaceResults!$E:$E,RaceResults!$A:$A,A1050,RaceResults!$D:$D,E1050))</f>
        <v>0</v>
      </c>
    </row>
    <row r="1051" spans="1:7" x14ac:dyDescent="0.3">
      <c r="A1051">
        <v>35</v>
      </c>
      <c r="B1051" t="s">
        <v>61</v>
      </c>
      <c r="C1051" t="s">
        <v>32</v>
      </c>
      <c r="D1051">
        <v>3</v>
      </c>
      <c r="E1051">
        <f>WeeklyPicks!F351</f>
        <v>0</v>
      </c>
      <c r="F1051">
        <f>IF(E1051="","",SUMIFS(RaceResults!$C:$C,RaceResults!$A:$A,A1051,RaceResults!$D:$D,E1051))</f>
        <v>0</v>
      </c>
      <c r="G1051">
        <f>IF(E1051="","",SUMIFS(RaceResults!$E:$E,RaceResults!$A:$A,A1051,RaceResults!$D:$D,E1051))</f>
        <v>0</v>
      </c>
    </row>
    <row r="1052" spans="1:7" x14ac:dyDescent="0.3">
      <c r="A1052">
        <v>36</v>
      </c>
      <c r="B1052" t="s">
        <v>115</v>
      </c>
      <c r="C1052" t="s">
        <v>21</v>
      </c>
      <c r="D1052">
        <v>1</v>
      </c>
      <c r="E1052">
        <f>WeeklyPicks!D352</f>
        <v>0</v>
      </c>
      <c r="F1052">
        <f>IF(E1052="","",SUMIFS(RaceResults!$C:$C,RaceResults!$A:$A,A1052,RaceResults!$D:$D,E1052))</f>
        <v>0</v>
      </c>
      <c r="G1052">
        <f>IF(E1052="","",SUMIFS(RaceResults!$E:$E,RaceResults!$A:$A,A1052,RaceResults!$D:$D,E1052))</f>
        <v>0</v>
      </c>
    </row>
    <row r="1053" spans="1:7" x14ac:dyDescent="0.3">
      <c r="A1053">
        <v>36</v>
      </c>
      <c r="B1053" t="s">
        <v>115</v>
      </c>
      <c r="C1053" t="s">
        <v>21</v>
      </c>
      <c r="D1053">
        <v>2</v>
      </c>
      <c r="E1053">
        <f>WeeklyPicks!E352</f>
        <v>0</v>
      </c>
      <c r="F1053">
        <f>IF(E1053="","",SUMIFS(RaceResults!$C:$C,RaceResults!$A:$A,A1053,RaceResults!$D:$D,E1053))</f>
        <v>0</v>
      </c>
      <c r="G1053">
        <f>IF(E1053="","",SUMIFS(RaceResults!$E:$E,RaceResults!$A:$A,A1053,RaceResults!$D:$D,E1053))</f>
        <v>0</v>
      </c>
    </row>
    <row r="1054" spans="1:7" x14ac:dyDescent="0.3">
      <c r="A1054">
        <v>36</v>
      </c>
      <c r="B1054" t="s">
        <v>115</v>
      </c>
      <c r="C1054" t="s">
        <v>21</v>
      </c>
      <c r="D1054">
        <v>3</v>
      </c>
      <c r="E1054">
        <f>WeeklyPicks!F352</f>
        <v>0</v>
      </c>
      <c r="F1054">
        <f>IF(E1054="","",SUMIFS(RaceResults!$C:$C,RaceResults!$A:$A,A1054,RaceResults!$D:$D,E1054))</f>
        <v>0</v>
      </c>
      <c r="G1054">
        <f>IF(E1054="","",SUMIFS(RaceResults!$E:$E,RaceResults!$A:$A,A1054,RaceResults!$D:$D,E1054))</f>
        <v>0</v>
      </c>
    </row>
    <row r="1055" spans="1:7" x14ac:dyDescent="0.3">
      <c r="A1055">
        <v>36</v>
      </c>
      <c r="B1055" t="s">
        <v>115</v>
      </c>
      <c r="C1055" t="s">
        <v>22</v>
      </c>
      <c r="D1055">
        <v>1</v>
      </c>
      <c r="E1055">
        <f>WeeklyPicks!D353</f>
        <v>0</v>
      </c>
      <c r="F1055">
        <f>IF(E1055="","",SUMIFS(RaceResults!$C:$C,RaceResults!$A:$A,A1055,RaceResults!$D:$D,E1055))</f>
        <v>0</v>
      </c>
      <c r="G1055">
        <f>IF(E1055="","",SUMIFS(RaceResults!$E:$E,RaceResults!$A:$A,A1055,RaceResults!$D:$D,E1055))</f>
        <v>0</v>
      </c>
    </row>
    <row r="1056" spans="1:7" x14ac:dyDescent="0.3">
      <c r="A1056">
        <v>36</v>
      </c>
      <c r="B1056" t="s">
        <v>115</v>
      </c>
      <c r="C1056" t="s">
        <v>22</v>
      </c>
      <c r="D1056">
        <v>2</v>
      </c>
      <c r="E1056">
        <f>WeeklyPicks!E353</f>
        <v>0</v>
      </c>
      <c r="F1056">
        <f>IF(E1056="","",SUMIFS(RaceResults!$C:$C,RaceResults!$A:$A,A1056,RaceResults!$D:$D,E1056))</f>
        <v>0</v>
      </c>
      <c r="G1056">
        <f>IF(E1056="","",SUMIFS(RaceResults!$E:$E,RaceResults!$A:$A,A1056,RaceResults!$D:$D,E1056))</f>
        <v>0</v>
      </c>
    </row>
    <row r="1057" spans="1:7" x14ac:dyDescent="0.3">
      <c r="A1057">
        <v>36</v>
      </c>
      <c r="B1057" t="s">
        <v>115</v>
      </c>
      <c r="C1057" t="s">
        <v>22</v>
      </c>
      <c r="D1057">
        <v>3</v>
      </c>
      <c r="E1057">
        <f>WeeklyPicks!F353</f>
        <v>0</v>
      </c>
      <c r="F1057">
        <f>IF(E1057="","",SUMIFS(RaceResults!$C:$C,RaceResults!$A:$A,A1057,RaceResults!$D:$D,E1057))</f>
        <v>0</v>
      </c>
      <c r="G1057">
        <f>IF(E1057="","",SUMIFS(RaceResults!$E:$E,RaceResults!$A:$A,A1057,RaceResults!$D:$D,E1057))</f>
        <v>0</v>
      </c>
    </row>
    <row r="1058" spans="1:7" x14ac:dyDescent="0.3">
      <c r="A1058">
        <v>36</v>
      </c>
      <c r="B1058" t="s">
        <v>115</v>
      </c>
      <c r="C1058" t="s">
        <v>25</v>
      </c>
      <c r="D1058">
        <v>1</v>
      </c>
      <c r="E1058">
        <f>WeeklyPicks!D354</f>
        <v>0</v>
      </c>
      <c r="F1058">
        <f>IF(E1058="","",SUMIFS(RaceResults!$C:$C,RaceResults!$A:$A,A1058,RaceResults!$D:$D,E1058))</f>
        <v>0</v>
      </c>
      <c r="G1058">
        <f>IF(E1058="","",SUMIFS(RaceResults!$E:$E,RaceResults!$A:$A,A1058,RaceResults!$D:$D,E1058))</f>
        <v>0</v>
      </c>
    </row>
    <row r="1059" spans="1:7" x14ac:dyDescent="0.3">
      <c r="A1059">
        <v>36</v>
      </c>
      <c r="B1059" t="s">
        <v>115</v>
      </c>
      <c r="C1059" t="s">
        <v>25</v>
      </c>
      <c r="D1059">
        <v>2</v>
      </c>
      <c r="E1059">
        <f>WeeklyPicks!E354</f>
        <v>0</v>
      </c>
      <c r="F1059">
        <f>IF(E1059="","",SUMIFS(RaceResults!$C:$C,RaceResults!$A:$A,A1059,RaceResults!$D:$D,E1059))</f>
        <v>0</v>
      </c>
      <c r="G1059">
        <f>IF(E1059="","",SUMIFS(RaceResults!$E:$E,RaceResults!$A:$A,A1059,RaceResults!$D:$D,E1059))</f>
        <v>0</v>
      </c>
    </row>
    <row r="1060" spans="1:7" x14ac:dyDescent="0.3">
      <c r="A1060">
        <v>36</v>
      </c>
      <c r="B1060" t="s">
        <v>115</v>
      </c>
      <c r="C1060" t="s">
        <v>25</v>
      </c>
      <c r="D1060">
        <v>3</v>
      </c>
      <c r="E1060">
        <f>WeeklyPicks!F354</f>
        <v>0</v>
      </c>
      <c r="F1060">
        <f>IF(E1060="","",SUMIFS(RaceResults!$C:$C,RaceResults!$A:$A,A1060,RaceResults!$D:$D,E1060))</f>
        <v>0</v>
      </c>
      <c r="G1060">
        <f>IF(E1060="","",SUMIFS(RaceResults!$E:$E,RaceResults!$A:$A,A1060,RaceResults!$D:$D,E1060))</f>
        <v>0</v>
      </c>
    </row>
    <row r="1061" spans="1:7" x14ac:dyDescent="0.3">
      <c r="A1061">
        <v>36</v>
      </c>
      <c r="B1061" t="s">
        <v>115</v>
      </c>
      <c r="C1061" t="s">
        <v>26</v>
      </c>
      <c r="D1061">
        <v>1</v>
      </c>
      <c r="E1061">
        <f>WeeklyPicks!D355</f>
        <v>0</v>
      </c>
      <c r="F1061">
        <f>IF(E1061="","",SUMIFS(RaceResults!$C:$C,RaceResults!$A:$A,A1061,RaceResults!$D:$D,E1061))</f>
        <v>0</v>
      </c>
      <c r="G1061">
        <f>IF(E1061="","",SUMIFS(RaceResults!$E:$E,RaceResults!$A:$A,A1061,RaceResults!$D:$D,E1061))</f>
        <v>0</v>
      </c>
    </row>
    <row r="1062" spans="1:7" x14ac:dyDescent="0.3">
      <c r="A1062">
        <v>36</v>
      </c>
      <c r="B1062" t="s">
        <v>115</v>
      </c>
      <c r="C1062" t="s">
        <v>26</v>
      </c>
      <c r="D1062">
        <v>2</v>
      </c>
      <c r="E1062">
        <f>WeeklyPicks!E355</f>
        <v>0</v>
      </c>
      <c r="F1062">
        <f>IF(E1062="","",SUMIFS(RaceResults!$C:$C,RaceResults!$A:$A,A1062,RaceResults!$D:$D,E1062))</f>
        <v>0</v>
      </c>
      <c r="G1062">
        <f>IF(E1062="","",SUMIFS(RaceResults!$E:$E,RaceResults!$A:$A,A1062,RaceResults!$D:$D,E1062))</f>
        <v>0</v>
      </c>
    </row>
    <row r="1063" spans="1:7" x14ac:dyDescent="0.3">
      <c r="A1063">
        <v>36</v>
      </c>
      <c r="B1063" t="s">
        <v>115</v>
      </c>
      <c r="C1063" t="s">
        <v>26</v>
      </c>
      <c r="D1063">
        <v>3</v>
      </c>
      <c r="E1063">
        <f>WeeklyPicks!F355</f>
        <v>0</v>
      </c>
      <c r="F1063">
        <f>IF(E1063="","",SUMIFS(RaceResults!$C:$C,RaceResults!$A:$A,A1063,RaceResults!$D:$D,E1063))</f>
        <v>0</v>
      </c>
      <c r="G1063">
        <f>IF(E1063="","",SUMIFS(RaceResults!$E:$E,RaceResults!$A:$A,A1063,RaceResults!$D:$D,E1063))</f>
        <v>0</v>
      </c>
    </row>
    <row r="1064" spans="1:7" x14ac:dyDescent="0.3">
      <c r="A1064">
        <v>36</v>
      </c>
      <c r="B1064" t="s">
        <v>115</v>
      </c>
      <c r="C1064" t="s">
        <v>27</v>
      </c>
      <c r="D1064">
        <v>1</v>
      </c>
      <c r="E1064">
        <f>WeeklyPicks!D356</f>
        <v>0</v>
      </c>
      <c r="F1064">
        <f>IF(E1064="","",SUMIFS(RaceResults!$C:$C,RaceResults!$A:$A,A1064,RaceResults!$D:$D,E1064))</f>
        <v>0</v>
      </c>
      <c r="G1064">
        <f>IF(E1064="","",SUMIFS(RaceResults!$E:$E,RaceResults!$A:$A,A1064,RaceResults!$D:$D,E1064))</f>
        <v>0</v>
      </c>
    </row>
    <row r="1065" spans="1:7" x14ac:dyDescent="0.3">
      <c r="A1065">
        <v>36</v>
      </c>
      <c r="B1065" t="s">
        <v>115</v>
      </c>
      <c r="C1065" t="s">
        <v>27</v>
      </c>
      <c r="D1065">
        <v>2</v>
      </c>
      <c r="E1065">
        <f>WeeklyPicks!E356</f>
        <v>0</v>
      </c>
      <c r="F1065">
        <f>IF(E1065="","",SUMIFS(RaceResults!$C:$C,RaceResults!$A:$A,A1065,RaceResults!$D:$D,E1065))</f>
        <v>0</v>
      </c>
      <c r="G1065">
        <f>IF(E1065="","",SUMIFS(RaceResults!$E:$E,RaceResults!$A:$A,A1065,RaceResults!$D:$D,E1065))</f>
        <v>0</v>
      </c>
    </row>
    <row r="1066" spans="1:7" x14ac:dyDescent="0.3">
      <c r="A1066">
        <v>36</v>
      </c>
      <c r="B1066" t="s">
        <v>115</v>
      </c>
      <c r="C1066" t="s">
        <v>27</v>
      </c>
      <c r="D1066">
        <v>3</v>
      </c>
      <c r="E1066">
        <f>WeeklyPicks!F356</f>
        <v>0</v>
      </c>
      <c r="F1066">
        <f>IF(E1066="","",SUMIFS(RaceResults!$C:$C,RaceResults!$A:$A,A1066,RaceResults!$D:$D,E1066))</f>
        <v>0</v>
      </c>
      <c r="G1066">
        <f>IF(E1066="","",SUMIFS(RaceResults!$E:$E,RaceResults!$A:$A,A1066,RaceResults!$D:$D,E1066))</f>
        <v>0</v>
      </c>
    </row>
    <row r="1067" spans="1:7" x14ac:dyDescent="0.3">
      <c r="A1067">
        <v>36</v>
      </c>
      <c r="B1067" t="s">
        <v>115</v>
      </c>
      <c r="C1067" t="s">
        <v>28</v>
      </c>
      <c r="D1067">
        <v>1</v>
      </c>
      <c r="E1067">
        <f>WeeklyPicks!D357</f>
        <v>0</v>
      </c>
      <c r="F1067">
        <f>IF(E1067="","",SUMIFS(RaceResults!$C:$C,RaceResults!$A:$A,A1067,RaceResults!$D:$D,E1067))</f>
        <v>0</v>
      </c>
      <c r="G1067">
        <f>IF(E1067="","",SUMIFS(RaceResults!$E:$E,RaceResults!$A:$A,A1067,RaceResults!$D:$D,E1067))</f>
        <v>0</v>
      </c>
    </row>
    <row r="1068" spans="1:7" x14ac:dyDescent="0.3">
      <c r="A1068">
        <v>36</v>
      </c>
      <c r="B1068" t="s">
        <v>115</v>
      </c>
      <c r="C1068" t="s">
        <v>28</v>
      </c>
      <c r="D1068">
        <v>2</v>
      </c>
      <c r="E1068">
        <f>WeeklyPicks!E357</f>
        <v>0</v>
      </c>
      <c r="F1068">
        <f>IF(E1068="","",SUMIFS(RaceResults!$C:$C,RaceResults!$A:$A,A1068,RaceResults!$D:$D,E1068))</f>
        <v>0</v>
      </c>
      <c r="G1068">
        <f>IF(E1068="","",SUMIFS(RaceResults!$E:$E,RaceResults!$A:$A,A1068,RaceResults!$D:$D,E1068))</f>
        <v>0</v>
      </c>
    </row>
    <row r="1069" spans="1:7" x14ac:dyDescent="0.3">
      <c r="A1069">
        <v>36</v>
      </c>
      <c r="B1069" t="s">
        <v>115</v>
      </c>
      <c r="C1069" t="s">
        <v>28</v>
      </c>
      <c r="D1069">
        <v>3</v>
      </c>
      <c r="E1069">
        <f>WeeklyPicks!F357</f>
        <v>0</v>
      </c>
      <c r="F1069">
        <f>IF(E1069="","",SUMIFS(RaceResults!$C:$C,RaceResults!$A:$A,A1069,RaceResults!$D:$D,E1069))</f>
        <v>0</v>
      </c>
      <c r="G1069">
        <f>IF(E1069="","",SUMIFS(RaceResults!$E:$E,RaceResults!$A:$A,A1069,RaceResults!$D:$D,E1069))</f>
        <v>0</v>
      </c>
    </row>
    <row r="1070" spans="1:7" x14ac:dyDescent="0.3">
      <c r="A1070">
        <v>36</v>
      </c>
      <c r="B1070" t="s">
        <v>115</v>
      </c>
      <c r="C1070" t="s">
        <v>29</v>
      </c>
      <c r="D1070">
        <v>1</v>
      </c>
      <c r="E1070">
        <f>WeeklyPicks!D358</f>
        <v>0</v>
      </c>
      <c r="F1070">
        <f>IF(E1070="","",SUMIFS(RaceResults!$C:$C,RaceResults!$A:$A,A1070,RaceResults!$D:$D,E1070))</f>
        <v>0</v>
      </c>
      <c r="G1070">
        <f>IF(E1070="","",SUMIFS(RaceResults!$E:$E,RaceResults!$A:$A,A1070,RaceResults!$D:$D,E1070))</f>
        <v>0</v>
      </c>
    </row>
    <row r="1071" spans="1:7" x14ac:dyDescent="0.3">
      <c r="A1071">
        <v>36</v>
      </c>
      <c r="B1071" t="s">
        <v>115</v>
      </c>
      <c r="C1071" t="s">
        <v>29</v>
      </c>
      <c r="D1071">
        <v>2</v>
      </c>
      <c r="E1071">
        <f>WeeklyPicks!E358</f>
        <v>0</v>
      </c>
      <c r="F1071">
        <f>IF(E1071="","",SUMIFS(RaceResults!$C:$C,RaceResults!$A:$A,A1071,RaceResults!$D:$D,E1071))</f>
        <v>0</v>
      </c>
      <c r="G1071">
        <f>IF(E1071="","",SUMIFS(RaceResults!$E:$E,RaceResults!$A:$A,A1071,RaceResults!$D:$D,E1071))</f>
        <v>0</v>
      </c>
    </row>
    <row r="1072" spans="1:7" x14ac:dyDescent="0.3">
      <c r="A1072">
        <v>36</v>
      </c>
      <c r="B1072" t="s">
        <v>115</v>
      </c>
      <c r="C1072" t="s">
        <v>29</v>
      </c>
      <c r="D1072">
        <v>3</v>
      </c>
      <c r="E1072">
        <f>WeeklyPicks!F358</f>
        <v>0</v>
      </c>
      <c r="F1072">
        <f>IF(E1072="","",SUMIFS(RaceResults!$C:$C,RaceResults!$A:$A,A1072,RaceResults!$D:$D,E1072))</f>
        <v>0</v>
      </c>
      <c r="G1072">
        <f>IF(E1072="","",SUMIFS(RaceResults!$E:$E,RaceResults!$A:$A,A1072,RaceResults!$D:$D,E1072))</f>
        <v>0</v>
      </c>
    </row>
    <row r="1073" spans="1:7" x14ac:dyDescent="0.3">
      <c r="A1073">
        <v>36</v>
      </c>
      <c r="B1073" t="s">
        <v>115</v>
      </c>
      <c r="C1073" t="s">
        <v>30</v>
      </c>
      <c r="D1073">
        <v>1</v>
      </c>
      <c r="E1073">
        <f>WeeklyPicks!D359</f>
        <v>0</v>
      </c>
      <c r="F1073">
        <f>IF(E1073="","",SUMIFS(RaceResults!$C:$C,RaceResults!$A:$A,A1073,RaceResults!$D:$D,E1073))</f>
        <v>0</v>
      </c>
      <c r="G1073">
        <f>IF(E1073="","",SUMIFS(RaceResults!$E:$E,RaceResults!$A:$A,A1073,RaceResults!$D:$D,E1073))</f>
        <v>0</v>
      </c>
    </row>
    <row r="1074" spans="1:7" x14ac:dyDescent="0.3">
      <c r="A1074">
        <v>36</v>
      </c>
      <c r="B1074" t="s">
        <v>115</v>
      </c>
      <c r="C1074" t="s">
        <v>30</v>
      </c>
      <c r="D1074">
        <v>2</v>
      </c>
      <c r="E1074">
        <f>WeeklyPicks!E359</f>
        <v>0</v>
      </c>
      <c r="F1074">
        <f>IF(E1074="","",SUMIFS(RaceResults!$C:$C,RaceResults!$A:$A,A1074,RaceResults!$D:$D,E1074))</f>
        <v>0</v>
      </c>
      <c r="G1074">
        <f>IF(E1074="","",SUMIFS(RaceResults!$E:$E,RaceResults!$A:$A,A1074,RaceResults!$D:$D,E1074))</f>
        <v>0</v>
      </c>
    </row>
    <row r="1075" spans="1:7" x14ac:dyDescent="0.3">
      <c r="A1075">
        <v>36</v>
      </c>
      <c r="B1075" t="s">
        <v>115</v>
      </c>
      <c r="C1075" t="s">
        <v>30</v>
      </c>
      <c r="D1075">
        <v>3</v>
      </c>
      <c r="E1075">
        <f>WeeklyPicks!F359</f>
        <v>0</v>
      </c>
      <c r="F1075">
        <f>IF(E1075="","",SUMIFS(RaceResults!$C:$C,RaceResults!$A:$A,A1075,RaceResults!$D:$D,E1075))</f>
        <v>0</v>
      </c>
      <c r="G1075">
        <f>IF(E1075="","",SUMIFS(RaceResults!$E:$E,RaceResults!$A:$A,A1075,RaceResults!$D:$D,E1075))</f>
        <v>0</v>
      </c>
    </row>
    <row r="1076" spans="1:7" x14ac:dyDescent="0.3">
      <c r="A1076">
        <v>36</v>
      </c>
      <c r="B1076" t="s">
        <v>115</v>
      </c>
      <c r="C1076" t="s">
        <v>31</v>
      </c>
      <c r="D1076">
        <v>1</v>
      </c>
      <c r="E1076">
        <f>WeeklyPicks!D360</f>
        <v>0</v>
      </c>
      <c r="F1076">
        <f>IF(E1076="","",SUMIFS(RaceResults!$C:$C,RaceResults!$A:$A,A1076,RaceResults!$D:$D,E1076))</f>
        <v>0</v>
      </c>
      <c r="G1076">
        <f>IF(E1076="","",SUMIFS(RaceResults!$E:$E,RaceResults!$A:$A,A1076,RaceResults!$D:$D,E1076))</f>
        <v>0</v>
      </c>
    </row>
    <row r="1077" spans="1:7" x14ac:dyDescent="0.3">
      <c r="A1077">
        <v>36</v>
      </c>
      <c r="B1077" t="s">
        <v>115</v>
      </c>
      <c r="C1077" t="s">
        <v>31</v>
      </c>
      <c r="D1077">
        <v>2</v>
      </c>
      <c r="E1077">
        <f>WeeklyPicks!E360</f>
        <v>0</v>
      </c>
      <c r="F1077">
        <f>IF(E1077="","",SUMIFS(RaceResults!$C:$C,RaceResults!$A:$A,A1077,RaceResults!$D:$D,E1077))</f>
        <v>0</v>
      </c>
      <c r="G1077">
        <f>IF(E1077="","",SUMIFS(RaceResults!$E:$E,RaceResults!$A:$A,A1077,RaceResults!$D:$D,E1077))</f>
        <v>0</v>
      </c>
    </row>
    <row r="1078" spans="1:7" x14ac:dyDescent="0.3">
      <c r="A1078">
        <v>36</v>
      </c>
      <c r="B1078" t="s">
        <v>115</v>
      </c>
      <c r="C1078" t="s">
        <v>31</v>
      </c>
      <c r="D1078">
        <v>3</v>
      </c>
      <c r="E1078">
        <f>WeeklyPicks!F360</f>
        <v>0</v>
      </c>
      <c r="F1078">
        <f>IF(E1078="","",SUMIFS(RaceResults!$C:$C,RaceResults!$A:$A,A1078,RaceResults!$D:$D,E1078))</f>
        <v>0</v>
      </c>
      <c r="G1078">
        <f>IF(E1078="","",SUMIFS(RaceResults!$E:$E,RaceResults!$A:$A,A1078,RaceResults!$D:$D,E1078))</f>
        <v>0</v>
      </c>
    </row>
    <row r="1079" spans="1:7" x14ac:dyDescent="0.3">
      <c r="A1079">
        <v>36</v>
      </c>
      <c r="B1079" t="s">
        <v>115</v>
      </c>
      <c r="C1079" t="s">
        <v>32</v>
      </c>
      <c r="D1079">
        <v>1</v>
      </c>
      <c r="E1079">
        <f>WeeklyPicks!D361</f>
        <v>0</v>
      </c>
      <c r="F1079">
        <f>IF(E1079="","",SUMIFS(RaceResults!$C:$C,RaceResults!$A:$A,A1079,RaceResults!$D:$D,E1079))</f>
        <v>0</v>
      </c>
      <c r="G1079">
        <f>IF(E1079="","",SUMIFS(RaceResults!$E:$E,RaceResults!$A:$A,A1079,RaceResults!$D:$D,E1079))</f>
        <v>0</v>
      </c>
    </row>
    <row r="1080" spans="1:7" x14ac:dyDescent="0.3">
      <c r="A1080">
        <v>36</v>
      </c>
      <c r="B1080" t="s">
        <v>115</v>
      </c>
      <c r="C1080" t="s">
        <v>32</v>
      </c>
      <c r="D1080">
        <v>2</v>
      </c>
      <c r="E1080">
        <f>WeeklyPicks!E361</f>
        <v>0</v>
      </c>
      <c r="F1080">
        <f>IF(E1080="","",SUMIFS(RaceResults!$C:$C,RaceResults!$A:$A,A1080,RaceResults!$D:$D,E1080))</f>
        <v>0</v>
      </c>
      <c r="G1080">
        <f>IF(E1080="","",SUMIFS(RaceResults!$E:$E,RaceResults!$A:$A,A1080,RaceResults!$D:$D,E1080))</f>
        <v>0</v>
      </c>
    </row>
    <row r="1081" spans="1:7" x14ac:dyDescent="0.3">
      <c r="A1081">
        <v>36</v>
      </c>
      <c r="B1081" t="s">
        <v>115</v>
      </c>
      <c r="C1081" t="s">
        <v>32</v>
      </c>
      <c r="D1081">
        <v>3</v>
      </c>
      <c r="E1081">
        <f>WeeklyPicks!F361</f>
        <v>0</v>
      </c>
      <c r="F1081">
        <f>IF(E1081="","",SUMIFS(RaceResults!$C:$C,RaceResults!$A:$A,A1081,RaceResults!$D:$D,E1081))</f>
        <v>0</v>
      </c>
      <c r="G1081">
        <f>IF(E1081="","",SUMIFS(RaceResults!$E:$E,RaceResults!$A:$A,A1081,RaceResults!$D:$D,E1081))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565"/>
  <sheetViews>
    <sheetView zoomScaleNormal="100" workbookViewId="0"/>
  </sheetViews>
  <sheetFormatPr defaultColWidth="8.6640625" defaultRowHeight="14.25" customHeight="1" x14ac:dyDescent="0.3"/>
  <sheetData>
    <row r="1" spans="1:4" x14ac:dyDescent="0.3">
      <c r="A1" t="s">
        <v>39</v>
      </c>
      <c r="B1" t="s">
        <v>40</v>
      </c>
      <c r="C1" t="s">
        <v>135</v>
      </c>
      <c r="D1" t="s">
        <v>131</v>
      </c>
    </row>
    <row r="2" spans="1:4" x14ac:dyDescent="0.3">
      <c r="A2">
        <v>1</v>
      </c>
      <c r="B2" t="s">
        <v>45</v>
      </c>
      <c r="C2">
        <v>1</v>
      </c>
      <c r="D2">
        <f>COUNTIF(WeeklyPicks!$D$2:$F$11,C2)</f>
        <v>0</v>
      </c>
    </row>
    <row r="3" spans="1:4" x14ac:dyDescent="0.3">
      <c r="A3">
        <v>1</v>
      </c>
      <c r="B3" t="s">
        <v>45</v>
      </c>
      <c r="C3">
        <v>2</v>
      </c>
      <c r="D3">
        <f>COUNTIF(WeeklyPicks!$D$2:$F$11,C3)</f>
        <v>0</v>
      </c>
    </row>
    <row r="4" spans="1:4" x14ac:dyDescent="0.3">
      <c r="A4">
        <v>1</v>
      </c>
      <c r="B4" t="s">
        <v>45</v>
      </c>
      <c r="C4">
        <v>3</v>
      </c>
      <c r="D4">
        <f>COUNTIF(WeeklyPicks!$D$2:$F$11,C4)</f>
        <v>0</v>
      </c>
    </row>
    <row r="5" spans="1:4" x14ac:dyDescent="0.3">
      <c r="A5">
        <v>1</v>
      </c>
      <c r="B5" t="s">
        <v>45</v>
      </c>
      <c r="C5">
        <v>4</v>
      </c>
      <c r="D5">
        <f>COUNTIF(WeeklyPicks!$D$2:$F$11,C5)</f>
        <v>0</v>
      </c>
    </row>
    <row r="6" spans="1:4" x14ac:dyDescent="0.3">
      <c r="A6">
        <v>1</v>
      </c>
      <c r="B6" t="s">
        <v>45</v>
      </c>
      <c r="C6">
        <v>5</v>
      </c>
      <c r="D6">
        <f>COUNTIF(WeeklyPicks!$D$2:$F$11,C6)</f>
        <v>0</v>
      </c>
    </row>
    <row r="7" spans="1:4" x14ac:dyDescent="0.3">
      <c r="A7">
        <v>1</v>
      </c>
      <c r="B7" t="s">
        <v>45</v>
      </c>
      <c r="C7">
        <v>6</v>
      </c>
      <c r="D7">
        <f>COUNTIF(WeeklyPicks!$D$2:$F$11,C7)</f>
        <v>0</v>
      </c>
    </row>
    <row r="8" spans="1:4" x14ac:dyDescent="0.3">
      <c r="A8">
        <v>1</v>
      </c>
      <c r="B8" t="s">
        <v>45</v>
      </c>
      <c r="C8">
        <v>7</v>
      </c>
      <c r="D8">
        <f>COUNTIF(WeeklyPicks!$D$2:$F$11,C8)</f>
        <v>0</v>
      </c>
    </row>
    <row r="9" spans="1:4" x14ac:dyDescent="0.3">
      <c r="A9">
        <v>1</v>
      </c>
      <c r="B9" t="s">
        <v>45</v>
      </c>
      <c r="C9">
        <v>8</v>
      </c>
      <c r="D9">
        <f>COUNTIF(WeeklyPicks!$D$2:$F$11,C9)</f>
        <v>0</v>
      </c>
    </row>
    <row r="10" spans="1:4" x14ac:dyDescent="0.3">
      <c r="A10">
        <v>1</v>
      </c>
      <c r="B10" t="s">
        <v>45</v>
      </c>
      <c r="C10">
        <v>9</v>
      </c>
      <c r="D10">
        <f>COUNTIF(WeeklyPicks!$D$2:$F$11,C10)</f>
        <v>0</v>
      </c>
    </row>
    <row r="11" spans="1:4" x14ac:dyDescent="0.3">
      <c r="A11">
        <v>1</v>
      </c>
      <c r="B11" t="s">
        <v>45</v>
      </c>
      <c r="C11">
        <v>10</v>
      </c>
      <c r="D11">
        <f>COUNTIF(WeeklyPicks!$D$2:$F$11,C11)</f>
        <v>0</v>
      </c>
    </row>
    <row r="12" spans="1:4" x14ac:dyDescent="0.3">
      <c r="A12">
        <v>1</v>
      </c>
      <c r="B12" t="s">
        <v>45</v>
      </c>
      <c r="C12">
        <v>11</v>
      </c>
      <c r="D12">
        <f>COUNTIF(WeeklyPicks!$D$2:$F$11,C12)</f>
        <v>0</v>
      </c>
    </row>
    <row r="13" spans="1:4" x14ac:dyDescent="0.3">
      <c r="A13">
        <v>1</v>
      </c>
      <c r="B13" t="s">
        <v>45</v>
      </c>
      <c r="C13">
        <v>12</v>
      </c>
      <c r="D13">
        <f>COUNTIF(WeeklyPicks!$D$2:$F$11,C13)</f>
        <v>0</v>
      </c>
    </row>
    <row r="14" spans="1:4" x14ac:dyDescent="0.3">
      <c r="A14">
        <v>1</v>
      </c>
      <c r="B14" t="s">
        <v>45</v>
      </c>
      <c r="C14">
        <v>13</v>
      </c>
      <c r="D14">
        <f>COUNTIF(WeeklyPicks!$D$2:$F$11,C14)</f>
        <v>0</v>
      </c>
    </row>
    <row r="15" spans="1:4" x14ac:dyDescent="0.3">
      <c r="A15">
        <v>1</v>
      </c>
      <c r="B15" t="s">
        <v>45</v>
      </c>
      <c r="C15">
        <v>14</v>
      </c>
      <c r="D15">
        <f>COUNTIF(WeeklyPicks!$D$2:$F$11,C15)</f>
        <v>0</v>
      </c>
    </row>
    <row r="16" spans="1:4" x14ac:dyDescent="0.3">
      <c r="A16">
        <v>1</v>
      </c>
      <c r="B16" t="s">
        <v>45</v>
      </c>
      <c r="C16">
        <v>15</v>
      </c>
      <c r="D16">
        <f>COUNTIF(WeeklyPicks!$D$2:$F$11,C16)</f>
        <v>0</v>
      </c>
    </row>
    <row r="17" spans="1:4" x14ac:dyDescent="0.3">
      <c r="A17">
        <v>1</v>
      </c>
      <c r="B17" t="s">
        <v>45</v>
      </c>
      <c r="C17">
        <v>16</v>
      </c>
      <c r="D17">
        <f>COUNTIF(WeeklyPicks!$D$2:$F$11,C17)</f>
        <v>0</v>
      </c>
    </row>
    <row r="18" spans="1:4" x14ac:dyDescent="0.3">
      <c r="A18">
        <v>1</v>
      </c>
      <c r="B18" t="s">
        <v>45</v>
      </c>
      <c r="C18">
        <v>17</v>
      </c>
      <c r="D18">
        <f>COUNTIF(WeeklyPicks!$D$2:$F$11,C18)</f>
        <v>0</v>
      </c>
    </row>
    <row r="19" spans="1:4" x14ac:dyDescent="0.3">
      <c r="A19">
        <v>1</v>
      </c>
      <c r="B19" t="s">
        <v>45</v>
      </c>
      <c r="C19">
        <v>18</v>
      </c>
      <c r="D19">
        <f>COUNTIF(WeeklyPicks!$D$2:$F$11,C19)</f>
        <v>0</v>
      </c>
    </row>
    <row r="20" spans="1:4" x14ac:dyDescent="0.3">
      <c r="A20">
        <v>1</v>
      </c>
      <c r="B20" t="s">
        <v>45</v>
      </c>
      <c r="C20">
        <v>19</v>
      </c>
      <c r="D20">
        <f>COUNTIF(WeeklyPicks!$D$2:$F$11,C20)</f>
        <v>0</v>
      </c>
    </row>
    <row r="21" spans="1:4" x14ac:dyDescent="0.3">
      <c r="A21">
        <v>1</v>
      </c>
      <c r="B21" t="s">
        <v>45</v>
      </c>
      <c r="C21">
        <v>20</v>
      </c>
      <c r="D21">
        <f>COUNTIF(WeeklyPicks!$D$2:$F$11,C21)</f>
        <v>0</v>
      </c>
    </row>
    <row r="22" spans="1:4" x14ac:dyDescent="0.3">
      <c r="A22">
        <v>1</v>
      </c>
      <c r="B22" t="s">
        <v>45</v>
      </c>
      <c r="C22">
        <v>21</v>
      </c>
      <c r="D22">
        <f>COUNTIF(WeeklyPicks!$D$2:$F$11,C22)</f>
        <v>0</v>
      </c>
    </row>
    <row r="23" spans="1:4" x14ac:dyDescent="0.3">
      <c r="A23">
        <v>1</v>
      </c>
      <c r="B23" t="s">
        <v>45</v>
      </c>
      <c r="C23">
        <v>22</v>
      </c>
      <c r="D23">
        <f>COUNTIF(WeeklyPicks!$D$2:$F$11,C23)</f>
        <v>0</v>
      </c>
    </row>
    <row r="24" spans="1:4" x14ac:dyDescent="0.3">
      <c r="A24">
        <v>1</v>
      </c>
      <c r="B24" t="s">
        <v>45</v>
      </c>
      <c r="C24">
        <v>23</v>
      </c>
      <c r="D24">
        <f>COUNTIF(WeeklyPicks!$D$2:$F$11,C24)</f>
        <v>0</v>
      </c>
    </row>
    <row r="25" spans="1:4" x14ac:dyDescent="0.3">
      <c r="A25">
        <v>1</v>
      </c>
      <c r="B25" t="s">
        <v>45</v>
      </c>
      <c r="C25">
        <v>24</v>
      </c>
      <c r="D25">
        <f>COUNTIF(WeeklyPicks!$D$2:$F$11,C25)</f>
        <v>0</v>
      </c>
    </row>
    <row r="26" spans="1:4" x14ac:dyDescent="0.3">
      <c r="A26">
        <v>1</v>
      </c>
      <c r="B26" t="s">
        <v>45</v>
      </c>
      <c r="C26">
        <v>25</v>
      </c>
      <c r="D26">
        <f>COUNTIF(WeeklyPicks!$D$2:$F$11,C26)</f>
        <v>0</v>
      </c>
    </row>
    <row r="27" spans="1:4" x14ac:dyDescent="0.3">
      <c r="A27">
        <v>1</v>
      </c>
      <c r="B27" t="s">
        <v>45</v>
      </c>
      <c r="C27">
        <v>26</v>
      </c>
      <c r="D27">
        <f>COUNTIF(WeeklyPicks!$D$2:$F$11,C27)</f>
        <v>0</v>
      </c>
    </row>
    <row r="28" spans="1:4" x14ac:dyDescent="0.3">
      <c r="A28">
        <v>1</v>
      </c>
      <c r="B28" t="s">
        <v>45</v>
      </c>
      <c r="C28">
        <v>27</v>
      </c>
      <c r="D28">
        <f>COUNTIF(WeeklyPicks!$D$2:$F$11,C28)</f>
        <v>0</v>
      </c>
    </row>
    <row r="29" spans="1:4" x14ac:dyDescent="0.3">
      <c r="A29">
        <v>1</v>
      </c>
      <c r="B29" t="s">
        <v>45</v>
      </c>
      <c r="C29">
        <v>28</v>
      </c>
      <c r="D29">
        <f>COUNTIF(WeeklyPicks!$D$2:$F$11,C29)</f>
        <v>0</v>
      </c>
    </row>
    <row r="30" spans="1:4" x14ac:dyDescent="0.3">
      <c r="A30">
        <v>1</v>
      </c>
      <c r="B30" t="s">
        <v>45</v>
      </c>
      <c r="C30">
        <v>29</v>
      </c>
      <c r="D30">
        <f>COUNTIF(WeeklyPicks!$D$2:$F$11,C30)</f>
        <v>0</v>
      </c>
    </row>
    <row r="31" spans="1:4" x14ac:dyDescent="0.3">
      <c r="A31">
        <v>1</v>
      </c>
      <c r="B31" t="s">
        <v>45</v>
      </c>
      <c r="C31">
        <v>30</v>
      </c>
      <c r="D31">
        <f>COUNTIF(WeeklyPicks!$D$2:$F$11,C31)</f>
        <v>0</v>
      </c>
    </row>
    <row r="32" spans="1:4" x14ac:dyDescent="0.3">
      <c r="A32">
        <v>1</v>
      </c>
      <c r="B32" t="s">
        <v>45</v>
      </c>
      <c r="C32">
        <v>31</v>
      </c>
      <c r="D32">
        <f>COUNTIF(WeeklyPicks!$D$2:$F$11,C32)</f>
        <v>0</v>
      </c>
    </row>
    <row r="33" spans="1:4" x14ac:dyDescent="0.3">
      <c r="A33">
        <v>1</v>
      </c>
      <c r="B33" t="s">
        <v>45</v>
      </c>
      <c r="C33">
        <v>32</v>
      </c>
      <c r="D33">
        <f>COUNTIF(WeeklyPicks!$D$2:$F$11,C33)</f>
        <v>0</v>
      </c>
    </row>
    <row r="34" spans="1:4" x14ac:dyDescent="0.3">
      <c r="A34">
        <v>1</v>
      </c>
      <c r="B34" t="s">
        <v>45</v>
      </c>
      <c r="C34">
        <v>33</v>
      </c>
      <c r="D34">
        <f>COUNTIF(WeeklyPicks!$D$2:$F$11,C34)</f>
        <v>0</v>
      </c>
    </row>
    <row r="35" spans="1:4" x14ac:dyDescent="0.3">
      <c r="A35">
        <v>1</v>
      </c>
      <c r="B35" t="s">
        <v>45</v>
      </c>
      <c r="C35">
        <v>34</v>
      </c>
      <c r="D35">
        <f>COUNTIF(WeeklyPicks!$D$2:$F$11,C35)</f>
        <v>0</v>
      </c>
    </row>
    <row r="36" spans="1:4" x14ac:dyDescent="0.3">
      <c r="A36">
        <v>1</v>
      </c>
      <c r="B36" t="s">
        <v>45</v>
      </c>
      <c r="C36">
        <v>35</v>
      </c>
      <c r="D36">
        <f>COUNTIF(WeeklyPicks!$D$2:$F$11,C36)</f>
        <v>0</v>
      </c>
    </row>
    <row r="37" spans="1:4" x14ac:dyDescent="0.3">
      <c r="A37">
        <v>1</v>
      </c>
      <c r="B37" t="s">
        <v>45</v>
      </c>
      <c r="C37">
        <v>36</v>
      </c>
      <c r="D37">
        <f>COUNTIF(WeeklyPicks!$D$2:$F$11,C37)</f>
        <v>0</v>
      </c>
    </row>
    <row r="38" spans="1:4" x14ac:dyDescent="0.3">
      <c r="A38">
        <v>1</v>
      </c>
      <c r="B38" t="s">
        <v>45</v>
      </c>
      <c r="C38">
        <v>37</v>
      </c>
      <c r="D38">
        <f>COUNTIF(WeeklyPicks!$D$2:$F$11,C38)</f>
        <v>0</v>
      </c>
    </row>
    <row r="39" spans="1:4" x14ac:dyDescent="0.3">
      <c r="A39">
        <v>1</v>
      </c>
      <c r="B39" t="s">
        <v>45</v>
      </c>
      <c r="C39">
        <v>38</v>
      </c>
      <c r="D39">
        <f>COUNTIF(WeeklyPicks!$D$2:$F$11,C39)</f>
        <v>0</v>
      </c>
    </row>
    <row r="40" spans="1:4" x14ac:dyDescent="0.3">
      <c r="A40">
        <v>1</v>
      </c>
      <c r="B40" t="s">
        <v>45</v>
      </c>
      <c r="C40">
        <v>39</v>
      </c>
      <c r="D40">
        <f>COUNTIF(WeeklyPicks!$D$2:$F$11,C40)</f>
        <v>0</v>
      </c>
    </row>
    <row r="41" spans="1:4" x14ac:dyDescent="0.3">
      <c r="A41">
        <v>1</v>
      </c>
      <c r="B41" t="s">
        <v>45</v>
      </c>
      <c r="C41">
        <v>40</v>
      </c>
      <c r="D41">
        <f>COUNTIF(WeeklyPicks!$D$2:$F$11,C41)</f>
        <v>0</v>
      </c>
    </row>
    <row r="42" spans="1:4" x14ac:dyDescent="0.3">
      <c r="A42">
        <v>1</v>
      </c>
      <c r="B42" t="s">
        <v>45</v>
      </c>
      <c r="C42">
        <v>41</v>
      </c>
      <c r="D42">
        <f>COUNTIF(WeeklyPicks!$D$2:$F$11,C42)</f>
        <v>0</v>
      </c>
    </row>
    <row r="43" spans="1:4" x14ac:dyDescent="0.3">
      <c r="A43">
        <v>1</v>
      </c>
      <c r="B43" t="s">
        <v>45</v>
      </c>
      <c r="C43">
        <v>42</v>
      </c>
      <c r="D43">
        <f>COUNTIF(WeeklyPicks!$D$2:$F$11,C43)</f>
        <v>0</v>
      </c>
    </row>
    <row r="44" spans="1:4" x14ac:dyDescent="0.3">
      <c r="A44">
        <v>1</v>
      </c>
      <c r="B44" t="s">
        <v>45</v>
      </c>
      <c r="C44">
        <v>43</v>
      </c>
      <c r="D44">
        <f>COUNTIF(WeeklyPicks!$D$2:$F$11,C44)</f>
        <v>0</v>
      </c>
    </row>
    <row r="45" spans="1:4" x14ac:dyDescent="0.3">
      <c r="A45">
        <v>1</v>
      </c>
      <c r="B45" t="s">
        <v>45</v>
      </c>
      <c r="C45">
        <v>44</v>
      </c>
      <c r="D45">
        <f>COUNTIF(WeeklyPicks!$D$2:$F$11,C45)</f>
        <v>0</v>
      </c>
    </row>
    <row r="46" spans="1:4" x14ac:dyDescent="0.3">
      <c r="A46">
        <v>1</v>
      </c>
      <c r="B46" t="s">
        <v>45</v>
      </c>
      <c r="C46">
        <v>45</v>
      </c>
      <c r="D46">
        <f>COUNTIF(WeeklyPicks!$D$2:$F$11,C46)</f>
        <v>0</v>
      </c>
    </row>
    <row r="47" spans="1:4" x14ac:dyDescent="0.3">
      <c r="A47">
        <v>1</v>
      </c>
      <c r="B47" t="s">
        <v>45</v>
      </c>
      <c r="C47">
        <v>46</v>
      </c>
      <c r="D47">
        <f>COUNTIF(WeeklyPicks!$D$2:$F$11,C47)</f>
        <v>0</v>
      </c>
    </row>
    <row r="48" spans="1:4" x14ac:dyDescent="0.3">
      <c r="A48">
        <v>1</v>
      </c>
      <c r="B48" t="s">
        <v>45</v>
      </c>
      <c r="C48">
        <v>47</v>
      </c>
      <c r="D48">
        <f>COUNTIF(WeeklyPicks!$D$2:$F$11,C48)</f>
        <v>0</v>
      </c>
    </row>
    <row r="49" spans="1:4" x14ac:dyDescent="0.3">
      <c r="A49">
        <v>1</v>
      </c>
      <c r="B49" t="s">
        <v>45</v>
      </c>
      <c r="C49">
        <v>48</v>
      </c>
      <c r="D49">
        <f>COUNTIF(WeeklyPicks!$D$2:$F$11,C49)</f>
        <v>0</v>
      </c>
    </row>
    <row r="50" spans="1:4" x14ac:dyDescent="0.3">
      <c r="A50">
        <v>1</v>
      </c>
      <c r="B50" t="s">
        <v>45</v>
      </c>
      <c r="C50">
        <v>49</v>
      </c>
      <c r="D50">
        <f>COUNTIF(WeeklyPicks!$D$2:$F$11,C50)</f>
        <v>0</v>
      </c>
    </row>
    <row r="51" spans="1:4" x14ac:dyDescent="0.3">
      <c r="A51">
        <v>1</v>
      </c>
      <c r="B51" t="s">
        <v>45</v>
      </c>
      <c r="C51">
        <v>50</v>
      </c>
      <c r="D51">
        <f>COUNTIF(WeeklyPicks!$D$2:$F$11,C51)</f>
        <v>0</v>
      </c>
    </row>
    <row r="52" spans="1:4" x14ac:dyDescent="0.3">
      <c r="A52">
        <v>1</v>
      </c>
      <c r="B52" t="s">
        <v>45</v>
      </c>
      <c r="C52">
        <v>51</v>
      </c>
      <c r="D52">
        <f>COUNTIF(WeeklyPicks!$D$2:$F$11,C52)</f>
        <v>0</v>
      </c>
    </row>
    <row r="53" spans="1:4" x14ac:dyDescent="0.3">
      <c r="A53">
        <v>1</v>
      </c>
      <c r="B53" t="s">
        <v>45</v>
      </c>
      <c r="C53">
        <v>52</v>
      </c>
      <c r="D53">
        <f>COUNTIF(WeeklyPicks!$D$2:$F$11,C53)</f>
        <v>0</v>
      </c>
    </row>
    <row r="54" spans="1:4" x14ac:dyDescent="0.3">
      <c r="A54">
        <v>1</v>
      </c>
      <c r="B54" t="s">
        <v>45</v>
      </c>
      <c r="C54">
        <v>53</v>
      </c>
      <c r="D54">
        <f>COUNTIF(WeeklyPicks!$D$2:$F$11,C54)</f>
        <v>0</v>
      </c>
    </row>
    <row r="55" spans="1:4" x14ac:dyDescent="0.3">
      <c r="A55">
        <v>1</v>
      </c>
      <c r="B55" t="s">
        <v>45</v>
      </c>
      <c r="C55">
        <v>54</v>
      </c>
      <c r="D55">
        <f>COUNTIF(WeeklyPicks!$D$2:$F$11,C55)</f>
        <v>0</v>
      </c>
    </row>
    <row r="56" spans="1:4" x14ac:dyDescent="0.3">
      <c r="A56">
        <v>1</v>
      </c>
      <c r="B56" t="s">
        <v>45</v>
      </c>
      <c r="C56">
        <v>55</v>
      </c>
      <c r="D56">
        <f>COUNTIF(WeeklyPicks!$D$2:$F$11,C56)</f>
        <v>0</v>
      </c>
    </row>
    <row r="57" spans="1:4" x14ac:dyDescent="0.3">
      <c r="A57">
        <v>1</v>
      </c>
      <c r="B57" t="s">
        <v>45</v>
      </c>
      <c r="C57">
        <v>56</v>
      </c>
      <c r="D57">
        <f>COUNTIF(WeeklyPicks!$D$2:$F$11,C57)</f>
        <v>0</v>
      </c>
    </row>
    <row r="58" spans="1:4" x14ac:dyDescent="0.3">
      <c r="A58">
        <v>1</v>
      </c>
      <c r="B58" t="s">
        <v>45</v>
      </c>
      <c r="C58">
        <v>57</v>
      </c>
      <c r="D58">
        <f>COUNTIF(WeeklyPicks!$D$2:$F$11,C58)</f>
        <v>0</v>
      </c>
    </row>
    <row r="59" spans="1:4" x14ac:dyDescent="0.3">
      <c r="A59">
        <v>1</v>
      </c>
      <c r="B59" t="s">
        <v>45</v>
      </c>
      <c r="C59">
        <v>58</v>
      </c>
      <c r="D59">
        <f>COUNTIF(WeeklyPicks!$D$2:$F$11,C59)</f>
        <v>0</v>
      </c>
    </row>
    <row r="60" spans="1:4" x14ac:dyDescent="0.3">
      <c r="A60">
        <v>1</v>
      </c>
      <c r="B60" t="s">
        <v>45</v>
      </c>
      <c r="C60">
        <v>59</v>
      </c>
      <c r="D60">
        <f>COUNTIF(WeeklyPicks!$D$2:$F$11,C60)</f>
        <v>0</v>
      </c>
    </row>
    <row r="61" spans="1:4" x14ac:dyDescent="0.3">
      <c r="A61">
        <v>1</v>
      </c>
      <c r="B61" t="s">
        <v>45</v>
      </c>
      <c r="C61">
        <v>60</v>
      </c>
      <c r="D61">
        <f>COUNTIF(WeeklyPicks!$D$2:$F$11,C61)</f>
        <v>0</v>
      </c>
    </row>
    <row r="62" spans="1:4" x14ac:dyDescent="0.3">
      <c r="A62">
        <v>1</v>
      </c>
      <c r="B62" t="s">
        <v>45</v>
      </c>
      <c r="C62">
        <v>61</v>
      </c>
      <c r="D62">
        <f>COUNTIF(WeeklyPicks!$D$2:$F$11,C62)</f>
        <v>0</v>
      </c>
    </row>
    <row r="63" spans="1:4" x14ac:dyDescent="0.3">
      <c r="A63">
        <v>1</v>
      </c>
      <c r="B63" t="s">
        <v>45</v>
      </c>
      <c r="C63">
        <v>62</v>
      </c>
      <c r="D63">
        <f>COUNTIF(WeeklyPicks!$D$2:$F$11,C63)</f>
        <v>0</v>
      </c>
    </row>
    <row r="64" spans="1:4" x14ac:dyDescent="0.3">
      <c r="A64">
        <v>1</v>
      </c>
      <c r="B64" t="s">
        <v>45</v>
      </c>
      <c r="C64">
        <v>63</v>
      </c>
      <c r="D64">
        <f>COUNTIF(WeeklyPicks!$D$2:$F$11,C64)</f>
        <v>0</v>
      </c>
    </row>
    <row r="65" spans="1:4" x14ac:dyDescent="0.3">
      <c r="A65">
        <v>1</v>
      </c>
      <c r="B65" t="s">
        <v>45</v>
      </c>
      <c r="C65">
        <v>64</v>
      </c>
      <c r="D65">
        <f>COUNTIF(WeeklyPicks!$D$2:$F$11,C65)</f>
        <v>0</v>
      </c>
    </row>
    <row r="66" spans="1:4" x14ac:dyDescent="0.3">
      <c r="A66">
        <v>1</v>
      </c>
      <c r="B66" t="s">
        <v>45</v>
      </c>
      <c r="C66">
        <v>65</v>
      </c>
      <c r="D66">
        <f>COUNTIF(WeeklyPicks!$D$2:$F$11,C66)</f>
        <v>0</v>
      </c>
    </row>
    <row r="67" spans="1:4" x14ac:dyDescent="0.3">
      <c r="A67">
        <v>1</v>
      </c>
      <c r="B67" t="s">
        <v>45</v>
      </c>
      <c r="C67">
        <v>66</v>
      </c>
      <c r="D67">
        <f>COUNTIF(WeeklyPicks!$D$2:$F$11,C67)</f>
        <v>0</v>
      </c>
    </row>
    <row r="68" spans="1:4" x14ac:dyDescent="0.3">
      <c r="A68">
        <v>1</v>
      </c>
      <c r="B68" t="s">
        <v>45</v>
      </c>
      <c r="C68">
        <v>67</v>
      </c>
      <c r="D68">
        <f>COUNTIF(WeeklyPicks!$D$2:$F$11,C68)</f>
        <v>0</v>
      </c>
    </row>
    <row r="69" spans="1:4" x14ac:dyDescent="0.3">
      <c r="A69">
        <v>1</v>
      </c>
      <c r="B69" t="s">
        <v>45</v>
      </c>
      <c r="C69">
        <v>68</v>
      </c>
      <c r="D69">
        <f>COUNTIF(WeeklyPicks!$D$2:$F$11,C69)</f>
        <v>0</v>
      </c>
    </row>
    <row r="70" spans="1:4" x14ac:dyDescent="0.3">
      <c r="A70">
        <v>1</v>
      </c>
      <c r="B70" t="s">
        <v>45</v>
      </c>
      <c r="C70">
        <v>69</v>
      </c>
      <c r="D70">
        <f>COUNTIF(WeeklyPicks!$D$2:$F$11,C70)</f>
        <v>0</v>
      </c>
    </row>
    <row r="71" spans="1:4" x14ac:dyDescent="0.3">
      <c r="A71">
        <v>1</v>
      </c>
      <c r="B71" t="s">
        <v>45</v>
      </c>
      <c r="C71">
        <v>70</v>
      </c>
      <c r="D71">
        <f>COUNTIF(WeeklyPicks!$D$2:$F$11,C71)</f>
        <v>0</v>
      </c>
    </row>
    <row r="72" spans="1:4" x14ac:dyDescent="0.3">
      <c r="A72">
        <v>1</v>
      </c>
      <c r="B72" t="s">
        <v>45</v>
      </c>
      <c r="C72">
        <v>71</v>
      </c>
      <c r="D72">
        <f>COUNTIF(WeeklyPicks!$D$2:$F$11,C72)</f>
        <v>0</v>
      </c>
    </row>
    <row r="73" spans="1:4" x14ac:dyDescent="0.3">
      <c r="A73">
        <v>1</v>
      </c>
      <c r="B73" t="s">
        <v>45</v>
      </c>
      <c r="C73">
        <v>72</v>
      </c>
      <c r="D73">
        <f>COUNTIF(WeeklyPicks!$D$2:$F$11,C73)</f>
        <v>0</v>
      </c>
    </row>
    <row r="74" spans="1:4" x14ac:dyDescent="0.3">
      <c r="A74">
        <v>1</v>
      </c>
      <c r="B74" t="s">
        <v>45</v>
      </c>
      <c r="C74">
        <v>73</v>
      </c>
      <c r="D74">
        <f>COUNTIF(WeeklyPicks!$D$2:$F$11,C74)</f>
        <v>0</v>
      </c>
    </row>
    <row r="75" spans="1:4" x14ac:dyDescent="0.3">
      <c r="A75">
        <v>1</v>
      </c>
      <c r="B75" t="s">
        <v>45</v>
      </c>
      <c r="C75">
        <v>74</v>
      </c>
      <c r="D75">
        <f>COUNTIF(WeeklyPicks!$D$2:$F$11,C75)</f>
        <v>0</v>
      </c>
    </row>
    <row r="76" spans="1:4" x14ac:dyDescent="0.3">
      <c r="A76">
        <v>1</v>
      </c>
      <c r="B76" t="s">
        <v>45</v>
      </c>
      <c r="C76">
        <v>75</v>
      </c>
      <c r="D76">
        <f>COUNTIF(WeeklyPicks!$D$2:$F$11,C76)</f>
        <v>0</v>
      </c>
    </row>
    <row r="77" spans="1:4" x14ac:dyDescent="0.3">
      <c r="A77">
        <v>1</v>
      </c>
      <c r="B77" t="s">
        <v>45</v>
      </c>
      <c r="C77">
        <v>76</v>
      </c>
      <c r="D77">
        <f>COUNTIF(WeeklyPicks!$D$2:$F$11,C77)</f>
        <v>0</v>
      </c>
    </row>
    <row r="78" spans="1:4" x14ac:dyDescent="0.3">
      <c r="A78">
        <v>1</v>
      </c>
      <c r="B78" t="s">
        <v>45</v>
      </c>
      <c r="C78">
        <v>77</v>
      </c>
      <c r="D78">
        <f>COUNTIF(WeeklyPicks!$D$2:$F$11,C78)</f>
        <v>0</v>
      </c>
    </row>
    <row r="79" spans="1:4" x14ac:dyDescent="0.3">
      <c r="A79">
        <v>1</v>
      </c>
      <c r="B79" t="s">
        <v>45</v>
      </c>
      <c r="C79">
        <v>78</v>
      </c>
      <c r="D79">
        <f>COUNTIF(WeeklyPicks!$D$2:$F$11,C79)</f>
        <v>0</v>
      </c>
    </row>
    <row r="80" spans="1:4" x14ac:dyDescent="0.3">
      <c r="A80">
        <v>1</v>
      </c>
      <c r="B80" t="s">
        <v>45</v>
      </c>
      <c r="C80">
        <v>79</v>
      </c>
      <c r="D80">
        <f>COUNTIF(WeeklyPicks!$D$2:$F$11,C80)</f>
        <v>0</v>
      </c>
    </row>
    <row r="81" spans="1:4" x14ac:dyDescent="0.3">
      <c r="A81">
        <v>1</v>
      </c>
      <c r="B81" t="s">
        <v>45</v>
      </c>
      <c r="C81">
        <v>80</v>
      </c>
      <c r="D81">
        <f>COUNTIF(WeeklyPicks!$D$2:$F$11,C81)</f>
        <v>0</v>
      </c>
    </row>
    <row r="82" spans="1:4" x14ac:dyDescent="0.3">
      <c r="A82">
        <v>1</v>
      </c>
      <c r="B82" t="s">
        <v>45</v>
      </c>
      <c r="C82">
        <v>81</v>
      </c>
      <c r="D82">
        <f>COUNTIF(WeeklyPicks!$D$2:$F$11,C82)</f>
        <v>0</v>
      </c>
    </row>
    <row r="83" spans="1:4" x14ac:dyDescent="0.3">
      <c r="A83">
        <v>1</v>
      </c>
      <c r="B83" t="s">
        <v>45</v>
      </c>
      <c r="C83">
        <v>82</v>
      </c>
      <c r="D83">
        <f>COUNTIF(WeeklyPicks!$D$2:$F$11,C83)</f>
        <v>0</v>
      </c>
    </row>
    <row r="84" spans="1:4" x14ac:dyDescent="0.3">
      <c r="A84">
        <v>1</v>
      </c>
      <c r="B84" t="s">
        <v>45</v>
      </c>
      <c r="C84">
        <v>83</v>
      </c>
      <c r="D84">
        <f>COUNTIF(WeeklyPicks!$D$2:$F$11,C84)</f>
        <v>0</v>
      </c>
    </row>
    <row r="85" spans="1:4" x14ac:dyDescent="0.3">
      <c r="A85">
        <v>1</v>
      </c>
      <c r="B85" t="s">
        <v>45</v>
      </c>
      <c r="C85">
        <v>84</v>
      </c>
      <c r="D85">
        <f>COUNTIF(WeeklyPicks!$D$2:$F$11,C85)</f>
        <v>0</v>
      </c>
    </row>
    <row r="86" spans="1:4" x14ac:dyDescent="0.3">
      <c r="A86">
        <v>1</v>
      </c>
      <c r="B86" t="s">
        <v>45</v>
      </c>
      <c r="C86">
        <v>85</v>
      </c>
      <c r="D86">
        <f>COUNTIF(WeeklyPicks!$D$2:$F$11,C86)</f>
        <v>0</v>
      </c>
    </row>
    <row r="87" spans="1:4" x14ac:dyDescent="0.3">
      <c r="A87">
        <v>1</v>
      </c>
      <c r="B87" t="s">
        <v>45</v>
      </c>
      <c r="C87">
        <v>86</v>
      </c>
      <c r="D87">
        <f>COUNTIF(WeeklyPicks!$D$2:$F$11,C87)</f>
        <v>0</v>
      </c>
    </row>
    <row r="88" spans="1:4" x14ac:dyDescent="0.3">
      <c r="A88">
        <v>1</v>
      </c>
      <c r="B88" t="s">
        <v>45</v>
      </c>
      <c r="C88">
        <v>87</v>
      </c>
      <c r="D88">
        <f>COUNTIF(WeeklyPicks!$D$2:$F$11,C88)</f>
        <v>0</v>
      </c>
    </row>
    <row r="89" spans="1:4" x14ac:dyDescent="0.3">
      <c r="A89">
        <v>1</v>
      </c>
      <c r="B89" t="s">
        <v>45</v>
      </c>
      <c r="C89">
        <v>88</v>
      </c>
      <c r="D89">
        <f>COUNTIF(WeeklyPicks!$D$2:$F$11,C89)</f>
        <v>0</v>
      </c>
    </row>
    <row r="90" spans="1:4" x14ac:dyDescent="0.3">
      <c r="A90">
        <v>1</v>
      </c>
      <c r="B90" t="s">
        <v>45</v>
      </c>
      <c r="C90">
        <v>89</v>
      </c>
      <c r="D90">
        <f>COUNTIF(WeeklyPicks!$D$2:$F$11,C90)</f>
        <v>0</v>
      </c>
    </row>
    <row r="91" spans="1:4" x14ac:dyDescent="0.3">
      <c r="A91">
        <v>1</v>
      </c>
      <c r="B91" t="s">
        <v>45</v>
      </c>
      <c r="C91">
        <v>90</v>
      </c>
      <c r="D91">
        <f>COUNTIF(WeeklyPicks!$D$2:$F$11,C91)</f>
        <v>0</v>
      </c>
    </row>
    <row r="92" spans="1:4" x14ac:dyDescent="0.3">
      <c r="A92">
        <v>1</v>
      </c>
      <c r="B92" t="s">
        <v>45</v>
      </c>
      <c r="C92">
        <v>91</v>
      </c>
      <c r="D92">
        <f>COUNTIF(WeeklyPicks!$D$2:$F$11,C92)</f>
        <v>0</v>
      </c>
    </row>
    <row r="93" spans="1:4" x14ac:dyDescent="0.3">
      <c r="A93">
        <v>1</v>
      </c>
      <c r="B93" t="s">
        <v>45</v>
      </c>
      <c r="C93">
        <v>92</v>
      </c>
      <c r="D93">
        <f>COUNTIF(WeeklyPicks!$D$2:$F$11,C93)</f>
        <v>0</v>
      </c>
    </row>
    <row r="94" spans="1:4" x14ac:dyDescent="0.3">
      <c r="A94">
        <v>1</v>
      </c>
      <c r="B94" t="s">
        <v>45</v>
      </c>
      <c r="C94">
        <v>93</v>
      </c>
      <c r="D94">
        <f>COUNTIF(WeeklyPicks!$D$2:$F$11,C94)</f>
        <v>0</v>
      </c>
    </row>
    <row r="95" spans="1:4" x14ac:dyDescent="0.3">
      <c r="A95">
        <v>1</v>
      </c>
      <c r="B95" t="s">
        <v>45</v>
      </c>
      <c r="C95">
        <v>94</v>
      </c>
      <c r="D95">
        <f>COUNTIF(WeeklyPicks!$D$2:$F$11,C95)</f>
        <v>0</v>
      </c>
    </row>
    <row r="96" spans="1:4" x14ac:dyDescent="0.3">
      <c r="A96">
        <v>1</v>
      </c>
      <c r="B96" t="s">
        <v>45</v>
      </c>
      <c r="C96">
        <v>95</v>
      </c>
      <c r="D96">
        <f>COUNTIF(WeeklyPicks!$D$2:$F$11,C96)</f>
        <v>0</v>
      </c>
    </row>
    <row r="97" spans="1:4" x14ac:dyDescent="0.3">
      <c r="A97">
        <v>1</v>
      </c>
      <c r="B97" t="s">
        <v>45</v>
      </c>
      <c r="C97">
        <v>96</v>
      </c>
      <c r="D97">
        <f>COUNTIF(WeeklyPicks!$D$2:$F$11,C97)</f>
        <v>0</v>
      </c>
    </row>
    <row r="98" spans="1:4" x14ac:dyDescent="0.3">
      <c r="A98">
        <v>1</v>
      </c>
      <c r="B98" t="s">
        <v>45</v>
      </c>
      <c r="C98">
        <v>97</v>
      </c>
      <c r="D98">
        <f>COUNTIF(WeeklyPicks!$D$2:$F$11,C98)</f>
        <v>0</v>
      </c>
    </row>
    <row r="99" spans="1:4" x14ac:dyDescent="0.3">
      <c r="A99">
        <v>1</v>
      </c>
      <c r="B99" t="s">
        <v>45</v>
      </c>
      <c r="C99">
        <v>98</v>
      </c>
      <c r="D99">
        <f>COUNTIF(WeeklyPicks!$D$2:$F$11,C99)</f>
        <v>0</v>
      </c>
    </row>
    <row r="100" spans="1:4" x14ac:dyDescent="0.3">
      <c r="A100">
        <v>1</v>
      </c>
      <c r="B100" t="s">
        <v>45</v>
      </c>
      <c r="C100">
        <v>99</v>
      </c>
      <c r="D100">
        <f>COUNTIF(WeeklyPicks!$D$2:$F$11,C100)</f>
        <v>0</v>
      </c>
    </row>
    <row r="101" spans="1:4" x14ac:dyDescent="0.3">
      <c r="A101">
        <v>2</v>
      </c>
      <c r="B101" t="s">
        <v>50</v>
      </c>
      <c r="C101">
        <v>1</v>
      </c>
      <c r="D101">
        <f>COUNTIF(WeeklyPicks!$D$12:$F$21,C101)</f>
        <v>0</v>
      </c>
    </row>
    <row r="102" spans="1:4" x14ac:dyDescent="0.3">
      <c r="A102">
        <v>2</v>
      </c>
      <c r="B102" t="s">
        <v>50</v>
      </c>
      <c r="C102">
        <v>2</v>
      </c>
      <c r="D102">
        <f>COUNTIF(WeeklyPicks!$D$12:$F$21,C102)</f>
        <v>0</v>
      </c>
    </row>
    <row r="103" spans="1:4" x14ac:dyDescent="0.3">
      <c r="A103">
        <v>2</v>
      </c>
      <c r="B103" t="s">
        <v>50</v>
      </c>
      <c r="C103">
        <v>3</v>
      </c>
      <c r="D103">
        <f>COUNTIF(WeeklyPicks!$D$12:$F$21,C103)</f>
        <v>0</v>
      </c>
    </row>
    <row r="104" spans="1:4" x14ac:dyDescent="0.3">
      <c r="A104">
        <v>2</v>
      </c>
      <c r="B104" t="s">
        <v>50</v>
      </c>
      <c r="C104">
        <v>4</v>
      </c>
      <c r="D104">
        <f>COUNTIF(WeeklyPicks!$D$12:$F$21,C104)</f>
        <v>0</v>
      </c>
    </row>
    <row r="105" spans="1:4" x14ac:dyDescent="0.3">
      <c r="A105">
        <v>2</v>
      </c>
      <c r="B105" t="s">
        <v>50</v>
      </c>
      <c r="C105">
        <v>5</v>
      </c>
      <c r="D105">
        <f>COUNTIF(WeeklyPicks!$D$12:$F$21,C105)</f>
        <v>0</v>
      </c>
    </row>
    <row r="106" spans="1:4" x14ac:dyDescent="0.3">
      <c r="A106">
        <v>2</v>
      </c>
      <c r="B106" t="s">
        <v>50</v>
      </c>
      <c r="C106">
        <v>6</v>
      </c>
      <c r="D106">
        <f>COUNTIF(WeeklyPicks!$D$12:$F$21,C106)</f>
        <v>0</v>
      </c>
    </row>
    <row r="107" spans="1:4" x14ac:dyDescent="0.3">
      <c r="A107">
        <v>2</v>
      </c>
      <c r="B107" t="s">
        <v>50</v>
      </c>
      <c r="C107">
        <v>7</v>
      </c>
      <c r="D107">
        <f>COUNTIF(WeeklyPicks!$D$12:$F$21,C107)</f>
        <v>0</v>
      </c>
    </row>
    <row r="108" spans="1:4" x14ac:dyDescent="0.3">
      <c r="A108">
        <v>2</v>
      </c>
      <c r="B108" t="s">
        <v>50</v>
      </c>
      <c r="C108">
        <v>8</v>
      </c>
      <c r="D108">
        <f>COUNTIF(WeeklyPicks!$D$12:$F$21,C108)</f>
        <v>0</v>
      </c>
    </row>
    <row r="109" spans="1:4" x14ac:dyDescent="0.3">
      <c r="A109">
        <v>2</v>
      </c>
      <c r="B109" t="s">
        <v>50</v>
      </c>
      <c r="C109">
        <v>9</v>
      </c>
      <c r="D109">
        <f>COUNTIF(WeeklyPicks!$D$12:$F$21,C109)</f>
        <v>0</v>
      </c>
    </row>
    <row r="110" spans="1:4" x14ac:dyDescent="0.3">
      <c r="A110">
        <v>2</v>
      </c>
      <c r="B110" t="s">
        <v>50</v>
      </c>
      <c r="C110">
        <v>10</v>
      </c>
      <c r="D110">
        <f>COUNTIF(WeeklyPicks!$D$12:$F$21,C110)</f>
        <v>0</v>
      </c>
    </row>
    <row r="111" spans="1:4" x14ac:dyDescent="0.3">
      <c r="A111">
        <v>2</v>
      </c>
      <c r="B111" t="s">
        <v>50</v>
      </c>
      <c r="C111">
        <v>11</v>
      </c>
      <c r="D111">
        <f>COUNTIF(WeeklyPicks!$D$12:$F$21,C111)</f>
        <v>0</v>
      </c>
    </row>
    <row r="112" spans="1:4" x14ac:dyDescent="0.3">
      <c r="A112">
        <v>2</v>
      </c>
      <c r="B112" t="s">
        <v>50</v>
      </c>
      <c r="C112">
        <v>12</v>
      </c>
      <c r="D112">
        <f>COUNTIF(WeeklyPicks!$D$12:$F$21,C112)</f>
        <v>0</v>
      </c>
    </row>
    <row r="113" spans="1:4" x14ac:dyDescent="0.3">
      <c r="A113">
        <v>2</v>
      </c>
      <c r="B113" t="s">
        <v>50</v>
      </c>
      <c r="C113">
        <v>13</v>
      </c>
      <c r="D113">
        <f>COUNTIF(WeeklyPicks!$D$12:$F$21,C113)</f>
        <v>0</v>
      </c>
    </row>
    <row r="114" spans="1:4" x14ac:dyDescent="0.3">
      <c r="A114">
        <v>2</v>
      </c>
      <c r="B114" t="s">
        <v>50</v>
      </c>
      <c r="C114">
        <v>14</v>
      </c>
      <c r="D114">
        <f>COUNTIF(WeeklyPicks!$D$12:$F$21,C114)</f>
        <v>0</v>
      </c>
    </row>
    <row r="115" spans="1:4" x14ac:dyDescent="0.3">
      <c r="A115">
        <v>2</v>
      </c>
      <c r="B115" t="s">
        <v>50</v>
      </c>
      <c r="C115">
        <v>15</v>
      </c>
      <c r="D115">
        <f>COUNTIF(WeeklyPicks!$D$12:$F$21,C115)</f>
        <v>0</v>
      </c>
    </row>
    <row r="116" spans="1:4" x14ac:dyDescent="0.3">
      <c r="A116">
        <v>2</v>
      </c>
      <c r="B116" t="s">
        <v>50</v>
      </c>
      <c r="C116">
        <v>16</v>
      </c>
      <c r="D116">
        <f>COUNTIF(WeeklyPicks!$D$12:$F$21,C116)</f>
        <v>0</v>
      </c>
    </row>
    <row r="117" spans="1:4" x14ac:dyDescent="0.3">
      <c r="A117">
        <v>2</v>
      </c>
      <c r="B117" t="s">
        <v>50</v>
      </c>
      <c r="C117">
        <v>17</v>
      </c>
      <c r="D117">
        <f>COUNTIF(WeeklyPicks!$D$12:$F$21,C117)</f>
        <v>0</v>
      </c>
    </row>
    <row r="118" spans="1:4" x14ac:dyDescent="0.3">
      <c r="A118">
        <v>2</v>
      </c>
      <c r="B118" t="s">
        <v>50</v>
      </c>
      <c r="C118">
        <v>18</v>
      </c>
      <c r="D118">
        <f>COUNTIF(WeeklyPicks!$D$12:$F$21,C118)</f>
        <v>0</v>
      </c>
    </row>
    <row r="119" spans="1:4" x14ac:dyDescent="0.3">
      <c r="A119">
        <v>2</v>
      </c>
      <c r="B119" t="s">
        <v>50</v>
      </c>
      <c r="C119">
        <v>19</v>
      </c>
      <c r="D119">
        <f>COUNTIF(WeeklyPicks!$D$12:$F$21,C119)</f>
        <v>0</v>
      </c>
    </row>
    <row r="120" spans="1:4" x14ac:dyDescent="0.3">
      <c r="A120">
        <v>2</v>
      </c>
      <c r="B120" t="s">
        <v>50</v>
      </c>
      <c r="C120">
        <v>20</v>
      </c>
      <c r="D120">
        <f>COUNTIF(WeeklyPicks!$D$12:$F$21,C120)</f>
        <v>0</v>
      </c>
    </row>
    <row r="121" spans="1:4" x14ac:dyDescent="0.3">
      <c r="A121">
        <v>2</v>
      </c>
      <c r="B121" t="s">
        <v>50</v>
      </c>
      <c r="C121">
        <v>21</v>
      </c>
      <c r="D121">
        <f>COUNTIF(WeeklyPicks!$D$12:$F$21,C121)</f>
        <v>0</v>
      </c>
    </row>
    <row r="122" spans="1:4" x14ac:dyDescent="0.3">
      <c r="A122">
        <v>2</v>
      </c>
      <c r="B122" t="s">
        <v>50</v>
      </c>
      <c r="C122">
        <v>22</v>
      </c>
      <c r="D122">
        <f>COUNTIF(WeeklyPicks!$D$12:$F$21,C122)</f>
        <v>0</v>
      </c>
    </row>
    <row r="123" spans="1:4" x14ac:dyDescent="0.3">
      <c r="A123">
        <v>2</v>
      </c>
      <c r="B123" t="s">
        <v>50</v>
      </c>
      <c r="C123">
        <v>23</v>
      </c>
      <c r="D123">
        <f>COUNTIF(WeeklyPicks!$D$12:$F$21,C123)</f>
        <v>0</v>
      </c>
    </row>
    <row r="124" spans="1:4" x14ac:dyDescent="0.3">
      <c r="A124">
        <v>2</v>
      </c>
      <c r="B124" t="s">
        <v>50</v>
      </c>
      <c r="C124">
        <v>24</v>
      </c>
      <c r="D124">
        <f>COUNTIF(WeeklyPicks!$D$12:$F$21,C124)</f>
        <v>0</v>
      </c>
    </row>
    <row r="125" spans="1:4" x14ac:dyDescent="0.3">
      <c r="A125">
        <v>2</v>
      </c>
      <c r="B125" t="s">
        <v>50</v>
      </c>
      <c r="C125">
        <v>25</v>
      </c>
      <c r="D125">
        <f>COUNTIF(WeeklyPicks!$D$12:$F$21,C125)</f>
        <v>0</v>
      </c>
    </row>
    <row r="126" spans="1:4" x14ac:dyDescent="0.3">
      <c r="A126">
        <v>2</v>
      </c>
      <c r="B126" t="s">
        <v>50</v>
      </c>
      <c r="C126">
        <v>26</v>
      </c>
      <c r="D126">
        <f>COUNTIF(WeeklyPicks!$D$12:$F$21,C126)</f>
        <v>0</v>
      </c>
    </row>
    <row r="127" spans="1:4" x14ac:dyDescent="0.3">
      <c r="A127">
        <v>2</v>
      </c>
      <c r="B127" t="s">
        <v>50</v>
      </c>
      <c r="C127">
        <v>27</v>
      </c>
      <c r="D127">
        <f>COUNTIF(WeeklyPicks!$D$12:$F$21,C127)</f>
        <v>0</v>
      </c>
    </row>
    <row r="128" spans="1:4" x14ac:dyDescent="0.3">
      <c r="A128">
        <v>2</v>
      </c>
      <c r="B128" t="s">
        <v>50</v>
      </c>
      <c r="C128">
        <v>28</v>
      </c>
      <c r="D128">
        <f>COUNTIF(WeeklyPicks!$D$12:$F$21,C128)</f>
        <v>0</v>
      </c>
    </row>
    <row r="129" spans="1:4" x14ac:dyDescent="0.3">
      <c r="A129">
        <v>2</v>
      </c>
      <c r="B129" t="s">
        <v>50</v>
      </c>
      <c r="C129">
        <v>29</v>
      </c>
      <c r="D129">
        <f>COUNTIF(WeeklyPicks!$D$12:$F$21,C129)</f>
        <v>0</v>
      </c>
    </row>
    <row r="130" spans="1:4" x14ac:dyDescent="0.3">
      <c r="A130">
        <v>2</v>
      </c>
      <c r="B130" t="s">
        <v>50</v>
      </c>
      <c r="C130">
        <v>30</v>
      </c>
      <c r="D130">
        <f>COUNTIF(WeeklyPicks!$D$12:$F$21,C130)</f>
        <v>0</v>
      </c>
    </row>
    <row r="131" spans="1:4" x14ac:dyDescent="0.3">
      <c r="A131">
        <v>2</v>
      </c>
      <c r="B131" t="s">
        <v>50</v>
      </c>
      <c r="C131">
        <v>31</v>
      </c>
      <c r="D131">
        <f>COUNTIF(WeeklyPicks!$D$12:$F$21,C131)</f>
        <v>0</v>
      </c>
    </row>
    <row r="132" spans="1:4" x14ac:dyDescent="0.3">
      <c r="A132">
        <v>2</v>
      </c>
      <c r="B132" t="s">
        <v>50</v>
      </c>
      <c r="C132">
        <v>32</v>
      </c>
      <c r="D132">
        <f>COUNTIF(WeeklyPicks!$D$12:$F$21,C132)</f>
        <v>0</v>
      </c>
    </row>
    <row r="133" spans="1:4" x14ac:dyDescent="0.3">
      <c r="A133">
        <v>2</v>
      </c>
      <c r="B133" t="s">
        <v>50</v>
      </c>
      <c r="C133">
        <v>33</v>
      </c>
      <c r="D133">
        <f>COUNTIF(WeeklyPicks!$D$12:$F$21,C133)</f>
        <v>0</v>
      </c>
    </row>
    <row r="134" spans="1:4" x14ac:dyDescent="0.3">
      <c r="A134">
        <v>2</v>
      </c>
      <c r="B134" t="s">
        <v>50</v>
      </c>
      <c r="C134">
        <v>34</v>
      </c>
      <c r="D134">
        <f>COUNTIF(WeeklyPicks!$D$12:$F$21,C134)</f>
        <v>0</v>
      </c>
    </row>
    <row r="135" spans="1:4" x14ac:dyDescent="0.3">
      <c r="A135">
        <v>2</v>
      </c>
      <c r="B135" t="s">
        <v>50</v>
      </c>
      <c r="C135">
        <v>35</v>
      </c>
      <c r="D135">
        <f>COUNTIF(WeeklyPicks!$D$12:$F$21,C135)</f>
        <v>0</v>
      </c>
    </row>
    <row r="136" spans="1:4" x14ac:dyDescent="0.3">
      <c r="A136">
        <v>2</v>
      </c>
      <c r="B136" t="s">
        <v>50</v>
      </c>
      <c r="C136">
        <v>36</v>
      </c>
      <c r="D136">
        <f>COUNTIF(WeeklyPicks!$D$12:$F$21,C136)</f>
        <v>0</v>
      </c>
    </row>
    <row r="137" spans="1:4" x14ac:dyDescent="0.3">
      <c r="A137">
        <v>2</v>
      </c>
      <c r="B137" t="s">
        <v>50</v>
      </c>
      <c r="C137">
        <v>37</v>
      </c>
      <c r="D137">
        <f>COUNTIF(WeeklyPicks!$D$12:$F$21,C137)</f>
        <v>0</v>
      </c>
    </row>
    <row r="138" spans="1:4" x14ac:dyDescent="0.3">
      <c r="A138">
        <v>2</v>
      </c>
      <c r="B138" t="s">
        <v>50</v>
      </c>
      <c r="C138">
        <v>38</v>
      </c>
      <c r="D138">
        <f>COUNTIF(WeeklyPicks!$D$12:$F$21,C138)</f>
        <v>0</v>
      </c>
    </row>
    <row r="139" spans="1:4" x14ac:dyDescent="0.3">
      <c r="A139">
        <v>2</v>
      </c>
      <c r="B139" t="s">
        <v>50</v>
      </c>
      <c r="C139">
        <v>39</v>
      </c>
      <c r="D139">
        <f>COUNTIF(WeeklyPicks!$D$12:$F$21,C139)</f>
        <v>0</v>
      </c>
    </row>
    <row r="140" spans="1:4" x14ac:dyDescent="0.3">
      <c r="A140">
        <v>2</v>
      </c>
      <c r="B140" t="s">
        <v>50</v>
      </c>
      <c r="C140">
        <v>40</v>
      </c>
      <c r="D140">
        <f>COUNTIF(WeeklyPicks!$D$12:$F$21,C140)</f>
        <v>0</v>
      </c>
    </row>
    <row r="141" spans="1:4" x14ac:dyDescent="0.3">
      <c r="A141">
        <v>2</v>
      </c>
      <c r="B141" t="s">
        <v>50</v>
      </c>
      <c r="C141">
        <v>41</v>
      </c>
      <c r="D141">
        <f>COUNTIF(WeeklyPicks!$D$12:$F$21,C141)</f>
        <v>0</v>
      </c>
    </row>
    <row r="142" spans="1:4" x14ac:dyDescent="0.3">
      <c r="A142">
        <v>2</v>
      </c>
      <c r="B142" t="s">
        <v>50</v>
      </c>
      <c r="C142">
        <v>42</v>
      </c>
      <c r="D142">
        <f>COUNTIF(WeeklyPicks!$D$12:$F$21,C142)</f>
        <v>0</v>
      </c>
    </row>
    <row r="143" spans="1:4" x14ac:dyDescent="0.3">
      <c r="A143">
        <v>2</v>
      </c>
      <c r="B143" t="s">
        <v>50</v>
      </c>
      <c r="C143">
        <v>43</v>
      </c>
      <c r="D143">
        <f>COUNTIF(WeeklyPicks!$D$12:$F$21,C143)</f>
        <v>0</v>
      </c>
    </row>
    <row r="144" spans="1:4" x14ac:dyDescent="0.3">
      <c r="A144">
        <v>2</v>
      </c>
      <c r="B144" t="s">
        <v>50</v>
      </c>
      <c r="C144">
        <v>44</v>
      </c>
      <c r="D144">
        <f>COUNTIF(WeeklyPicks!$D$12:$F$21,C144)</f>
        <v>0</v>
      </c>
    </row>
    <row r="145" spans="1:4" x14ac:dyDescent="0.3">
      <c r="A145">
        <v>2</v>
      </c>
      <c r="B145" t="s">
        <v>50</v>
      </c>
      <c r="C145">
        <v>45</v>
      </c>
      <c r="D145">
        <f>COUNTIF(WeeklyPicks!$D$12:$F$21,C145)</f>
        <v>0</v>
      </c>
    </row>
    <row r="146" spans="1:4" x14ac:dyDescent="0.3">
      <c r="A146">
        <v>2</v>
      </c>
      <c r="B146" t="s">
        <v>50</v>
      </c>
      <c r="C146">
        <v>46</v>
      </c>
      <c r="D146">
        <f>COUNTIF(WeeklyPicks!$D$12:$F$21,C146)</f>
        <v>0</v>
      </c>
    </row>
    <row r="147" spans="1:4" x14ac:dyDescent="0.3">
      <c r="A147">
        <v>2</v>
      </c>
      <c r="B147" t="s">
        <v>50</v>
      </c>
      <c r="C147">
        <v>47</v>
      </c>
      <c r="D147">
        <f>COUNTIF(WeeklyPicks!$D$12:$F$21,C147)</f>
        <v>0</v>
      </c>
    </row>
    <row r="148" spans="1:4" x14ac:dyDescent="0.3">
      <c r="A148">
        <v>2</v>
      </c>
      <c r="B148" t="s">
        <v>50</v>
      </c>
      <c r="C148">
        <v>48</v>
      </c>
      <c r="D148">
        <f>COUNTIF(WeeklyPicks!$D$12:$F$21,C148)</f>
        <v>0</v>
      </c>
    </row>
    <row r="149" spans="1:4" x14ac:dyDescent="0.3">
      <c r="A149">
        <v>2</v>
      </c>
      <c r="B149" t="s">
        <v>50</v>
      </c>
      <c r="C149">
        <v>49</v>
      </c>
      <c r="D149">
        <f>COUNTIF(WeeklyPicks!$D$12:$F$21,C149)</f>
        <v>0</v>
      </c>
    </row>
    <row r="150" spans="1:4" x14ac:dyDescent="0.3">
      <c r="A150">
        <v>2</v>
      </c>
      <c r="B150" t="s">
        <v>50</v>
      </c>
      <c r="C150">
        <v>50</v>
      </c>
      <c r="D150">
        <f>COUNTIF(WeeklyPicks!$D$12:$F$21,C150)</f>
        <v>0</v>
      </c>
    </row>
    <row r="151" spans="1:4" x14ac:dyDescent="0.3">
      <c r="A151">
        <v>2</v>
      </c>
      <c r="B151" t="s">
        <v>50</v>
      </c>
      <c r="C151">
        <v>51</v>
      </c>
      <c r="D151">
        <f>COUNTIF(WeeklyPicks!$D$12:$F$21,C151)</f>
        <v>0</v>
      </c>
    </row>
    <row r="152" spans="1:4" x14ac:dyDescent="0.3">
      <c r="A152">
        <v>2</v>
      </c>
      <c r="B152" t="s">
        <v>50</v>
      </c>
      <c r="C152">
        <v>52</v>
      </c>
      <c r="D152">
        <f>COUNTIF(WeeklyPicks!$D$12:$F$21,C152)</f>
        <v>0</v>
      </c>
    </row>
    <row r="153" spans="1:4" x14ac:dyDescent="0.3">
      <c r="A153">
        <v>2</v>
      </c>
      <c r="B153" t="s">
        <v>50</v>
      </c>
      <c r="C153">
        <v>53</v>
      </c>
      <c r="D153">
        <f>COUNTIF(WeeklyPicks!$D$12:$F$21,C153)</f>
        <v>0</v>
      </c>
    </row>
    <row r="154" spans="1:4" x14ac:dyDescent="0.3">
      <c r="A154">
        <v>2</v>
      </c>
      <c r="B154" t="s">
        <v>50</v>
      </c>
      <c r="C154">
        <v>54</v>
      </c>
      <c r="D154">
        <f>COUNTIF(WeeklyPicks!$D$12:$F$21,C154)</f>
        <v>0</v>
      </c>
    </row>
    <row r="155" spans="1:4" x14ac:dyDescent="0.3">
      <c r="A155">
        <v>2</v>
      </c>
      <c r="B155" t="s">
        <v>50</v>
      </c>
      <c r="C155">
        <v>55</v>
      </c>
      <c r="D155">
        <f>COUNTIF(WeeklyPicks!$D$12:$F$21,C155)</f>
        <v>0</v>
      </c>
    </row>
    <row r="156" spans="1:4" x14ac:dyDescent="0.3">
      <c r="A156">
        <v>2</v>
      </c>
      <c r="B156" t="s">
        <v>50</v>
      </c>
      <c r="C156">
        <v>56</v>
      </c>
      <c r="D156">
        <f>COUNTIF(WeeklyPicks!$D$12:$F$21,C156)</f>
        <v>0</v>
      </c>
    </row>
    <row r="157" spans="1:4" x14ac:dyDescent="0.3">
      <c r="A157">
        <v>2</v>
      </c>
      <c r="B157" t="s">
        <v>50</v>
      </c>
      <c r="C157">
        <v>57</v>
      </c>
      <c r="D157">
        <f>COUNTIF(WeeklyPicks!$D$12:$F$21,C157)</f>
        <v>0</v>
      </c>
    </row>
    <row r="158" spans="1:4" x14ac:dyDescent="0.3">
      <c r="A158">
        <v>2</v>
      </c>
      <c r="B158" t="s">
        <v>50</v>
      </c>
      <c r="C158">
        <v>58</v>
      </c>
      <c r="D158">
        <f>COUNTIF(WeeklyPicks!$D$12:$F$21,C158)</f>
        <v>0</v>
      </c>
    </row>
    <row r="159" spans="1:4" x14ac:dyDescent="0.3">
      <c r="A159">
        <v>2</v>
      </c>
      <c r="B159" t="s">
        <v>50</v>
      </c>
      <c r="C159">
        <v>59</v>
      </c>
      <c r="D159">
        <f>COUNTIF(WeeklyPicks!$D$12:$F$21,C159)</f>
        <v>0</v>
      </c>
    </row>
    <row r="160" spans="1:4" x14ac:dyDescent="0.3">
      <c r="A160">
        <v>2</v>
      </c>
      <c r="B160" t="s">
        <v>50</v>
      </c>
      <c r="C160">
        <v>60</v>
      </c>
      <c r="D160">
        <f>COUNTIF(WeeklyPicks!$D$12:$F$21,C160)</f>
        <v>0</v>
      </c>
    </row>
    <row r="161" spans="1:4" x14ac:dyDescent="0.3">
      <c r="A161">
        <v>2</v>
      </c>
      <c r="B161" t="s">
        <v>50</v>
      </c>
      <c r="C161">
        <v>61</v>
      </c>
      <c r="D161">
        <f>COUNTIF(WeeklyPicks!$D$12:$F$21,C161)</f>
        <v>0</v>
      </c>
    </row>
    <row r="162" spans="1:4" x14ac:dyDescent="0.3">
      <c r="A162">
        <v>2</v>
      </c>
      <c r="B162" t="s">
        <v>50</v>
      </c>
      <c r="C162">
        <v>62</v>
      </c>
      <c r="D162">
        <f>COUNTIF(WeeklyPicks!$D$12:$F$21,C162)</f>
        <v>0</v>
      </c>
    </row>
    <row r="163" spans="1:4" x14ac:dyDescent="0.3">
      <c r="A163">
        <v>2</v>
      </c>
      <c r="B163" t="s">
        <v>50</v>
      </c>
      <c r="C163">
        <v>63</v>
      </c>
      <c r="D163">
        <f>COUNTIF(WeeklyPicks!$D$12:$F$21,C163)</f>
        <v>0</v>
      </c>
    </row>
    <row r="164" spans="1:4" x14ac:dyDescent="0.3">
      <c r="A164">
        <v>2</v>
      </c>
      <c r="B164" t="s">
        <v>50</v>
      </c>
      <c r="C164">
        <v>64</v>
      </c>
      <c r="D164">
        <f>COUNTIF(WeeklyPicks!$D$12:$F$21,C164)</f>
        <v>0</v>
      </c>
    </row>
    <row r="165" spans="1:4" x14ac:dyDescent="0.3">
      <c r="A165">
        <v>2</v>
      </c>
      <c r="B165" t="s">
        <v>50</v>
      </c>
      <c r="C165">
        <v>65</v>
      </c>
      <c r="D165">
        <f>COUNTIF(WeeklyPicks!$D$12:$F$21,C165)</f>
        <v>0</v>
      </c>
    </row>
    <row r="166" spans="1:4" x14ac:dyDescent="0.3">
      <c r="A166">
        <v>2</v>
      </c>
      <c r="B166" t="s">
        <v>50</v>
      </c>
      <c r="C166">
        <v>66</v>
      </c>
      <c r="D166">
        <f>COUNTIF(WeeklyPicks!$D$12:$F$21,C166)</f>
        <v>0</v>
      </c>
    </row>
    <row r="167" spans="1:4" x14ac:dyDescent="0.3">
      <c r="A167">
        <v>2</v>
      </c>
      <c r="B167" t="s">
        <v>50</v>
      </c>
      <c r="C167">
        <v>67</v>
      </c>
      <c r="D167">
        <f>COUNTIF(WeeklyPicks!$D$12:$F$21,C167)</f>
        <v>0</v>
      </c>
    </row>
    <row r="168" spans="1:4" x14ac:dyDescent="0.3">
      <c r="A168">
        <v>2</v>
      </c>
      <c r="B168" t="s">
        <v>50</v>
      </c>
      <c r="C168">
        <v>68</v>
      </c>
      <c r="D168">
        <f>COUNTIF(WeeklyPicks!$D$12:$F$21,C168)</f>
        <v>0</v>
      </c>
    </row>
    <row r="169" spans="1:4" x14ac:dyDescent="0.3">
      <c r="A169">
        <v>2</v>
      </c>
      <c r="B169" t="s">
        <v>50</v>
      </c>
      <c r="C169">
        <v>69</v>
      </c>
      <c r="D169">
        <f>COUNTIF(WeeklyPicks!$D$12:$F$21,C169)</f>
        <v>0</v>
      </c>
    </row>
    <row r="170" spans="1:4" x14ac:dyDescent="0.3">
      <c r="A170">
        <v>2</v>
      </c>
      <c r="B170" t="s">
        <v>50</v>
      </c>
      <c r="C170">
        <v>70</v>
      </c>
      <c r="D170">
        <f>COUNTIF(WeeklyPicks!$D$12:$F$21,C170)</f>
        <v>0</v>
      </c>
    </row>
    <row r="171" spans="1:4" x14ac:dyDescent="0.3">
      <c r="A171">
        <v>2</v>
      </c>
      <c r="B171" t="s">
        <v>50</v>
      </c>
      <c r="C171">
        <v>71</v>
      </c>
      <c r="D171">
        <f>COUNTIF(WeeklyPicks!$D$12:$F$21,C171)</f>
        <v>0</v>
      </c>
    </row>
    <row r="172" spans="1:4" x14ac:dyDescent="0.3">
      <c r="A172">
        <v>2</v>
      </c>
      <c r="B172" t="s">
        <v>50</v>
      </c>
      <c r="C172">
        <v>72</v>
      </c>
      <c r="D172">
        <f>COUNTIF(WeeklyPicks!$D$12:$F$21,C172)</f>
        <v>0</v>
      </c>
    </row>
    <row r="173" spans="1:4" x14ac:dyDescent="0.3">
      <c r="A173">
        <v>2</v>
      </c>
      <c r="B173" t="s">
        <v>50</v>
      </c>
      <c r="C173">
        <v>73</v>
      </c>
      <c r="D173">
        <f>COUNTIF(WeeklyPicks!$D$12:$F$21,C173)</f>
        <v>0</v>
      </c>
    </row>
    <row r="174" spans="1:4" x14ac:dyDescent="0.3">
      <c r="A174">
        <v>2</v>
      </c>
      <c r="B174" t="s">
        <v>50</v>
      </c>
      <c r="C174">
        <v>74</v>
      </c>
      <c r="D174">
        <f>COUNTIF(WeeklyPicks!$D$12:$F$21,C174)</f>
        <v>0</v>
      </c>
    </row>
    <row r="175" spans="1:4" x14ac:dyDescent="0.3">
      <c r="A175">
        <v>2</v>
      </c>
      <c r="B175" t="s">
        <v>50</v>
      </c>
      <c r="C175">
        <v>75</v>
      </c>
      <c r="D175">
        <f>COUNTIF(WeeklyPicks!$D$12:$F$21,C175)</f>
        <v>0</v>
      </c>
    </row>
    <row r="176" spans="1:4" x14ac:dyDescent="0.3">
      <c r="A176">
        <v>2</v>
      </c>
      <c r="B176" t="s">
        <v>50</v>
      </c>
      <c r="C176">
        <v>76</v>
      </c>
      <c r="D176">
        <f>COUNTIF(WeeklyPicks!$D$12:$F$21,C176)</f>
        <v>0</v>
      </c>
    </row>
    <row r="177" spans="1:4" x14ac:dyDescent="0.3">
      <c r="A177">
        <v>2</v>
      </c>
      <c r="B177" t="s">
        <v>50</v>
      </c>
      <c r="C177">
        <v>77</v>
      </c>
      <c r="D177">
        <f>COUNTIF(WeeklyPicks!$D$12:$F$21,C177)</f>
        <v>0</v>
      </c>
    </row>
    <row r="178" spans="1:4" x14ac:dyDescent="0.3">
      <c r="A178">
        <v>2</v>
      </c>
      <c r="B178" t="s">
        <v>50</v>
      </c>
      <c r="C178">
        <v>78</v>
      </c>
      <c r="D178">
        <f>COUNTIF(WeeklyPicks!$D$12:$F$21,C178)</f>
        <v>0</v>
      </c>
    </row>
    <row r="179" spans="1:4" x14ac:dyDescent="0.3">
      <c r="A179">
        <v>2</v>
      </c>
      <c r="B179" t="s">
        <v>50</v>
      </c>
      <c r="C179">
        <v>79</v>
      </c>
      <c r="D179">
        <f>COUNTIF(WeeklyPicks!$D$12:$F$21,C179)</f>
        <v>0</v>
      </c>
    </row>
    <row r="180" spans="1:4" x14ac:dyDescent="0.3">
      <c r="A180">
        <v>2</v>
      </c>
      <c r="B180" t="s">
        <v>50</v>
      </c>
      <c r="C180">
        <v>80</v>
      </c>
      <c r="D180">
        <f>COUNTIF(WeeklyPicks!$D$12:$F$21,C180)</f>
        <v>0</v>
      </c>
    </row>
    <row r="181" spans="1:4" x14ac:dyDescent="0.3">
      <c r="A181">
        <v>2</v>
      </c>
      <c r="B181" t="s">
        <v>50</v>
      </c>
      <c r="C181">
        <v>81</v>
      </c>
      <c r="D181">
        <f>COUNTIF(WeeklyPicks!$D$12:$F$21,C181)</f>
        <v>0</v>
      </c>
    </row>
    <row r="182" spans="1:4" x14ac:dyDescent="0.3">
      <c r="A182">
        <v>2</v>
      </c>
      <c r="B182" t="s">
        <v>50</v>
      </c>
      <c r="C182">
        <v>82</v>
      </c>
      <c r="D182">
        <f>COUNTIF(WeeklyPicks!$D$12:$F$21,C182)</f>
        <v>0</v>
      </c>
    </row>
    <row r="183" spans="1:4" x14ac:dyDescent="0.3">
      <c r="A183">
        <v>2</v>
      </c>
      <c r="B183" t="s">
        <v>50</v>
      </c>
      <c r="C183">
        <v>83</v>
      </c>
      <c r="D183">
        <f>COUNTIF(WeeklyPicks!$D$12:$F$21,C183)</f>
        <v>0</v>
      </c>
    </row>
    <row r="184" spans="1:4" x14ac:dyDescent="0.3">
      <c r="A184">
        <v>2</v>
      </c>
      <c r="B184" t="s">
        <v>50</v>
      </c>
      <c r="C184">
        <v>84</v>
      </c>
      <c r="D184">
        <f>COUNTIF(WeeklyPicks!$D$12:$F$21,C184)</f>
        <v>0</v>
      </c>
    </row>
    <row r="185" spans="1:4" x14ac:dyDescent="0.3">
      <c r="A185">
        <v>2</v>
      </c>
      <c r="B185" t="s">
        <v>50</v>
      </c>
      <c r="C185">
        <v>85</v>
      </c>
      <c r="D185">
        <f>COUNTIF(WeeklyPicks!$D$12:$F$21,C185)</f>
        <v>0</v>
      </c>
    </row>
    <row r="186" spans="1:4" x14ac:dyDescent="0.3">
      <c r="A186">
        <v>2</v>
      </c>
      <c r="B186" t="s">
        <v>50</v>
      </c>
      <c r="C186">
        <v>86</v>
      </c>
      <c r="D186">
        <f>COUNTIF(WeeklyPicks!$D$12:$F$21,C186)</f>
        <v>0</v>
      </c>
    </row>
    <row r="187" spans="1:4" x14ac:dyDescent="0.3">
      <c r="A187">
        <v>2</v>
      </c>
      <c r="B187" t="s">
        <v>50</v>
      </c>
      <c r="C187">
        <v>87</v>
      </c>
      <c r="D187">
        <f>COUNTIF(WeeklyPicks!$D$12:$F$21,C187)</f>
        <v>0</v>
      </c>
    </row>
    <row r="188" spans="1:4" x14ac:dyDescent="0.3">
      <c r="A188">
        <v>2</v>
      </c>
      <c r="B188" t="s">
        <v>50</v>
      </c>
      <c r="C188">
        <v>88</v>
      </c>
      <c r="D188">
        <f>COUNTIF(WeeklyPicks!$D$12:$F$21,C188)</f>
        <v>0</v>
      </c>
    </row>
    <row r="189" spans="1:4" x14ac:dyDescent="0.3">
      <c r="A189">
        <v>2</v>
      </c>
      <c r="B189" t="s">
        <v>50</v>
      </c>
      <c r="C189">
        <v>89</v>
      </c>
      <c r="D189">
        <f>COUNTIF(WeeklyPicks!$D$12:$F$21,C189)</f>
        <v>0</v>
      </c>
    </row>
    <row r="190" spans="1:4" x14ac:dyDescent="0.3">
      <c r="A190">
        <v>2</v>
      </c>
      <c r="B190" t="s">
        <v>50</v>
      </c>
      <c r="C190">
        <v>90</v>
      </c>
      <c r="D190">
        <f>COUNTIF(WeeklyPicks!$D$12:$F$21,C190)</f>
        <v>0</v>
      </c>
    </row>
    <row r="191" spans="1:4" x14ac:dyDescent="0.3">
      <c r="A191">
        <v>2</v>
      </c>
      <c r="B191" t="s">
        <v>50</v>
      </c>
      <c r="C191">
        <v>91</v>
      </c>
      <c r="D191">
        <f>COUNTIF(WeeklyPicks!$D$12:$F$21,C191)</f>
        <v>0</v>
      </c>
    </row>
    <row r="192" spans="1:4" x14ac:dyDescent="0.3">
      <c r="A192">
        <v>2</v>
      </c>
      <c r="B192" t="s">
        <v>50</v>
      </c>
      <c r="C192">
        <v>92</v>
      </c>
      <c r="D192">
        <f>COUNTIF(WeeklyPicks!$D$12:$F$21,C192)</f>
        <v>0</v>
      </c>
    </row>
    <row r="193" spans="1:4" x14ac:dyDescent="0.3">
      <c r="A193">
        <v>2</v>
      </c>
      <c r="B193" t="s">
        <v>50</v>
      </c>
      <c r="C193">
        <v>93</v>
      </c>
      <c r="D193">
        <f>COUNTIF(WeeklyPicks!$D$12:$F$21,C193)</f>
        <v>0</v>
      </c>
    </row>
    <row r="194" spans="1:4" x14ac:dyDescent="0.3">
      <c r="A194">
        <v>2</v>
      </c>
      <c r="B194" t="s">
        <v>50</v>
      </c>
      <c r="C194">
        <v>94</v>
      </c>
      <c r="D194">
        <f>COUNTIF(WeeklyPicks!$D$12:$F$21,C194)</f>
        <v>0</v>
      </c>
    </row>
    <row r="195" spans="1:4" x14ac:dyDescent="0.3">
      <c r="A195">
        <v>2</v>
      </c>
      <c r="B195" t="s">
        <v>50</v>
      </c>
      <c r="C195">
        <v>95</v>
      </c>
      <c r="D195">
        <f>COUNTIF(WeeklyPicks!$D$12:$F$21,C195)</f>
        <v>0</v>
      </c>
    </row>
    <row r="196" spans="1:4" x14ac:dyDescent="0.3">
      <c r="A196">
        <v>2</v>
      </c>
      <c r="B196" t="s">
        <v>50</v>
      </c>
      <c r="C196">
        <v>96</v>
      </c>
      <c r="D196">
        <f>COUNTIF(WeeklyPicks!$D$12:$F$21,C196)</f>
        <v>0</v>
      </c>
    </row>
    <row r="197" spans="1:4" x14ac:dyDescent="0.3">
      <c r="A197">
        <v>2</v>
      </c>
      <c r="B197" t="s">
        <v>50</v>
      </c>
      <c r="C197">
        <v>97</v>
      </c>
      <c r="D197">
        <f>COUNTIF(WeeklyPicks!$D$12:$F$21,C197)</f>
        <v>0</v>
      </c>
    </row>
    <row r="198" spans="1:4" x14ac:dyDescent="0.3">
      <c r="A198">
        <v>2</v>
      </c>
      <c r="B198" t="s">
        <v>50</v>
      </c>
      <c r="C198">
        <v>98</v>
      </c>
      <c r="D198">
        <f>COUNTIF(WeeklyPicks!$D$12:$F$21,C198)</f>
        <v>0</v>
      </c>
    </row>
    <row r="199" spans="1:4" x14ac:dyDescent="0.3">
      <c r="A199">
        <v>2</v>
      </c>
      <c r="B199" t="s">
        <v>50</v>
      </c>
      <c r="C199">
        <v>99</v>
      </c>
      <c r="D199">
        <f>COUNTIF(WeeklyPicks!$D$12:$F$21,C199)</f>
        <v>0</v>
      </c>
    </row>
    <row r="200" spans="1:4" x14ac:dyDescent="0.3">
      <c r="A200">
        <v>3</v>
      </c>
      <c r="B200" t="s">
        <v>52</v>
      </c>
      <c r="C200">
        <v>1</v>
      </c>
      <c r="D200">
        <f>COUNTIF(WeeklyPicks!$D$22:$F$31,C200)</f>
        <v>0</v>
      </c>
    </row>
    <row r="201" spans="1:4" x14ac:dyDescent="0.3">
      <c r="A201">
        <v>3</v>
      </c>
      <c r="B201" t="s">
        <v>52</v>
      </c>
      <c r="C201">
        <v>2</v>
      </c>
      <c r="D201">
        <f>COUNTIF(WeeklyPicks!$D$22:$F$31,C201)</f>
        <v>0</v>
      </c>
    </row>
    <row r="202" spans="1:4" x14ac:dyDescent="0.3">
      <c r="A202">
        <v>3</v>
      </c>
      <c r="B202" t="s">
        <v>52</v>
      </c>
      <c r="C202">
        <v>3</v>
      </c>
      <c r="D202">
        <f>COUNTIF(WeeklyPicks!$D$22:$F$31,C202)</f>
        <v>0</v>
      </c>
    </row>
    <row r="203" spans="1:4" x14ac:dyDescent="0.3">
      <c r="A203">
        <v>3</v>
      </c>
      <c r="B203" t="s">
        <v>52</v>
      </c>
      <c r="C203">
        <v>4</v>
      </c>
      <c r="D203">
        <f>COUNTIF(WeeklyPicks!$D$22:$F$31,C203)</f>
        <v>0</v>
      </c>
    </row>
    <row r="204" spans="1:4" x14ac:dyDescent="0.3">
      <c r="A204">
        <v>3</v>
      </c>
      <c r="B204" t="s">
        <v>52</v>
      </c>
      <c r="C204">
        <v>5</v>
      </c>
      <c r="D204">
        <f>COUNTIF(WeeklyPicks!$D$22:$F$31,C204)</f>
        <v>0</v>
      </c>
    </row>
    <row r="205" spans="1:4" x14ac:dyDescent="0.3">
      <c r="A205">
        <v>3</v>
      </c>
      <c r="B205" t="s">
        <v>52</v>
      </c>
      <c r="C205">
        <v>6</v>
      </c>
      <c r="D205">
        <f>COUNTIF(WeeklyPicks!$D$22:$F$31,C205)</f>
        <v>0</v>
      </c>
    </row>
    <row r="206" spans="1:4" x14ac:dyDescent="0.3">
      <c r="A206">
        <v>3</v>
      </c>
      <c r="B206" t="s">
        <v>52</v>
      </c>
      <c r="C206">
        <v>7</v>
      </c>
      <c r="D206">
        <f>COUNTIF(WeeklyPicks!$D$22:$F$31,C206)</f>
        <v>0</v>
      </c>
    </row>
    <row r="207" spans="1:4" x14ac:dyDescent="0.3">
      <c r="A207">
        <v>3</v>
      </c>
      <c r="B207" t="s">
        <v>52</v>
      </c>
      <c r="C207">
        <v>8</v>
      </c>
      <c r="D207">
        <f>COUNTIF(WeeklyPicks!$D$22:$F$31,C207)</f>
        <v>0</v>
      </c>
    </row>
    <row r="208" spans="1:4" x14ac:dyDescent="0.3">
      <c r="A208">
        <v>3</v>
      </c>
      <c r="B208" t="s">
        <v>52</v>
      </c>
      <c r="C208">
        <v>9</v>
      </c>
      <c r="D208">
        <f>COUNTIF(WeeklyPicks!$D$22:$F$31,C208)</f>
        <v>1</v>
      </c>
    </row>
    <row r="209" spans="1:4" x14ac:dyDescent="0.3">
      <c r="A209">
        <v>3</v>
      </c>
      <c r="B209" t="s">
        <v>52</v>
      </c>
      <c r="C209">
        <v>10</v>
      </c>
      <c r="D209">
        <f>COUNTIF(WeeklyPicks!$D$22:$F$31,C209)</f>
        <v>0</v>
      </c>
    </row>
    <row r="210" spans="1:4" x14ac:dyDescent="0.3">
      <c r="A210">
        <v>3</v>
      </c>
      <c r="B210" t="s">
        <v>52</v>
      </c>
      <c r="C210">
        <v>11</v>
      </c>
      <c r="D210">
        <f>COUNTIF(WeeklyPicks!$D$22:$F$31,C210)</f>
        <v>2</v>
      </c>
    </row>
    <row r="211" spans="1:4" x14ac:dyDescent="0.3">
      <c r="A211">
        <v>3</v>
      </c>
      <c r="B211" t="s">
        <v>52</v>
      </c>
      <c r="C211">
        <v>12</v>
      </c>
      <c r="D211">
        <f>COUNTIF(WeeklyPicks!$D$22:$F$31,C211)</f>
        <v>1</v>
      </c>
    </row>
    <row r="212" spans="1:4" x14ac:dyDescent="0.3">
      <c r="A212">
        <v>3</v>
      </c>
      <c r="B212" t="s">
        <v>52</v>
      </c>
      <c r="C212">
        <v>13</v>
      </c>
      <c r="D212">
        <f>COUNTIF(WeeklyPicks!$D$22:$F$31,C212)</f>
        <v>0</v>
      </c>
    </row>
    <row r="213" spans="1:4" x14ac:dyDescent="0.3">
      <c r="A213">
        <v>3</v>
      </c>
      <c r="B213" t="s">
        <v>52</v>
      </c>
      <c r="C213">
        <v>14</v>
      </c>
      <c r="D213">
        <f>COUNTIF(WeeklyPicks!$D$22:$F$31,C213)</f>
        <v>0</v>
      </c>
    </row>
    <row r="214" spans="1:4" x14ac:dyDescent="0.3">
      <c r="A214">
        <v>3</v>
      </c>
      <c r="B214" t="s">
        <v>52</v>
      </c>
      <c r="C214">
        <v>15</v>
      </c>
      <c r="D214">
        <f>COUNTIF(WeeklyPicks!$D$22:$F$31,C214)</f>
        <v>0</v>
      </c>
    </row>
    <row r="215" spans="1:4" x14ac:dyDescent="0.3">
      <c r="A215">
        <v>3</v>
      </c>
      <c r="B215" t="s">
        <v>52</v>
      </c>
      <c r="C215">
        <v>16</v>
      </c>
      <c r="D215">
        <f>COUNTIF(WeeklyPicks!$D$22:$F$31,C215)</f>
        <v>0</v>
      </c>
    </row>
    <row r="216" spans="1:4" x14ac:dyDescent="0.3">
      <c r="A216">
        <v>3</v>
      </c>
      <c r="B216" t="s">
        <v>52</v>
      </c>
      <c r="C216">
        <v>17</v>
      </c>
      <c r="D216">
        <f>COUNTIF(WeeklyPicks!$D$22:$F$31,C216)</f>
        <v>0</v>
      </c>
    </row>
    <row r="217" spans="1:4" x14ac:dyDescent="0.3">
      <c r="A217">
        <v>3</v>
      </c>
      <c r="B217" t="s">
        <v>52</v>
      </c>
      <c r="C217">
        <v>18</v>
      </c>
      <c r="D217">
        <f>COUNTIF(WeeklyPicks!$D$22:$F$31,C217)</f>
        <v>0</v>
      </c>
    </row>
    <row r="218" spans="1:4" x14ac:dyDescent="0.3">
      <c r="A218">
        <v>3</v>
      </c>
      <c r="B218" t="s">
        <v>52</v>
      </c>
      <c r="C218">
        <v>19</v>
      </c>
      <c r="D218">
        <f>COUNTIF(WeeklyPicks!$D$22:$F$31,C218)</f>
        <v>2</v>
      </c>
    </row>
    <row r="219" spans="1:4" x14ac:dyDescent="0.3">
      <c r="A219">
        <v>3</v>
      </c>
      <c r="B219" t="s">
        <v>52</v>
      </c>
      <c r="C219">
        <v>20</v>
      </c>
      <c r="D219">
        <f>COUNTIF(WeeklyPicks!$D$22:$F$31,C219)</f>
        <v>2</v>
      </c>
    </row>
    <row r="220" spans="1:4" x14ac:dyDescent="0.3">
      <c r="A220">
        <v>3</v>
      </c>
      <c r="B220" t="s">
        <v>52</v>
      </c>
      <c r="C220">
        <v>21</v>
      </c>
      <c r="D220">
        <f>COUNTIF(WeeklyPicks!$D$22:$F$31,C220)</f>
        <v>0</v>
      </c>
    </row>
    <row r="221" spans="1:4" x14ac:dyDescent="0.3">
      <c r="A221">
        <v>3</v>
      </c>
      <c r="B221" t="s">
        <v>52</v>
      </c>
      <c r="C221">
        <v>22</v>
      </c>
      <c r="D221">
        <f>COUNTIF(WeeklyPicks!$D$22:$F$31,C221)</f>
        <v>0</v>
      </c>
    </row>
    <row r="222" spans="1:4" x14ac:dyDescent="0.3">
      <c r="A222">
        <v>3</v>
      </c>
      <c r="B222" t="s">
        <v>52</v>
      </c>
      <c r="C222">
        <v>23</v>
      </c>
      <c r="D222">
        <f>COUNTIF(WeeklyPicks!$D$22:$F$31,C222)</f>
        <v>0</v>
      </c>
    </row>
    <row r="223" spans="1:4" x14ac:dyDescent="0.3">
      <c r="A223">
        <v>3</v>
      </c>
      <c r="B223" t="s">
        <v>52</v>
      </c>
      <c r="C223">
        <v>24</v>
      </c>
      <c r="D223">
        <f>COUNTIF(WeeklyPicks!$D$22:$F$31,C223)</f>
        <v>1</v>
      </c>
    </row>
    <row r="224" spans="1:4" x14ac:dyDescent="0.3">
      <c r="A224">
        <v>3</v>
      </c>
      <c r="B224" t="s">
        <v>52</v>
      </c>
      <c r="C224">
        <v>25</v>
      </c>
      <c r="D224">
        <f>COUNTIF(WeeklyPicks!$D$22:$F$31,C224)</f>
        <v>0</v>
      </c>
    </row>
    <row r="225" spans="1:4" x14ac:dyDescent="0.3">
      <c r="A225">
        <v>3</v>
      </c>
      <c r="B225" t="s">
        <v>52</v>
      </c>
      <c r="C225">
        <v>26</v>
      </c>
      <c r="D225">
        <f>COUNTIF(WeeklyPicks!$D$22:$F$31,C225)</f>
        <v>0</v>
      </c>
    </row>
    <row r="226" spans="1:4" x14ac:dyDescent="0.3">
      <c r="A226">
        <v>3</v>
      </c>
      <c r="B226" t="s">
        <v>52</v>
      </c>
      <c r="C226">
        <v>27</v>
      </c>
      <c r="D226">
        <f>COUNTIF(WeeklyPicks!$D$22:$F$31,C226)</f>
        <v>0</v>
      </c>
    </row>
    <row r="227" spans="1:4" x14ac:dyDescent="0.3">
      <c r="A227">
        <v>3</v>
      </c>
      <c r="B227" t="s">
        <v>52</v>
      </c>
      <c r="C227">
        <v>28</v>
      </c>
      <c r="D227">
        <f>COUNTIF(WeeklyPicks!$D$22:$F$31,C227)</f>
        <v>0</v>
      </c>
    </row>
    <row r="228" spans="1:4" x14ac:dyDescent="0.3">
      <c r="A228">
        <v>3</v>
      </c>
      <c r="B228" t="s">
        <v>52</v>
      </c>
      <c r="C228">
        <v>29</v>
      </c>
      <c r="D228">
        <f>COUNTIF(WeeklyPicks!$D$22:$F$31,C228)</f>
        <v>0</v>
      </c>
    </row>
    <row r="229" spans="1:4" x14ac:dyDescent="0.3">
      <c r="A229">
        <v>3</v>
      </c>
      <c r="B229" t="s">
        <v>52</v>
      </c>
      <c r="C229">
        <v>30</v>
      </c>
      <c r="D229">
        <f>COUNTIF(WeeklyPicks!$D$22:$F$31,C229)</f>
        <v>0</v>
      </c>
    </row>
    <row r="230" spans="1:4" x14ac:dyDescent="0.3">
      <c r="A230">
        <v>3</v>
      </c>
      <c r="B230" t="s">
        <v>52</v>
      </c>
      <c r="C230">
        <v>31</v>
      </c>
      <c r="D230">
        <f>COUNTIF(WeeklyPicks!$D$22:$F$31,C230)</f>
        <v>0</v>
      </c>
    </row>
    <row r="231" spans="1:4" x14ac:dyDescent="0.3">
      <c r="A231">
        <v>3</v>
      </c>
      <c r="B231" t="s">
        <v>52</v>
      </c>
      <c r="C231">
        <v>32</v>
      </c>
      <c r="D231">
        <f>COUNTIF(WeeklyPicks!$D$22:$F$31,C231)</f>
        <v>0</v>
      </c>
    </row>
    <row r="232" spans="1:4" x14ac:dyDescent="0.3">
      <c r="A232">
        <v>3</v>
      </c>
      <c r="B232" t="s">
        <v>52</v>
      </c>
      <c r="C232">
        <v>33</v>
      </c>
      <c r="D232">
        <f>COUNTIF(WeeklyPicks!$D$22:$F$31,C232)</f>
        <v>0</v>
      </c>
    </row>
    <row r="233" spans="1:4" x14ac:dyDescent="0.3">
      <c r="A233">
        <v>3</v>
      </c>
      <c r="B233" t="s">
        <v>52</v>
      </c>
      <c r="C233">
        <v>34</v>
      </c>
      <c r="D233">
        <f>COUNTIF(WeeklyPicks!$D$22:$F$31,C233)</f>
        <v>0</v>
      </c>
    </row>
    <row r="234" spans="1:4" x14ac:dyDescent="0.3">
      <c r="A234">
        <v>3</v>
      </c>
      <c r="B234" t="s">
        <v>52</v>
      </c>
      <c r="C234">
        <v>35</v>
      </c>
      <c r="D234">
        <f>COUNTIF(WeeklyPicks!$D$22:$F$31,C234)</f>
        <v>0</v>
      </c>
    </row>
    <row r="235" spans="1:4" x14ac:dyDescent="0.3">
      <c r="A235">
        <v>3</v>
      </c>
      <c r="B235" t="s">
        <v>52</v>
      </c>
      <c r="C235">
        <v>36</v>
      </c>
      <c r="D235">
        <f>COUNTIF(WeeklyPicks!$D$22:$F$31,C235)</f>
        <v>0</v>
      </c>
    </row>
    <row r="236" spans="1:4" x14ac:dyDescent="0.3">
      <c r="A236">
        <v>3</v>
      </c>
      <c r="B236" t="s">
        <v>52</v>
      </c>
      <c r="C236">
        <v>37</v>
      </c>
      <c r="D236">
        <f>COUNTIF(WeeklyPicks!$D$22:$F$31,C236)</f>
        <v>0</v>
      </c>
    </row>
    <row r="237" spans="1:4" x14ac:dyDescent="0.3">
      <c r="A237">
        <v>3</v>
      </c>
      <c r="B237" t="s">
        <v>52</v>
      </c>
      <c r="C237">
        <v>38</v>
      </c>
      <c r="D237">
        <f>COUNTIF(WeeklyPicks!$D$22:$F$31,C237)</f>
        <v>0</v>
      </c>
    </row>
    <row r="238" spans="1:4" x14ac:dyDescent="0.3">
      <c r="A238">
        <v>3</v>
      </c>
      <c r="B238" t="s">
        <v>52</v>
      </c>
      <c r="C238">
        <v>39</v>
      </c>
      <c r="D238">
        <f>COUNTIF(WeeklyPicks!$D$22:$F$31,C238)</f>
        <v>0</v>
      </c>
    </row>
    <row r="239" spans="1:4" x14ac:dyDescent="0.3">
      <c r="A239">
        <v>3</v>
      </c>
      <c r="B239" t="s">
        <v>52</v>
      </c>
      <c r="C239">
        <v>40</v>
      </c>
      <c r="D239">
        <f>COUNTIF(WeeklyPicks!$D$22:$F$31,C239)</f>
        <v>0</v>
      </c>
    </row>
    <row r="240" spans="1:4" x14ac:dyDescent="0.3">
      <c r="A240">
        <v>3</v>
      </c>
      <c r="B240" t="s">
        <v>52</v>
      </c>
      <c r="C240">
        <v>41</v>
      </c>
      <c r="D240">
        <f>COUNTIF(WeeklyPicks!$D$22:$F$31,C240)</f>
        <v>0</v>
      </c>
    </row>
    <row r="241" spans="1:4" x14ac:dyDescent="0.3">
      <c r="A241">
        <v>3</v>
      </c>
      <c r="B241" t="s">
        <v>52</v>
      </c>
      <c r="C241">
        <v>42</v>
      </c>
      <c r="D241">
        <f>COUNTIF(WeeklyPicks!$D$22:$F$31,C241)</f>
        <v>0</v>
      </c>
    </row>
    <row r="242" spans="1:4" x14ac:dyDescent="0.3">
      <c r="A242">
        <v>3</v>
      </c>
      <c r="B242" t="s">
        <v>52</v>
      </c>
      <c r="C242">
        <v>43</v>
      </c>
      <c r="D242">
        <f>COUNTIF(WeeklyPicks!$D$22:$F$31,C242)</f>
        <v>0</v>
      </c>
    </row>
    <row r="243" spans="1:4" x14ac:dyDescent="0.3">
      <c r="A243">
        <v>3</v>
      </c>
      <c r="B243" t="s">
        <v>52</v>
      </c>
      <c r="C243">
        <v>44</v>
      </c>
      <c r="D243">
        <f>COUNTIF(WeeklyPicks!$D$22:$F$31,C243)</f>
        <v>0</v>
      </c>
    </row>
    <row r="244" spans="1:4" x14ac:dyDescent="0.3">
      <c r="A244">
        <v>3</v>
      </c>
      <c r="B244" t="s">
        <v>52</v>
      </c>
      <c r="C244">
        <v>45</v>
      </c>
      <c r="D244">
        <f>COUNTIF(WeeklyPicks!$D$22:$F$31,C244)</f>
        <v>1</v>
      </c>
    </row>
    <row r="245" spans="1:4" x14ac:dyDescent="0.3">
      <c r="A245">
        <v>3</v>
      </c>
      <c r="B245" t="s">
        <v>52</v>
      </c>
      <c r="C245">
        <v>46</v>
      </c>
      <c r="D245">
        <f>COUNTIF(WeeklyPicks!$D$22:$F$31,C245)</f>
        <v>0</v>
      </c>
    </row>
    <row r="246" spans="1:4" x14ac:dyDescent="0.3">
      <c r="A246">
        <v>3</v>
      </c>
      <c r="B246" t="s">
        <v>52</v>
      </c>
      <c r="C246">
        <v>47</v>
      </c>
      <c r="D246">
        <f>COUNTIF(WeeklyPicks!$D$22:$F$31,C246)</f>
        <v>0</v>
      </c>
    </row>
    <row r="247" spans="1:4" x14ac:dyDescent="0.3">
      <c r="A247">
        <v>3</v>
      </c>
      <c r="B247" t="s">
        <v>52</v>
      </c>
      <c r="C247">
        <v>48</v>
      </c>
      <c r="D247">
        <f>COUNTIF(WeeklyPicks!$D$22:$F$31,C247)</f>
        <v>0</v>
      </c>
    </row>
    <row r="248" spans="1:4" x14ac:dyDescent="0.3">
      <c r="A248">
        <v>3</v>
      </c>
      <c r="B248" t="s">
        <v>52</v>
      </c>
      <c r="C248">
        <v>49</v>
      </c>
      <c r="D248">
        <f>COUNTIF(WeeklyPicks!$D$22:$F$31,C248)</f>
        <v>0</v>
      </c>
    </row>
    <row r="249" spans="1:4" x14ac:dyDescent="0.3">
      <c r="A249">
        <v>3</v>
      </c>
      <c r="B249" t="s">
        <v>52</v>
      </c>
      <c r="C249">
        <v>50</v>
      </c>
      <c r="D249">
        <f>COUNTIF(WeeklyPicks!$D$22:$F$31,C249)</f>
        <v>0</v>
      </c>
    </row>
    <row r="250" spans="1:4" x14ac:dyDescent="0.3">
      <c r="A250">
        <v>3</v>
      </c>
      <c r="B250" t="s">
        <v>52</v>
      </c>
      <c r="C250">
        <v>51</v>
      </c>
      <c r="D250">
        <f>COUNTIF(WeeklyPicks!$D$22:$F$31,C250)</f>
        <v>0</v>
      </c>
    </row>
    <row r="251" spans="1:4" x14ac:dyDescent="0.3">
      <c r="A251">
        <v>3</v>
      </c>
      <c r="B251" t="s">
        <v>52</v>
      </c>
      <c r="C251">
        <v>52</v>
      </c>
      <c r="D251">
        <f>COUNTIF(WeeklyPicks!$D$22:$F$31,C251)</f>
        <v>0</v>
      </c>
    </row>
    <row r="252" spans="1:4" x14ac:dyDescent="0.3">
      <c r="A252">
        <v>3</v>
      </c>
      <c r="B252" t="s">
        <v>52</v>
      </c>
      <c r="C252">
        <v>53</v>
      </c>
      <c r="D252">
        <f>COUNTIF(WeeklyPicks!$D$22:$F$31,C252)</f>
        <v>0</v>
      </c>
    </row>
    <row r="253" spans="1:4" x14ac:dyDescent="0.3">
      <c r="A253">
        <v>3</v>
      </c>
      <c r="B253" t="s">
        <v>52</v>
      </c>
      <c r="C253">
        <v>54</v>
      </c>
      <c r="D253">
        <f>COUNTIF(WeeklyPicks!$D$22:$F$31,C253)</f>
        <v>0</v>
      </c>
    </row>
    <row r="254" spans="1:4" x14ac:dyDescent="0.3">
      <c r="A254">
        <v>3</v>
      </c>
      <c r="B254" t="s">
        <v>52</v>
      </c>
      <c r="C254">
        <v>55</v>
      </c>
      <c r="D254">
        <f>COUNTIF(WeeklyPicks!$D$22:$F$31,C254)</f>
        <v>0</v>
      </c>
    </row>
    <row r="255" spans="1:4" x14ac:dyDescent="0.3">
      <c r="A255">
        <v>3</v>
      </c>
      <c r="B255" t="s">
        <v>52</v>
      </c>
      <c r="C255">
        <v>56</v>
      </c>
      <c r="D255">
        <f>COUNTIF(WeeklyPicks!$D$22:$F$31,C255)</f>
        <v>0</v>
      </c>
    </row>
    <row r="256" spans="1:4" x14ac:dyDescent="0.3">
      <c r="A256">
        <v>3</v>
      </c>
      <c r="B256" t="s">
        <v>52</v>
      </c>
      <c r="C256">
        <v>57</v>
      </c>
      <c r="D256">
        <f>COUNTIF(WeeklyPicks!$D$22:$F$31,C256)</f>
        <v>0</v>
      </c>
    </row>
    <row r="257" spans="1:4" x14ac:dyDescent="0.3">
      <c r="A257">
        <v>3</v>
      </c>
      <c r="B257" t="s">
        <v>52</v>
      </c>
      <c r="C257">
        <v>58</v>
      </c>
      <c r="D257">
        <f>COUNTIF(WeeklyPicks!$D$22:$F$31,C257)</f>
        <v>0</v>
      </c>
    </row>
    <row r="258" spans="1:4" x14ac:dyDescent="0.3">
      <c r="A258">
        <v>3</v>
      </c>
      <c r="B258" t="s">
        <v>52</v>
      </c>
      <c r="C258">
        <v>59</v>
      </c>
      <c r="D258">
        <f>COUNTIF(WeeklyPicks!$D$22:$F$31,C258)</f>
        <v>0</v>
      </c>
    </row>
    <row r="259" spans="1:4" x14ac:dyDescent="0.3">
      <c r="A259">
        <v>3</v>
      </c>
      <c r="B259" t="s">
        <v>52</v>
      </c>
      <c r="C259">
        <v>60</v>
      </c>
      <c r="D259">
        <f>COUNTIF(WeeklyPicks!$D$22:$F$31,C259)</f>
        <v>0</v>
      </c>
    </row>
    <row r="260" spans="1:4" x14ac:dyDescent="0.3">
      <c r="A260">
        <v>3</v>
      </c>
      <c r="B260" t="s">
        <v>52</v>
      </c>
      <c r="C260">
        <v>61</v>
      </c>
      <c r="D260">
        <f>COUNTIF(WeeklyPicks!$D$22:$F$31,C260)</f>
        <v>0</v>
      </c>
    </row>
    <row r="261" spans="1:4" x14ac:dyDescent="0.3">
      <c r="A261">
        <v>3</v>
      </c>
      <c r="B261" t="s">
        <v>52</v>
      </c>
      <c r="C261">
        <v>62</v>
      </c>
      <c r="D261">
        <f>COUNTIF(WeeklyPicks!$D$22:$F$31,C261)</f>
        <v>0</v>
      </c>
    </row>
    <row r="262" spans="1:4" x14ac:dyDescent="0.3">
      <c r="A262">
        <v>3</v>
      </c>
      <c r="B262" t="s">
        <v>52</v>
      </c>
      <c r="C262">
        <v>63</v>
      </c>
      <c r="D262">
        <f>COUNTIF(WeeklyPicks!$D$22:$F$31,C262)</f>
        <v>0</v>
      </c>
    </row>
    <row r="263" spans="1:4" x14ac:dyDescent="0.3">
      <c r="A263">
        <v>3</v>
      </c>
      <c r="B263" t="s">
        <v>52</v>
      </c>
      <c r="C263">
        <v>64</v>
      </c>
      <c r="D263">
        <f>COUNTIF(WeeklyPicks!$D$22:$F$31,C263)</f>
        <v>0</v>
      </c>
    </row>
    <row r="264" spans="1:4" x14ac:dyDescent="0.3">
      <c r="A264">
        <v>3</v>
      </c>
      <c r="B264" t="s">
        <v>52</v>
      </c>
      <c r="C264">
        <v>65</v>
      </c>
      <c r="D264">
        <f>COUNTIF(WeeklyPicks!$D$22:$F$31,C264)</f>
        <v>0</v>
      </c>
    </row>
    <row r="265" spans="1:4" x14ac:dyDescent="0.3">
      <c r="A265">
        <v>3</v>
      </c>
      <c r="B265" t="s">
        <v>52</v>
      </c>
      <c r="C265">
        <v>66</v>
      </c>
      <c r="D265">
        <f>COUNTIF(WeeklyPicks!$D$22:$F$31,C265)</f>
        <v>0</v>
      </c>
    </row>
    <row r="266" spans="1:4" x14ac:dyDescent="0.3">
      <c r="A266">
        <v>3</v>
      </c>
      <c r="B266" t="s">
        <v>52</v>
      </c>
      <c r="C266">
        <v>67</v>
      </c>
      <c r="D266">
        <f>COUNTIF(WeeklyPicks!$D$22:$F$31,C266)</f>
        <v>0</v>
      </c>
    </row>
    <row r="267" spans="1:4" x14ac:dyDescent="0.3">
      <c r="A267">
        <v>3</v>
      </c>
      <c r="B267" t="s">
        <v>52</v>
      </c>
      <c r="C267">
        <v>68</v>
      </c>
      <c r="D267">
        <f>COUNTIF(WeeklyPicks!$D$22:$F$31,C267)</f>
        <v>0</v>
      </c>
    </row>
    <row r="268" spans="1:4" x14ac:dyDescent="0.3">
      <c r="A268">
        <v>3</v>
      </c>
      <c r="B268" t="s">
        <v>52</v>
      </c>
      <c r="C268">
        <v>69</v>
      </c>
      <c r="D268">
        <f>COUNTIF(WeeklyPicks!$D$22:$F$31,C268)</f>
        <v>0</v>
      </c>
    </row>
    <row r="269" spans="1:4" x14ac:dyDescent="0.3">
      <c r="A269">
        <v>3</v>
      </c>
      <c r="B269" t="s">
        <v>52</v>
      </c>
      <c r="C269">
        <v>70</v>
      </c>
      <c r="D269">
        <f>COUNTIF(WeeklyPicks!$D$22:$F$31,C269)</f>
        <v>0</v>
      </c>
    </row>
    <row r="270" spans="1:4" x14ac:dyDescent="0.3">
      <c r="A270">
        <v>3</v>
      </c>
      <c r="B270" t="s">
        <v>52</v>
      </c>
      <c r="C270">
        <v>71</v>
      </c>
      <c r="D270">
        <f>COUNTIF(WeeklyPicks!$D$22:$F$31,C270)</f>
        <v>0</v>
      </c>
    </row>
    <row r="271" spans="1:4" x14ac:dyDescent="0.3">
      <c r="A271">
        <v>3</v>
      </c>
      <c r="B271" t="s">
        <v>52</v>
      </c>
      <c r="C271">
        <v>72</v>
      </c>
      <c r="D271">
        <f>COUNTIF(WeeklyPicks!$D$22:$F$31,C271)</f>
        <v>0</v>
      </c>
    </row>
    <row r="272" spans="1:4" x14ac:dyDescent="0.3">
      <c r="A272">
        <v>3</v>
      </c>
      <c r="B272" t="s">
        <v>52</v>
      </c>
      <c r="C272">
        <v>73</v>
      </c>
      <c r="D272">
        <f>COUNTIF(WeeklyPicks!$D$22:$F$31,C272)</f>
        <v>0</v>
      </c>
    </row>
    <row r="273" spans="1:4" x14ac:dyDescent="0.3">
      <c r="A273">
        <v>3</v>
      </c>
      <c r="B273" t="s">
        <v>52</v>
      </c>
      <c r="C273">
        <v>74</v>
      </c>
      <c r="D273">
        <f>COUNTIF(WeeklyPicks!$D$22:$F$31,C273)</f>
        <v>0</v>
      </c>
    </row>
    <row r="274" spans="1:4" x14ac:dyDescent="0.3">
      <c r="A274">
        <v>3</v>
      </c>
      <c r="B274" t="s">
        <v>52</v>
      </c>
      <c r="C274">
        <v>75</v>
      </c>
      <c r="D274">
        <f>COUNTIF(WeeklyPicks!$D$22:$F$31,C274)</f>
        <v>0</v>
      </c>
    </row>
    <row r="275" spans="1:4" x14ac:dyDescent="0.3">
      <c r="A275">
        <v>3</v>
      </c>
      <c r="B275" t="s">
        <v>52</v>
      </c>
      <c r="C275">
        <v>76</v>
      </c>
      <c r="D275">
        <f>COUNTIF(WeeklyPicks!$D$22:$F$31,C275)</f>
        <v>0</v>
      </c>
    </row>
    <row r="276" spans="1:4" x14ac:dyDescent="0.3">
      <c r="A276">
        <v>3</v>
      </c>
      <c r="B276" t="s">
        <v>52</v>
      </c>
      <c r="C276">
        <v>77</v>
      </c>
      <c r="D276">
        <f>COUNTIF(WeeklyPicks!$D$22:$F$31,C276)</f>
        <v>0</v>
      </c>
    </row>
    <row r="277" spans="1:4" x14ac:dyDescent="0.3">
      <c r="A277">
        <v>3</v>
      </c>
      <c r="B277" t="s">
        <v>52</v>
      </c>
      <c r="C277">
        <v>78</v>
      </c>
      <c r="D277">
        <f>COUNTIF(WeeklyPicks!$D$22:$F$31,C277)</f>
        <v>0</v>
      </c>
    </row>
    <row r="278" spans="1:4" x14ac:dyDescent="0.3">
      <c r="A278">
        <v>3</v>
      </c>
      <c r="B278" t="s">
        <v>52</v>
      </c>
      <c r="C278">
        <v>79</v>
      </c>
      <c r="D278">
        <f>COUNTIF(WeeklyPicks!$D$22:$F$31,C278)</f>
        <v>0</v>
      </c>
    </row>
    <row r="279" spans="1:4" x14ac:dyDescent="0.3">
      <c r="A279">
        <v>3</v>
      </c>
      <c r="B279" t="s">
        <v>52</v>
      </c>
      <c r="C279">
        <v>80</v>
      </c>
      <c r="D279">
        <f>COUNTIF(WeeklyPicks!$D$22:$F$31,C279)</f>
        <v>0</v>
      </c>
    </row>
    <row r="280" spans="1:4" x14ac:dyDescent="0.3">
      <c r="A280">
        <v>3</v>
      </c>
      <c r="B280" t="s">
        <v>52</v>
      </c>
      <c r="C280">
        <v>81</v>
      </c>
      <c r="D280">
        <f>COUNTIF(WeeklyPicks!$D$22:$F$31,C280)</f>
        <v>0</v>
      </c>
    </row>
    <row r="281" spans="1:4" x14ac:dyDescent="0.3">
      <c r="A281">
        <v>3</v>
      </c>
      <c r="B281" t="s">
        <v>52</v>
      </c>
      <c r="C281">
        <v>82</v>
      </c>
      <c r="D281">
        <f>COUNTIF(WeeklyPicks!$D$22:$F$31,C281)</f>
        <v>0</v>
      </c>
    </row>
    <row r="282" spans="1:4" x14ac:dyDescent="0.3">
      <c r="A282">
        <v>3</v>
      </c>
      <c r="B282" t="s">
        <v>52</v>
      </c>
      <c r="C282">
        <v>83</v>
      </c>
      <c r="D282">
        <f>COUNTIF(WeeklyPicks!$D$22:$F$31,C282)</f>
        <v>0</v>
      </c>
    </row>
    <row r="283" spans="1:4" x14ac:dyDescent="0.3">
      <c r="A283">
        <v>3</v>
      </c>
      <c r="B283" t="s">
        <v>52</v>
      </c>
      <c r="C283">
        <v>84</v>
      </c>
      <c r="D283">
        <f>COUNTIF(WeeklyPicks!$D$22:$F$31,C283)</f>
        <v>0</v>
      </c>
    </row>
    <row r="284" spans="1:4" x14ac:dyDescent="0.3">
      <c r="A284">
        <v>3</v>
      </c>
      <c r="B284" t="s">
        <v>52</v>
      </c>
      <c r="C284">
        <v>85</v>
      </c>
      <c r="D284">
        <f>COUNTIF(WeeklyPicks!$D$22:$F$31,C284)</f>
        <v>0</v>
      </c>
    </row>
    <row r="285" spans="1:4" x14ac:dyDescent="0.3">
      <c r="A285">
        <v>3</v>
      </c>
      <c r="B285" t="s">
        <v>52</v>
      </c>
      <c r="C285">
        <v>86</v>
      </c>
      <c r="D285">
        <f>COUNTIF(WeeklyPicks!$D$22:$F$31,C285)</f>
        <v>0</v>
      </c>
    </row>
    <row r="286" spans="1:4" x14ac:dyDescent="0.3">
      <c r="A286">
        <v>3</v>
      </c>
      <c r="B286" t="s">
        <v>52</v>
      </c>
      <c r="C286">
        <v>87</v>
      </c>
      <c r="D286">
        <f>COUNTIF(WeeklyPicks!$D$22:$F$31,C286)</f>
        <v>0</v>
      </c>
    </row>
    <row r="287" spans="1:4" x14ac:dyDescent="0.3">
      <c r="A287">
        <v>3</v>
      </c>
      <c r="B287" t="s">
        <v>52</v>
      </c>
      <c r="C287">
        <v>88</v>
      </c>
      <c r="D287">
        <f>COUNTIF(WeeklyPicks!$D$22:$F$31,C287)</f>
        <v>0</v>
      </c>
    </row>
    <row r="288" spans="1:4" x14ac:dyDescent="0.3">
      <c r="A288">
        <v>3</v>
      </c>
      <c r="B288" t="s">
        <v>52</v>
      </c>
      <c r="C288">
        <v>89</v>
      </c>
      <c r="D288">
        <f>COUNTIF(WeeklyPicks!$D$22:$F$31,C288)</f>
        <v>0</v>
      </c>
    </row>
    <row r="289" spans="1:4" x14ac:dyDescent="0.3">
      <c r="A289">
        <v>3</v>
      </c>
      <c r="B289" t="s">
        <v>52</v>
      </c>
      <c r="C289">
        <v>90</v>
      </c>
      <c r="D289">
        <f>COUNTIF(WeeklyPicks!$D$22:$F$31,C289)</f>
        <v>0</v>
      </c>
    </row>
    <row r="290" spans="1:4" x14ac:dyDescent="0.3">
      <c r="A290">
        <v>3</v>
      </c>
      <c r="B290" t="s">
        <v>52</v>
      </c>
      <c r="C290">
        <v>91</v>
      </c>
      <c r="D290">
        <f>COUNTIF(WeeklyPicks!$D$22:$F$31,C290)</f>
        <v>0</v>
      </c>
    </row>
    <row r="291" spans="1:4" x14ac:dyDescent="0.3">
      <c r="A291">
        <v>3</v>
      </c>
      <c r="B291" t="s">
        <v>52</v>
      </c>
      <c r="C291">
        <v>92</v>
      </c>
      <c r="D291">
        <f>COUNTIF(WeeklyPicks!$D$22:$F$31,C291)</f>
        <v>0</v>
      </c>
    </row>
    <row r="292" spans="1:4" x14ac:dyDescent="0.3">
      <c r="A292">
        <v>3</v>
      </c>
      <c r="B292" t="s">
        <v>52</v>
      </c>
      <c r="C292">
        <v>93</v>
      </c>
      <c r="D292">
        <f>COUNTIF(WeeklyPicks!$D$22:$F$31,C292)</f>
        <v>0</v>
      </c>
    </row>
    <row r="293" spans="1:4" x14ac:dyDescent="0.3">
      <c r="A293">
        <v>3</v>
      </c>
      <c r="B293" t="s">
        <v>52</v>
      </c>
      <c r="C293">
        <v>94</v>
      </c>
      <c r="D293">
        <f>COUNTIF(WeeklyPicks!$D$22:$F$31,C293)</f>
        <v>0</v>
      </c>
    </row>
    <row r="294" spans="1:4" x14ac:dyDescent="0.3">
      <c r="A294">
        <v>3</v>
      </c>
      <c r="B294" t="s">
        <v>52</v>
      </c>
      <c r="C294">
        <v>95</v>
      </c>
      <c r="D294">
        <f>COUNTIF(WeeklyPicks!$D$22:$F$31,C294)</f>
        <v>0</v>
      </c>
    </row>
    <row r="295" spans="1:4" x14ac:dyDescent="0.3">
      <c r="A295">
        <v>3</v>
      </c>
      <c r="B295" t="s">
        <v>52</v>
      </c>
      <c r="C295">
        <v>96</v>
      </c>
      <c r="D295">
        <f>COUNTIF(WeeklyPicks!$D$22:$F$31,C295)</f>
        <v>0</v>
      </c>
    </row>
    <row r="296" spans="1:4" x14ac:dyDescent="0.3">
      <c r="A296">
        <v>3</v>
      </c>
      <c r="B296" t="s">
        <v>52</v>
      </c>
      <c r="C296">
        <v>97</v>
      </c>
      <c r="D296">
        <f>COUNTIF(WeeklyPicks!$D$22:$F$31,C296)</f>
        <v>2</v>
      </c>
    </row>
    <row r="297" spans="1:4" x14ac:dyDescent="0.3">
      <c r="A297">
        <v>3</v>
      </c>
      <c r="B297" t="s">
        <v>52</v>
      </c>
      <c r="C297">
        <v>98</v>
      </c>
      <c r="D297">
        <f>COUNTIF(WeeklyPicks!$D$22:$F$31,C297)</f>
        <v>0</v>
      </c>
    </row>
    <row r="298" spans="1:4" x14ac:dyDescent="0.3">
      <c r="A298">
        <v>3</v>
      </c>
      <c r="B298" t="s">
        <v>52</v>
      </c>
      <c r="C298">
        <v>99</v>
      </c>
      <c r="D298">
        <f>COUNTIF(WeeklyPicks!$D$22:$F$31,C298)</f>
        <v>0</v>
      </c>
    </row>
    <row r="299" spans="1:4" x14ac:dyDescent="0.3">
      <c r="A299">
        <v>4</v>
      </c>
      <c r="B299" t="s">
        <v>54</v>
      </c>
      <c r="C299">
        <v>1</v>
      </c>
      <c r="D299">
        <f>COUNTIF(WeeklyPicks!$D$32:$F$41,C299)</f>
        <v>1</v>
      </c>
    </row>
    <row r="300" spans="1:4" x14ac:dyDescent="0.3">
      <c r="A300">
        <v>4</v>
      </c>
      <c r="B300" t="s">
        <v>54</v>
      </c>
      <c r="C300">
        <v>2</v>
      </c>
      <c r="D300">
        <f>COUNTIF(WeeklyPicks!$D$32:$F$41,C300)</f>
        <v>1</v>
      </c>
    </row>
    <row r="301" spans="1:4" x14ac:dyDescent="0.3">
      <c r="A301">
        <v>4</v>
      </c>
      <c r="B301" t="s">
        <v>54</v>
      </c>
      <c r="C301">
        <v>3</v>
      </c>
      <c r="D301">
        <f>COUNTIF(WeeklyPicks!$D$32:$F$41,C301)</f>
        <v>0</v>
      </c>
    </row>
    <row r="302" spans="1:4" x14ac:dyDescent="0.3">
      <c r="A302">
        <v>4</v>
      </c>
      <c r="B302" t="s">
        <v>54</v>
      </c>
      <c r="C302">
        <v>4</v>
      </c>
      <c r="D302">
        <f>COUNTIF(WeeklyPicks!$D$32:$F$41,C302)</f>
        <v>0</v>
      </c>
    </row>
    <row r="303" spans="1:4" x14ac:dyDescent="0.3">
      <c r="A303">
        <v>4</v>
      </c>
      <c r="B303" t="s">
        <v>54</v>
      </c>
      <c r="C303">
        <v>5</v>
      </c>
      <c r="D303">
        <f>COUNTIF(WeeklyPicks!$D$32:$F$41,C303)</f>
        <v>2</v>
      </c>
    </row>
    <row r="304" spans="1:4" x14ac:dyDescent="0.3">
      <c r="A304">
        <v>4</v>
      </c>
      <c r="B304" t="s">
        <v>54</v>
      </c>
      <c r="C304">
        <v>6</v>
      </c>
      <c r="D304">
        <f>COUNTIF(WeeklyPicks!$D$32:$F$41,C304)</f>
        <v>0</v>
      </c>
    </row>
    <row r="305" spans="1:4" x14ac:dyDescent="0.3">
      <c r="A305">
        <v>4</v>
      </c>
      <c r="B305" t="s">
        <v>54</v>
      </c>
      <c r="C305">
        <v>7</v>
      </c>
      <c r="D305">
        <f>COUNTIF(WeeklyPicks!$D$32:$F$41,C305)</f>
        <v>1</v>
      </c>
    </row>
    <row r="306" spans="1:4" x14ac:dyDescent="0.3">
      <c r="A306">
        <v>4</v>
      </c>
      <c r="B306" t="s">
        <v>54</v>
      </c>
      <c r="C306">
        <v>8</v>
      </c>
      <c r="D306">
        <f>COUNTIF(WeeklyPicks!$D$32:$F$41,C306)</f>
        <v>0</v>
      </c>
    </row>
    <row r="307" spans="1:4" x14ac:dyDescent="0.3">
      <c r="A307">
        <v>4</v>
      </c>
      <c r="B307" t="s">
        <v>54</v>
      </c>
      <c r="C307">
        <v>9</v>
      </c>
      <c r="D307">
        <f>COUNTIF(WeeklyPicks!$D$32:$F$41,C307)</f>
        <v>0</v>
      </c>
    </row>
    <row r="308" spans="1:4" x14ac:dyDescent="0.3">
      <c r="A308">
        <v>4</v>
      </c>
      <c r="B308" t="s">
        <v>54</v>
      </c>
      <c r="C308">
        <v>10</v>
      </c>
      <c r="D308">
        <f>COUNTIF(WeeklyPicks!$D$32:$F$41,C308)</f>
        <v>0</v>
      </c>
    </row>
    <row r="309" spans="1:4" x14ac:dyDescent="0.3">
      <c r="A309">
        <v>4</v>
      </c>
      <c r="B309" t="s">
        <v>54</v>
      </c>
      <c r="C309">
        <v>11</v>
      </c>
      <c r="D309">
        <f>COUNTIF(WeeklyPicks!$D$32:$F$41,C309)</f>
        <v>1</v>
      </c>
    </row>
    <row r="310" spans="1:4" x14ac:dyDescent="0.3">
      <c r="A310">
        <v>4</v>
      </c>
      <c r="B310" t="s">
        <v>54</v>
      </c>
      <c r="C310">
        <v>12</v>
      </c>
      <c r="D310">
        <f>COUNTIF(WeeklyPicks!$D$32:$F$41,C310)</f>
        <v>3</v>
      </c>
    </row>
    <row r="311" spans="1:4" x14ac:dyDescent="0.3">
      <c r="A311">
        <v>4</v>
      </c>
      <c r="B311" t="s">
        <v>54</v>
      </c>
      <c r="C311">
        <v>13</v>
      </c>
      <c r="D311">
        <f>COUNTIF(WeeklyPicks!$D$32:$F$41,C311)</f>
        <v>0</v>
      </c>
    </row>
    <row r="312" spans="1:4" x14ac:dyDescent="0.3">
      <c r="A312">
        <v>4</v>
      </c>
      <c r="B312" t="s">
        <v>54</v>
      </c>
      <c r="C312">
        <v>14</v>
      </c>
      <c r="D312">
        <f>COUNTIF(WeeklyPicks!$D$32:$F$41,C312)</f>
        <v>0</v>
      </c>
    </row>
    <row r="313" spans="1:4" x14ac:dyDescent="0.3">
      <c r="A313">
        <v>4</v>
      </c>
      <c r="B313" t="s">
        <v>54</v>
      </c>
      <c r="C313">
        <v>15</v>
      </c>
      <c r="D313">
        <f>COUNTIF(WeeklyPicks!$D$32:$F$41,C313)</f>
        <v>0</v>
      </c>
    </row>
    <row r="314" spans="1:4" x14ac:dyDescent="0.3">
      <c r="A314">
        <v>4</v>
      </c>
      <c r="B314" t="s">
        <v>54</v>
      </c>
      <c r="C314">
        <v>16</v>
      </c>
      <c r="D314">
        <f>COUNTIF(WeeklyPicks!$D$32:$F$41,C314)</f>
        <v>0</v>
      </c>
    </row>
    <row r="315" spans="1:4" x14ac:dyDescent="0.3">
      <c r="A315">
        <v>4</v>
      </c>
      <c r="B315" t="s">
        <v>54</v>
      </c>
      <c r="C315">
        <v>17</v>
      </c>
      <c r="D315">
        <f>COUNTIF(WeeklyPicks!$D$32:$F$41,C315)</f>
        <v>0</v>
      </c>
    </row>
    <row r="316" spans="1:4" x14ac:dyDescent="0.3">
      <c r="A316">
        <v>4</v>
      </c>
      <c r="B316" t="s">
        <v>54</v>
      </c>
      <c r="C316">
        <v>18</v>
      </c>
      <c r="D316">
        <f>COUNTIF(WeeklyPicks!$D$32:$F$41,C316)</f>
        <v>0</v>
      </c>
    </row>
    <row r="317" spans="1:4" x14ac:dyDescent="0.3">
      <c r="A317">
        <v>4</v>
      </c>
      <c r="B317" t="s">
        <v>54</v>
      </c>
      <c r="C317">
        <v>19</v>
      </c>
      <c r="D317">
        <f>COUNTIF(WeeklyPicks!$D$32:$F$41,C317)</f>
        <v>1</v>
      </c>
    </row>
    <row r="318" spans="1:4" x14ac:dyDescent="0.3">
      <c r="A318">
        <v>4</v>
      </c>
      <c r="B318" t="s">
        <v>54</v>
      </c>
      <c r="C318">
        <v>20</v>
      </c>
      <c r="D318">
        <f>COUNTIF(WeeklyPicks!$D$32:$F$41,C318)</f>
        <v>0</v>
      </c>
    </row>
    <row r="319" spans="1:4" x14ac:dyDescent="0.3">
      <c r="A319">
        <v>4</v>
      </c>
      <c r="B319" t="s">
        <v>54</v>
      </c>
      <c r="C319">
        <v>21</v>
      </c>
      <c r="D319">
        <f>COUNTIF(WeeklyPicks!$D$32:$F$41,C319)</f>
        <v>1</v>
      </c>
    </row>
    <row r="320" spans="1:4" x14ac:dyDescent="0.3">
      <c r="A320">
        <v>4</v>
      </c>
      <c r="B320" t="s">
        <v>54</v>
      </c>
      <c r="C320">
        <v>22</v>
      </c>
      <c r="D320">
        <f>COUNTIF(WeeklyPicks!$D$32:$F$41,C320)</f>
        <v>1</v>
      </c>
    </row>
    <row r="321" spans="1:4" x14ac:dyDescent="0.3">
      <c r="A321">
        <v>4</v>
      </c>
      <c r="B321" t="s">
        <v>54</v>
      </c>
      <c r="C321">
        <v>23</v>
      </c>
      <c r="D321">
        <f>COUNTIF(WeeklyPicks!$D$32:$F$41,C321)</f>
        <v>0</v>
      </c>
    </row>
    <row r="322" spans="1:4" x14ac:dyDescent="0.3">
      <c r="A322">
        <v>4</v>
      </c>
      <c r="B322" t="s">
        <v>54</v>
      </c>
      <c r="C322">
        <v>24</v>
      </c>
      <c r="D322">
        <f>COUNTIF(WeeklyPicks!$D$32:$F$41,C322)</f>
        <v>1</v>
      </c>
    </row>
    <row r="323" spans="1:4" x14ac:dyDescent="0.3">
      <c r="A323">
        <v>4</v>
      </c>
      <c r="B323" t="s">
        <v>54</v>
      </c>
      <c r="C323">
        <v>25</v>
      </c>
      <c r="D323">
        <f>COUNTIF(WeeklyPicks!$D$32:$F$41,C323)</f>
        <v>0</v>
      </c>
    </row>
    <row r="324" spans="1:4" x14ac:dyDescent="0.3">
      <c r="A324">
        <v>4</v>
      </c>
      <c r="B324" t="s">
        <v>54</v>
      </c>
      <c r="C324">
        <v>26</v>
      </c>
      <c r="D324">
        <f>COUNTIF(WeeklyPicks!$D$32:$F$41,C324)</f>
        <v>0</v>
      </c>
    </row>
    <row r="325" spans="1:4" x14ac:dyDescent="0.3">
      <c r="A325">
        <v>4</v>
      </c>
      <c r="B325" t="s">
        <v>54</v>
      </c>
      <c r="C325">
        <v>27</v>
      </c>
      <c r="D325">
        <f>COUNTIF(WeeklyPicks!$D$32:$F$41,C325)</f>
        <v>0</v>
      </c>
    </row>
    <row r="326" spans="1:4" x14ac:dyDescent="0.3">
      <c r="A326">
        <v>4</v>
      </c>
      <c r="B326" t="s">
        <v>54</v>
      </c>
      <c r="C326">
        <v>28</v>
      </c>
      <c r="D326">
        <f>COUNTIF(WeeklyPicks!$D$32:$F$41,C326)</f>
        <v>0</v>
      </c>
    </row>
    <row r="327" spans="1:4" x14ac:dyDescent="0.3">
      <c r="A327">
        <v>4</v>
      </c>
      <c r="B327" t="s">
        <v>54</v>
      </c>
      <c r="C327">
        <v>29</v>
      </c>
      <c r="D327">
        <f>COUNTIF(WeeklyPicks!$D$32:$F$41,C327)</f>
        <v>0</v>
      </c>
    </row>
    <row r="328" spans="1:4" x14ac:dyDescent="0.3">
      <c r="A328">
        <v>4</v>
      </c>
      <c r="B328" t="s">
        <v>54</v>
      </c>
      <c r="C328">
        <v>30</v>
      </c>
      <c r="D328">
        <f>COUNTIF(WeeklyPicks!$D$32:$F$41,C328)</f>
        <v>0</v>
      </c>
    </row>
    <row r="329" spans="1:4" x14ac:dyDescent="0.3">
      <c r="A329">
        <v>4</v>
      </c>
      <c r="B329" t="s">
        <v>54</v>
      </c>
      <c r="C329">
        <v>31</v>
      </c>
      <c r="D329">
        <f>COUNTIF(WeeklyPicks!$D$32:$F$41,C329)</f>
        <v>0</v>
      </c>
    </row>
    <row r="330" spans="1:4" x14ac:dyDescent="0.3">
      <c r="A330">
        <v>4</v>
      </c>
      <c r="B330" t="s">
        <v>54</v>
      </c>
      <c r="C330">
        <v>32</v>
      </c>
      <c r="D330">
        <f>COUNTIF(WeeklyPicks!$D$32:$F$41,C330)</f>
        <v>0</v>
      </c>
    </row>
    <row r="331" spans="1:4" x14ac:dyDescent="0.3">
      <c r="A331">
        <v>4</v>
      </c>
      <c r="B331" t="s">
        <v>54</v>
      </c>
      <c r="C331">
        <v>33</v>
      </c>
      <c r="D331">
        <f>COUNTIF(WeeklyPicks!$D$32:$F$41,C331)</f>
        <v>0</v>
      </c>
    </row>
    <row r="332" spans="1:4" x14ac:dyDescent="0.3">
      <c r="A332">
        <v>4</v>
      </c>
      <c r="B332" t="s">
        <v>54</v>
      </c>
      <c r="C332">
        <v>34</v>
      </c>
      <c r="D332">
        <f>COUNTIF(WeeklyPicks!$D$32:$F$41,C332)</f>
        <v>0</v>
      </c>
    </row>
    <row r="333" spans="1:4" x14ac:dyDescent="0.3">
      <c r="A333">
        <v>4</v>
      </c>
      <c r="B333" t="s">
        <v>54</v>
      </c>
      <c r="C333">
        <v>35</v>
      </c>
      <c r="D333">
        <f>COUNTIF(WeeklyPicks!$D$32:$F$41,C333)</f>
        <v>0</v>
      </c>
    </row>
    <row r="334" spans="1:4" x14ac:dyDescent="0.3">
      <c r="A334">
        <v>4</v>
      </c>
      <c r="B334" t="s">
        <v>54</v>
      </c>
      <c r="C334">
        <v>36</v>
      </c>
      <c r="D334">
        <f>COUNTIF(WeeklyPicks!$D$32:$F$41,C334)</f>
        <v>0</v>
      </c>
    </row>
    <row r="335" spans="1:4" x14ac:dyDescent="0.3">
      <c r="A335">
        <v>4</v>
      </c>
      <c r="B335" t="s">
        <v>54</v>
      </c>
      <c r="C335">
        <v>37</v>
      </c>
      <c r="D335">
        <f>COUNTIF(WeeklyPicks!$D$32:$F$41,C335)</f>
        <v>0</v>
      </c>
    </row>
    <row r="336" spans="1:4" x14ac:dyDescent="0.3">
      <c r="A336">
        <v>4</v>
      </c>
      <c r="B336" t="s">
        <v>54</v>
      </c>
      <c r="C336">
        <v>38</v>
      </c>
      <c r="D336">
        <f>COUNTIF(WeeklyPicks!$D$32:$F$41,C336)</f>
        <v>0</v>
      </c>
    </row>
    <row r="337" spans="1:4" x14ac:dyDescent="0.3">
      <c r="A337">
        <v>4</v>
      </c>
      <c r="B337" t="s">
        <v>54</v>
      </c>
      <c r="C337">
        <v>39</v>
      </c>
      <c r="D337">
        <f>COUNTIF(WeeklyPicks!$D$32:$F$41,C337)</f>
        <v>0</v>
      </c>
    </row>
    <row r="338" spans="1:4" x14ac:dyDescent="0.3">
      <c r="A338">
        <v>4</v>
      </c>
      <c r="B338" t="s">
        <v>54</v>
      </c>
      <c r="C338">
        <v>40</v>
      </c>
      <c r="D338">
        <f>COUNTIF(WeeklyPicks!$D$32:$F$41,C338)</f>
        <v>0</v>
      </c>
    </row>
    <row r="339" spans="1:4" x14ac:dyDescent="0.3">
      <c r="A339">
        <v>4</v>
      </c>
      <c r="B339" t="s">
        <v>54</v>
      </c>
      <c r="C339">
        <v>41</v>
      </c>
      <c r="D339">
        <f>COUNTIF(WeeklyPicks!$D$32:$F$41,C339)</f>
        <v>0</v>
      </c>
    </row>
    <row r="340" spans="1:4" x14ac:dyDescent="0.3">
      <c r="A340">
        <v>4</v>
      </c>
      <c r="B340" t="s">
        <v>54</v>
      </c>
      <c r="C340">
        <v>42</v>
      </c>
      <c r="D340">
        <f>COUNTIF(WeeklyPicks!$D$32:$F$41,C340)</f>
        <v>0</v>
      </c>
    </row>
    <row r="341" spans="1:4" x14ac:dyDescent="0.3">
      <c r="A341">
        <v>4</v>
      </c>
      <c r="B341" t="s">
        <v>54</v>
      </c>
      <c r="C341">
        <v>43</v>
      </c>
      <c r="D341">
        <f>COUNTIF(WeeklyPicks!$D$32:$F$41,C341)</f>
        <v>0</v>
      </c>
    </row>
    <row r="342" spans="1:4" x14ac:dyDescent="0.3">
      <c r="A342">
        <v>4</v>
      </c>
      <c r="B342" t="s">
        <v>54</v>
      </c>
      <c r="C342">
        <v>44</v>
      </c>
      <c r="D342">
        <f>COUNTIF(WeeklyPicks!$D$32:$F$41,C342)</f>
        <v>0</v>
      </c>
    </row>
    <row r="343" spans="1:4" x14ac:dyDescent="0.3">
      <c r="A343">
        <v>4</v>
      </c>
      <c r="B343" t="s">
        <v>54</v>
      </c>
      <c r="C343">
        <v>45</v>
      </c>
      <c r="D343">
        <f>COUNTIF(WeeklyPicks!$D$32:$F$41,C343)</f>
        <v>2</v>
      </c>
    </row>
    <row r="344" spans="1:4" x14ac:dyDescent="0.3">
      <c r="A344">
        <v>4</v>
      </c>
      <c r="B344" t="s">
        <v>54</v>
      </c>
      <c r="C344">
        <v>46</v>
      </c>
      <c r="D344">
        <f>COUNTIF(WeeklyPicks!$D$32:$F$41,C344)</f>
        <v>0</v>
      </c>
    </row>
    <row r="345" spans="1:4" x14ac:dyDescent="0.3">
      <c r="A345">
        <v>4</v>
      </c>
      <c r="B345" t="s">
        <v>54</v>
      </c>
      <c r="C345">
        <v>47</v>
      </c>
      <c r="D345">
        <f>COUNTIF(WeeklyPicks!$D$32:$F$41,C345)</f>
        <v>0</v>
      </c>
    </row>
    <row r="346" spans="1:4" x14ac:dyDescent="0.3">
      <c r="A346">
        <v>4</v>
      </c>
      <c r="B346" t="s">
        <v>54</v>
      </c>
      <c r="C346">
        <v>48</v>
      </c>
      <c r="D346">
        <f>COUNTIF(WeeklyPicks!$D$32:$F$41,C346)</f>
        <v>0</v>
      </c>
    </row>
    <row r="347" spans="1:4" x14ac:dyDescent="0.3">
      <c r="A347">
        <v>4</v>
      </c>
      <c r="B347" t="s">
        <v>54</v>
      </c>
      <c r="C347">
        <v>49</v>
      </c>
      <c r="D347">
        <f>COUNTIF(WeeklyPicks!$D$32:$F$41,C347)</f>
        <v>0</v>
      </c>
    </row>
    <row r="348" spans="1:4" x14ac:dyDescent="0.3">
      <c r="A348">
        <v>4</v>
      </c>
      <c r="B348" t="s">
        <v>54</v>
      </c>
      <c r="C348">
        <v>50</v>
      </c>
      <c r="D348">
        <f>COUNTIF(WeeklyPicks!$D$32:$F$41,C348)</f>
        <v>0</v>
      </c>
    </row>
    <row r="349" spans="1:4" x14ac:dyDescent="0.3">
      <c r="A349">
        <v>4</v>
      </c>
      <c r="B349" t="s">
        <v>54</v>
      </c>
      <c r="C349">
        <v>51</v>
      </c>
      <c r="D349">
        <f>COUNTIF(WeeklyPicks!$D$32:$F$41,C349)</f>
        <v>0</v>
      </c>
    </row>
    <row r="350" spans="1:4" x14ac:dyDescent="0.3">
      <c r="A350">
        <v>4</v>
      </c>
      <c r="B350" t="s">
        <v>54</v>
      </c>
      <c r="C350">
        <v>52</v>
      </c>
      <c r="D350">
        <f>COUNTIF(WeeklyPicks!$D$32:$F$41,C350)</f>
        <v>0</v>
      </c>
    </row>
    <row r="351" spans="1:4" x14ac:dyDescent="0.3">
      <c r="A351">
        <v>4</v>
      </c>
      <c r="B351" t="s">
        <v>54</v>
      </c>
      <c r="C351">
        <v>53</v>
      </c>
      <c r="D351">
        <f>COUNTIF(WeeklyPicks!$D$32:$F$41,C351)</f>
        <v>0</v>
      </c>
    </row>
    <row r="352" spans="1:4" x14ac:dyDescent="0.3">
      <c r="A352">
        <v>4</v>
      </c>
      <c r="B352" t="s">
        <v>54</v>
      </c>
      <c r="C352">
        <v>54</v>
      </c>
      <c r="D352">
        <f>COUNTIF(WeeklyPicks!$D$32:$F$41,C352)</f>
        <v>0</v>
      </c>
    </row>
    <row r="353" spans="1:4" x14ac:dyDescent="0.3">
      <c r="A353">
        <v>4</v>
      </c>
      <c r="B353" t="s">
        <v>54</v>
      </c>
      <c r="C353">
        <v>55</v>
      </c>
      <c r="D353">
        <f>COUNTIF(WeeklyPicks!$D$32:$F$41,C353)</f>
        <v>0</v>
      </c>
    </row>
    <row r="354" spans="1:4" x14ac:dyDescent="0.3">
      <c r="A354">
        <v>4</v>
      </c>
      <c r="B354" t="s">
        <v>54</v>
      </c>
      <c r="C354">
        <v>56</v>
      </c>
      <c r="D354">
        <f>COUNTIF(WeeklyPicks!$D$32:$F$41,C354)</f>
        <v>0</v>
      </c>
    </row>
    <row r="355" spans="1:4" x14ac:dyDescent="0.3">
      <c r="A355">
        <v>4</v>
      </c>
      <c r="B355" t="s">
        <v>54</v>
      </c>
      <c r="C355">
        <v>57</v>
      </c>
      <c r="D355">
        <f>COUNTIF(WeeklyPicks!$D$32:$F$41,C355)</f>
        <v>0</v>
      </c>
    </row>
    <row r="356" spans="1:4" x14ac:dyDescent="0.3">
      <c r="A356">
        <v>4</v>
      </c>
      <c r="B356" t="s">
        <v>54</v>
      </c>
      <c r="C356">
        <v>58</v>
      </c>
      <c r="D356">
        <f>COUNTIF(WeeklyPicks!$D$32:$F$41,C356)</f>
        <v>0</v>
      </c>
    </row>
    <row r="357" spans="1:4" x14ac:dyDescent="0.3">
      <c r="A357">
        <v>4</v>
      </c>
      <c r="B357" t="s">
        <v>54</v>
      </c>
      <c r="C357">
        <v>59</v>
      </c>
      <c r="D357">
        <f>COUNTIF(WeeklyPicks!$D$32:$F$41,C357)</f>
        <v>0</v>
      </c>
    </row>
    <row r="358" spans="1:4" x14ac:dyDescent="0.3">
      <c r="A358">
        <v>4</v>
      </c>
      <c r="B358" t="s">
        <v>54</v>
      </c>
      <c r="C358">
        <v>60</v>
      </c>
      <c r="D358">
        <f>COUNTIF(WeeklyPicks!$D$32:$F$41,C358)</f>
        <v>0</v>
      </c>
    </row>
    <row r="359" spans="1:4" x14ac:dyDescent="0.3">
      <c r="A359">
        <v>4</v>
      </c>
      <c r="B359" t="s">
        <v>54</v>
      </c>
      <c r="C359">
        <v>61</v>
      </c>
      <c r="D359">
        <f>COUNTIF(WeeklyPicks!$D$32:$F$41,C359)</f>
        <v>0</v>
      </c>
    </row>
    <row r="360" spans="1:4" x14ac:dyDescent="0.3">
      <c r="A360">
        <v>4</v>
      </c>
      <c r="B360" t="s">
        <v>54</v>
      </c>
      <c r="C360">
        <v>62</v>
      </c>
      <c r="D360">
        <f>COUNTIF(WeeklyPicks!$D$32:$F$41,C360)</f>
        <v>0</v>
      </c>
    </row>
    <row r="361" spans="1:4" x14ac:dyDescent="0.3">
      <c r="A361">
        <v>4</v>
      </c>
      <c r="B361" t="s">
        <v>54</v>
      </c>
      <c r="C361">
        <v>63</v>
      </c>
      <c r="D361">
        <f>COUNTIF(WeeklyPicks!$D$32:$F$41,C361)</f>
        <v>0</v>
      </c>
    </row>
    <row r="362" spans="1:4" x14ac:dyDescent="0.3">
      <c r="A362">
        <v>4</v>
      </c>
      <c r="B362" t="s">
        <v>54</v>
      </c>
      <c r="C362">
        <v>64</v>
      </c>
      <c r="D362">
        <f>COUNTIF(WeeklyPicks!$D$32:$F$41,C362)</f>
        <v>0</v>
      </c>
    </row>
    <row r="363" spans="1:4" x14ac:dyDescent="0.3">
      <c r="A363">
        <v>4</v>
      </c>
      <c r="B363" t="s">
        <v>54</v>
      </c>
      <c r="C363">
        <v>65</v>
      </c>
      <c r="D363">
        <f>COUNTIF(WeeklyPicks!$D$32:$F$41,C363)</f>
        <v>0</v>
      </c>
    </row>
    <row r="364" spans="1:4" x14ac:dyDescent="0.3">
      <c r="A364">
        <v>4</v>
      </c>
      <c r="B364" t="s">
        <v>54</v>
      </c>
      <c r="C364">
        <v>66</v>
      </c>
      <c r="D364">
        <f>COUNTIF(WeeklyPicks!$D$32:$F$41,C364)</f>
        <v>0</v>
      </c>
    </row>
    <row r="365" spans="1:4" x14ac:dyDescent="0.3">
      <c r="A365">
        <v>4</v>
      </c>
      <c r="B365" t="s">
        <v>54</v>
      </c>
      <c r="C365">
        <v>67</v>
      </c>
      <c r="D365">
        <f>COUNTIF(WeeklyPicks!$D$32:$F$41,C365)</f>
        <v>0</v>
      </c>
    </row>
    <row r="366" spans="1:4" x14ac:dyDescent="0.3">
      <c r="A366">
        <v>4</v>
      </c>
      <c r="B366" t="s">
        <v>54</v>
      </c>
      <c r="C366">
        <v>68</v>
      </c>
      <c r="D366">
        <f>COUNTIF(WeeklyPicks!$D$32:$F$41,C366)</f>
        <v>0</v>
      </c>
    </row>
    <row r="367" spans="1:4" x14ac:dyDescent="0.3">
      <c r="A367">
        <v>4</v>
      </c>
      <c r="B367" t="s">
        <v>54</v>
      </c>
      <c r="C367">
        <v>69</v>
      </c>
      <c r="D367">
        <f>COUNTIF(WeeklyPicks!$D$32:$F$41,C367)</f>
        <v>0</v>
      </c>
    </row>
    <row r="368" spans="1:4" x14ac:dyDescent="0.3">
      <c r="A368">
        <v>4</v>
      </c>
      <c r="B368" t="s">
        <v>54</v>
      </c>
      <c r="C368">
        <v>70</v>
      </c>
      <c r="D368">
        <f>COUNTIF(WeeklyPicks!$D$32:$F$41,C368)</f>
        <v>0</v>
      </c>
    </row>
    <row r="369" spans="1:4" x14ac:dyDescent="0.3">
      <c r="A369">
        <v>4</v>
      </c>
      <c r="B369" t="s">
        <v>54</v>
      </c>
      <c r="C369">
        <v>71</v>
      </c>
      <c r="D369">
        <f>COUNTIF(WeeklyPicks!$D$32:$F$41,C369)</f>
        <v>0</v>
      </c>
    </row>
    <row r="370" spans="1:4" x14ac:dyDescent="0.3">
      <c r="A370">
        <v>4</v>
      </c>
      <c r="B370" t="s">
        <v>54</v>
      </c>
      <c r="C370">
        <v>72</v>
      </c>
      <c r="D370">
        <f>COUNTIF(WeeklyPicks!$D$32:$F$41,C370)</f>
        <v>0</v>
      </c>
    </row>
    <row r="371" spans="1:4" x14ac:dyDescent="0.3">
      <c r="A371">
        <v>4</v>
      </c>
      <c r="B371" t="s">
        <v>54</v>
      </c>
      <c r="C371">
        <v>73</v>
      </c>
      <c r="D371">
        <f>COUNTIF(WeeklyPicks!$D$32:$F$41,C371)</f>
        <v>0</v>
      </c>
    </row>
    <row r="372" spans="1:4" x14ac:dyDescent="0.3">
      <c r="A372">
        <v>4</v>
      </c>
      <c r="B372" t="s">
        <v>54</v>
      </c>
      <c r="C372">
        <v>74</v>
      </c>
      <c r="D372">
        <f>COUNTIF(WeeklyPicks!$D$32:$F$41,C372)</f>
        <v>0</v>
      </c>
    </row>
    <row r="373" spans="1:4" x14ac:dyDescent="0.3">
      <c r="A373">
        <v>4</v>
      </c>
      <c r="B373" t="s">
        <v>54</v>
      </c>
      <c r="C373">
        <v>75</v>
      </c>
      <c r="D373">
        <f>COUNTIF(WeeklyPicks!$D$32:$F$41,C373)</f>
        <v>0</v>
      </c>
    </row>
    <row r="374" spans="1:4" x14ac:dyDescent="0.3">
      <c r="A374">
        <v>4</v>
      </c>
      <c r="B374" t="s">
        <v>54</v>
      </c>
      <c r="C374">
        <v>76</v>
      </c>
      <c r="D374">
        <f>COUNTIF(WeeklyPicks!$D$32:$F$41,C374)</f>
        <v>0</v>
      </c>
    </row>
    <row r="375" spans="1:4" x14ac:dyDescent="0.3">
      <c r="A375">
        <v>4</v>
      </c>
      <c r="B375" t="s">
        <v>54</v>
      </c>
      <c r="C375">
        <v>77</v>
      </c>
      <c r="D375">
        <f>COUNTIF(WeeklyPicks!$D$32:$F$41,C375)</f>
        <v>0</v>
      </c>
    </row>
    <row r="376" spans="1:4" x14ac:dyDescent="0.3">
      <c r="A376">
        <v>4</v>
      </c>
      <c r="B376" t="s">
        <v>54</v>
      </c>
      <c r="C376">
        <v>78</v>
      </c>
      <c r="D376">
        <f>COUNTIF(WeeklyPicks!$D$32:$F$41,C376)</f>
        <v>0</v>
      </c>
    </row>
    <row r="377" spans="1:4" x14ac:dyDescent="0.3">
      <c r="A377">
        <v>4</v>
      </c>
      <c r="B377" t="s">
        <v>54</v>
      </c>
      <c r="C377">
        <v>79</v>
      </c>
      <c r="D377">
        <f>COUNTIF(WeeklyPicks!$D$32:$F$41,C377)</f>
        <v>0</v>
      </c>
    </row>
    <row r="378" spans="1:4" x14ac:dyDescent="0.3">
      <c r="A378">
        <v>4</v>
      </c>
      <c r="B378" t="s">
        <v>54</v>
      </c>
      <c r="C378">
        <v>80</v>
      </c>
      <c r="D378">
        <f>COUNTIF(WeeklyPicks!$D$32:$F$41,C378)</f>
        <v>0</v>
      </c>
    </row>
    <row r="379" spans="1:4" x14ac:dyDescent="0.3">
      <c r="A379">
        <v>4</v>
      </c>
      <c r="B379" t="s">
        <v>54</v>
      </c>
      <c r="C379">
        <v>81</v>
      </c>
      <c r="D379">
        <f>COUNTIF(WeeklyPicks!$D$32:$F$41,C379)</f>
        <v>0</v>
      </c>
    </row>
    <row r="380" spans="1:4" x14ac:dyDescent="0.3">
      <c r="A380">
        <v>4</v>
      </c>
      <c r="B380" t="s">
        <v>54</v>
      </c>
      <c r="C380">
        <v>82</v>
      </c>
      <c r="D380">
        <f>COUNTIF(WeeklyPicks!$D$32:$F$41,C380)</f>
        <v>0</v>
      </c>
    </row>
    <row r="381" spans="1:4" x14ac:dyDescent="0.3">
      <c r="A381">
        <v>4</v>
      </c>
      <c r="B381" t="s">
        <v>54</v>
      </c>
      <c r="C381">
        <v>83</v>
      </c>
      <c r="D381">
        <f>COUNTIF(WeeklyPicks!$D$32:$F$41,C381)</f>
        <v>0</v>
      </c>
    </row>
    <row r="382" spans="1:4" x14ac:dyDescent="0.3">
      <c r="A382">
        <v>4</v>
      </c>
      <c r="B382" t="s">
        <v>54</v>
      </c>
      <c r="C382">
        <v>84</v>
      </c>
      <c r="D382">
        <f>COUNTIF(WeeklyPicks!$D$32:$F$41,C382)</f>
        <v>0</v>
      </c>
    </row>
    <row r="383" spans="1:4" x14ac:dyDescent="0.3">
      <c r="A383">
        <v>4</v>
      </c>
      <c r="B383" t="s">
        <v>54</v>
      </c>
      <c r="C383">
        <v>85</v>
      </c>
      <c r="D383">
        <f>COUNTIF(WeeklyPicks!$D$32:$F$41,C383)</f>
        <v>0</v>
      </c>
    </row>
    <row r="384" spans="1:4" x14ac:dyDescent="0.3">
      <c r="A384">
        <v>4</v>
      </c>
      <c r="B384" t="s">
        <v>54</v>
      </c>
      <c r="C384">
        <v>86</v>
      </c>
      <c r="D384">
        <f>COUNTIF(WeeklyPicks!$D$32:$F$41,C384)</f>
        <v>0</v>
      </c>
    </row>
    <row r="385" spans="1:4" x14ac:dyDescent="0.3">
      <c r="A385">
        <v>4</v>
      </c>
      <c r="B385" t="s">
        <v>54</v>
      </c>
      <c r="C385">
        <v>87</v>
      </c>
      <c r="D385">
        <f>COUNTIF(WeeklyPicks!$D$32:$F$41,C385)</f>
        <v>0</v>
      </c>
    </row>
    <row r="386" spans="1:4" x14ac:dyDescent="0.3">
      <c r="A386">
        <v>4</v>
      </c>
      <c r="B386" t="s">
        <v>54</v>
      </c>
      <c r="C386">
        <v>88</v>
      </c>
      <c r="D386">
        <f>COUNTIF(WeeklyPicks!$D$32:$F$41,C386)</f>
        <v>0</v>
      </c>
    </row>
    <row r="387" spans="1:4" x14ac:dyDescent="0.3">
      <c r="A387">
        <v>4</v>
      </c>
      <c r="B387" t="s">
        <v>54</v>
      </c>
      <c r="C387">
        <v>89</v>
      </c>
      <c r="D387">
        <f>COUNTIF(WeeklyPicks!$D$32:$F$41,C387)</f>
        <v>0</v>
      </c>
    </row>
    <row r="388" spans="1:4" x14ac:dyDescent="0.3">
      <c r="A388">
        <v>4</v>
      </c>
      <c r="B388" t="s">
        <v>54</v>
      </c>
      <c r="C388">
        <v>90</v>
      </c>
      <c r="D388">
        <f>COUNTIF(WeeklyPicks!$D$32:$F$41,C388)</f>
        <v>0</v>
      </c>
    </row>
    <row r="389" spans="1:4" x14ac:dyDescent="0.3">
      <c r="A389">
        <v>4</v>
      </c>
      <c r="B389" t="s">
        <v>54</v>
      </c>
      <c r="C389">
        <v>91</v>
      </c>
      <c r="D389">
        <f>COUNTIF(WeeklyPicks!$D$32:$F$41,C389)</f>
        <v>0</v>
      </c>
    </row>
    <row r="390" spans="1:4" x14ac:dyDescent="0.3">
      <c r="A390">
        <v>4</v>
      </c>
      <c r="B390" t="s">
        <v>54</v>
      </c>
      <c r="C390">
        <v>92</v>
      </c>
      <c r="D390">
        <f>COUNTIF(WeeklyPicks!$D$32:$F$41,C390)</f>
        <v>0</v>
      </c>
    </row>
    <row r="391" spans="1:4" x14ac:dyDescent="0.3">
      <c r="A391">
        <v>4</v>
      </c>
      <c r="B391" t="s">
        <v>54</v>
      </c>
      <c r="C391">
        <v>93</v>
      </c>
      <c r="D391">
        <f>COUNTIF(WeeklyPicks!$D$32:$F$41,C391)</f>
        <v>0</v>
      </c>
    </row>
    <row r="392" spans="1:4" x14ac:dyDescent="0.3">
      <c r="A392">
        <v>4</v>
      </c>
      <c r="B392" t="s">
        <v>54</v>
      </c>
      <c r="C392">
        <v>94</v>
      </c>
      <c r="D392">
        <f>COUNTIF(WeeklyPicks!$D$32:$F$41,C392)</f>
        <v>0</v>
      </c>
    </row>
    <row r="393" spans="1:4" x14ac:dyDescent="0.3">
      <c r="A393">
        <v>4</v>
      </c>
      <c r="B393" t="s">
        <v>54</v>
      </c>
      <c r="C393">
        <v>95</v>
      </c>
      <c r="D393">
        <f>COUNTIF(WeeklyPicks!$D$32:$F$41,C393)</f>
        <v>0</v>
      </c>
    </row>
    <row r="394" spans="1:4" x14ac:dyDescent="0.3">
      <c r="A394">
        <v>4</v>
      </c>
      <c r="B394" t="s">
        <v>54</v>
      </c>
      <c r="C394">
        <v>96</v>
      </c>
      <c r="D394">
        <f>COUNTIF(WeeklyPicks!$D$32:$F$41,C394)</f>
        <v>0</v>
      </c>
    </row>
    <row r="395" spans="1:4" x14ac:dyDescent="0.3">
      <c r="A395">
        <v>4</v>
      </c>
      <c r="B395" t="s">
        <v>54</v>
      </c>
      <c r="C395">
        <v>97</v>
      </c>
      <c r="D395">
        <f>COUNTIF(WeeklyPicks!$D$32:$F$41,C395)</f>
        <v>0</v>
      </c>
    </row>
    <row r="396" spans="1:4" x14ac:dyDescent="0.3">
      <c r="A396">
        <v>4</v>
      </c>
      <c r="B396" t="s">
        <v>54</v>
      </c>
      <c r="C396">
        <v>98</v>
      </c>
      <c r="D396">
        <f>COUNTIF(WeeklyPicks!$D$32:$F$41,C396)</f>
        <v>0</v>
      </c>
    </row>
    <row r="397" spans="1:4" x14ac:dyDescent="0.3">
      <c r="A397">
        <v>4</v>
      </c>
      <c r="B397" t="s">
        <v>54</v>
      </c>
      <c r="C397">
        <v>99</v>
      </c>
      <c r="D397">
        <f>COUNTIF(WeeklyPicks!$D$32:$F$41,C397)</f>
        <v>0</v>
      </c>
    </row>
    <row r="398" spans="1:4" x14ac:dyDescent="0.3">
      <c r="A398">
        <v>5</v>
      </c>
      <c r="B398" t="s">
        <v>57</v>
      </c>
      <c r="C398">
        <v>1</v>
      </c>
      <c r="D398">
        <f>COUNTIF(WeeklyPicks!$D$42:$F$51,C398)</f>
        <v>0</v>
      </c>
    </row>
    <row r="399" spans="1:4" x14ac:dyDescent="0.3">
      <c r="A399">
        <v>5</v>
      </c>
      <c r="B399" t="s">
        <v>57</v>
      </c>
      <c r="C399">
        <v>2</v>
      </c>
      <c r="D399">
        <f>COUNTIF(WeeklyPicks!$D$42:$F$51,C399)</f>
        <v>0</v>
      </c>
    </row>
    <row r="400" spans="1:4" x14ac:dyDescent="0.3">
      <c r="A400">
        <v>5</v>
      </c>
      <c r="B400" t="s">
        <v>57</v>
      </c>
      <c r="C400">
        <v>3</v>
      </c>
      <c r="D400">
        <f>COUNTIF(WeeklyPicks!$D$42:$F$51,C400)</f>
        <v>0</v>
      </c>
    </row>
    <row r="401" spans="1:4" x14ac:dyDescent="0.3">
      <c r="A401">
        <v>5</v>
      </c>
      <c r="B401" t="s">
        <v>57</v>
      </c>
      <c r="C401">
        <v>4</v>
      </c>
      <c r="D401">
        <f>COUNTIF(WeeklyPicks!$D$42:$F$51,C401)</f>
        <v>0</v>
      </c>
    </row>
    <row r="402" spans="1:4" x14ac:dyDescent="0.3">
      <c r="A402">
        <v>5</v>
      </c>
      <c r="B402" t="s">
        <v>57</v>
      </c>
      <c r="C402">
        <v>5</v>
      </c>
      <c r="D402">
        <f>COUNTIF(WeeklyPicks!$D$42:$F$51,C402)</f>
        <v>4</v>
      </c>
    </row>
    <row r="403" spans="1:4" x14ac:dyDescent="0.3">
      <c r="A403">
        <v>5</v>
      </c>
      <c r="B403" t="s">
        <v>57</v>
      </c>
      <c r="C403">
        <v>6</v>
      </c>
      <c r="D403">
        <f>COUNTIF(WeeklyPicks!$D$42:$F$51,C403)</f>
        <v>0</v>
      </c>
    </row>
    <row r="404" spans="1:4" x14ac:dyDescent="0.3">
      <c r="A404">
        <v>5</v>
      </c>
      <c r="B404" t="s">
        <v>57</v>
      </c>
      <c r="C404">
        <v>7</v>
      </c>
      <c r="D404">
        <f>COUNTIF(WeeklyPicks!$D$42:$F$51,C404)</f>
        <v>0</v>
      </c>
    </row>
    <row r="405" spans="1:4" x14ac:dyDescent="0.3">
      <c r="A405">
        <v>5</v>
      </c>
      <c r="B405" t="s">
        <v>57</v>
      </c>
      <c r="C405">
        <v>8</v>
      </c>
      <c r="D405">
        <f>COUNTIF(WeeklyPicks!$D$42:$F$51,C405)</f>
        <v>0</v>
      </c>
    </row>
    <row r="406" spans="1:4" x14ac:dyDescent="0.3">
      <c r="A406">
        <v>5</v>
      </c>
      <c r="B406" t="s">
        <v>57</v>
      </c>
      <c r="C406">
        <v>9</v>
      </c>
      <c r="D406">
        <f>COUNTIF(WeeklyPicks!$D$42:$F$51,C406)</f>
        <v>1</v>
      </c>
    </row>
    <row r="407" spans="1:4" x14ac:dyDescent="0.3">
      <c r="A407">
        <v>5</v>
      </c>
      <c r="B407" t="s">
        <v>57</v>
      </c>
      <c r="C407">
        <v>10</v>
      </c>
      <c r="D407">
        <f>COUNTIF(WeeklyPicks!$D$42:$F$51,C407)</f>
        <v>0</v>
      </c>
    </row>
    <row r="408" spans="1:4" x14ac:dyDescent="0.3">
      <c r="A408">
        <v>5</v>
      </c>
      <c r="B408" t="s">
        <v>57</v>
      </c>
      <c r="C408">
        <v>11</v>
      </c>
      <c r="D408">
        <f>COUNTIF(WeeklyPicks!$D$42:$F$51,C408)</f>
        <v>4</v>
      </c>
    </row>
    <row r="409" spans="1:4" x14ac:dyDescent="0.3">
      <c r="A409">
        <v>5</v>
      </c>
      <c r="B409" t="s">
        <v>57</v>
      </c>
      <c r="C409">
        <v>12</v>
      </c>
      <c r="D409">
        <f>COUNTIF(WeeklyPicks!$D$42:$F$51,C409)</f>
        <v>2</v>
      </c>
    </row>
    <row r="410" spans="1:4" x14ac:dyDescent="0.3">
      <c r="A410">
        <v>5</v>
      </c>
      <c r="B410" t="s">
        <v>57</v>
      </c>
      <c r="C410">
        <v>13</v>
      </c>
      <c r="D410">
        <f>COUNTIF(WeeklyPicks!$D$42:$F$51,C410)</f>
        <v>0</v>
      </c>
    </row>
    <row r="411" spans="1:4" x14ac:dyDescent="0.3">
      <c r="A411">
        <v>5</v>
      </c>
      <c r="B411" t="s">
        <v>57</v>
      </c>
      <c r="C411">
        <v>14</v>
      </c>
      <c r="D411">
        <f>COUNTIF(WeeklyPicks!$D$42:$F$51,C411)</f>
        <v>0</v>
      </c>
    </row>
    <row r="412" spans="1:4" x14ac:dyDescent="0.3">
      <c r="A412">
        <v>5</v>
      </c>
      <c r="B412" t="s">
        <v>57</v>
      </c>
      <c r="C412">
        <v>15</v>
      </c>
      <c r="D412">
        <f>COUNTIF(WeeklyPicks!$D$42:$F$51,C412)</f>
        <v>0</v>
      </c>
    </row>
    <row r="413" spans="1:4" x14ac:dyDescent="0.3">
      <c r="A413">
        <v>5</v>
      </c>
      <c r="B413" t="s">
        <v>57</v>
      </c>
      <c r="C413">
        <v>16</v>
      </c>
      <c r="D413">
        <f>COUNTIF(WeeklyPicks!$D$42:$F$51,C413)</f>
        <v>0</v>
      </c>
    </row>
    <row r="414" spans="1:4" x14ac:dyDescent="0.3">
      <c r="A414">
        <v>5</v>
      </c>
      <c r="B414" t="s">
        <v>57</v>
      </c>
      <c r="C414">
        <v>17</v>
      </c>
      <c r="D414">
        <f>COUNTIF(WeeklyPicks!$D$42:$F$51,C414)</f>
        <v>0</v>
      </c>
    </row>
    <row r="415" spans="1:4" x14ac:dyDescent="0.3">
      <c r="A415">
        <v>5</v>
      </c>
      <c r="B415" t="s">
        <v>57</v>
      </c>
      <c r="C415">
        <v>18</v>
      </c>
      <c r="D415">
        <f>COUNTIF(WeeklyPicks!$D$42:$F$51,C415)</f>
        <v>0</v>
      </c>
    </row>
    <row r="416" spans="1:4" x14ac:dyDescent="0.3">
      <c r="A416">
        <v>5</v>
      </c>
      <c r="B416" t="s">
        <v>57</v>
      </c>
      <c r="C416">
        <v>19</v>
      </c>
      <c r="D416">
        <f>COUNTIF(WeeklyPicks!$D$42:$F$51,C416)</f>
        <v>0</v>
      </c>
    </row>
    <row r="417" spans="1:4" x14ac:dyDescent="0.3">
      <c r="A417">
        <v>5</v>
      </c>
      <c r="B417" t="s">
        <v>57</v>
      </c>
      <c r="C417">
        <v>20</v>
      </c>
      <c r="D417">
        <f>COUNTIF(WeeklyPicks!$D$42:$F$51,C417)</f>
        <v>3</v>
      </c>
    </row>
    <row r="418" spans="1:4" x14ac:dyDescent="0.3">
      <c r="A418">
        <v>5</v>
      </c>
      <c r="B418" t="s">
        <v>57</v>
      </c>
      <c r="C418">
        <v>21</v>
      </c>
      <c r="D418">
        <f>COUNTIF(WeeklyPicks!$D$42:$F$51,C418)</f>
        <v>0</v>
      </c>
    </row>
    <row r="419" spans="1:4" x14ac:dyDescent="0.3">
      <c r="A419">
        <v>5</v>
      </c>
      <c r="B419" t="s">
        <v>57</v>
      </c>
      <c r="C419">
        <v>22</v>
      </c>
      <c r="D419">
        <f>COUNTIF(WeeklyPicks!$D$42:$F$51,C419)</f>
        <v>0</v>
      </c>
    </row>
    <row r="420" spans="1:4" x14ac:dyDescent="0.3">
      <c r="A420">
        <v>5</v>
      </c>
      <c r="B420" t="s">
        <v>57</v>
      </c>
      <c r="C420">
        <v>23</v>
      </c>
      <c r="D420">
        <f>COUNTIF(WeeklyPicks!$D$42:$F$51,C420)</f>
        <v>3</v>
      </c>
    </row>
    <row r="421" spans="1:4" x14ac:dyDescent="0.3">
      <c r="A421">
        <v>5</v>
      </c>
      <c r="B421" t="s">
        <v>57</v>
      </c>
      <c r="C421">
        <v>24</v>
      </c>
      <c r="D421">
        <f>COUNTIF(WeeklyPicks!$D$42:$F$51,C421)</f>
        <v>1</v>
      </c>
    </row>
    <row r="422" spans="1:4" x14ac:dyDescent="0.3">
      <c r="A422">
        <v>5</v>
      </c>
      <c r="B422" t="s">
        <v>57</v>
      </c>
      <c r="C422">
        <v>25</v>
      </c>
      <c r="D422">
        <f>COUNTIF(WeeklyPicks!$D$42:$F$51,C422)</f>
        <v>0</v>
      </c>
    </row>
    <row r="423" spans="1:4" x14ac:dyDescent="0.3">
      <c r="A423">
        <v>5</v>
      </c>
      <c r="B423" t="s">
        <v>57</v>
      </c>
      <c r="C423">
        <v>26</v>
      </c>
      <c r="D423">
        <f>COUNTIF(WeeklyPicks!$D$42:$F$51,C423)</f>
        <v>0</v>
      </c>
    </row>
    <row r="424" spans="1:4" x14ac:dyDescent="0.3">
      <c r="A424">
        <v>5</v>
      </c>
      <c r="B424" t="s">
        <v>57</v>
      </c>
      <c r="C424">
        <v>27</v>
      </c>
      <c r="D424">
        <f>COUNTIF(WeeklyPicks!$D$42:$F$51,C424)</f>
        <v>0</v>
      </c>
    </row>
    <row r="425" spans="1:4" x14ac:dyDescent="0.3">
      <c r="A425">
        <v>5</v>
      </c>
      <c r="B425" t="s">
        <v>57</v>
      </c>
      <c r="C425">
        <v>28</v>
      </c>
      <c r="D425">
        <f>COUNTIF(WeeklyPicks!$D$42:$F$51,C425)</f>
        <v>0</v>
      </c>
    </row>
    <row r="426" spans="1:4" x14ac:dyDescent="0.3">
      <c r="A426">
        <v>5</v>
      </c>
      <c r="B426" t="s">
        <v>57</v>
      </c>
      <c r="C426">
        <v>29</v>
      </c>
      <c r="D426">
        <f>COUNTIF(WeeklyPicks!$D$42:$F$51,C426)</f>
        <v>0</v>
      </c>
    </row>
    <row r="427" spans="1:4" x14ac:dyDescent="0.3">
      <c r="A427">
        <v>5</v>
      </c>
      <c r="B427" t="s">
        <v>57</v>
      </c>
      <c r="C427">
        <v>30</v>
      </c>
      <c r="D427">
        <f>COUNTIF(WeeklyPicks!$D$42:$F$51,C427)</f>
        <v>0</v>
      </c>
    </row>
    <row r="428" spans="1:4" x14ac:dyDescent="0.3">
      <c r="A428">
        <v>5</v>
      </c>
      <c r="B428" t="s">
        <v>57</v>
      </c>
      <c r="C428">
        <v>31</v>
      </c>
      <c r="D428">
        <f>COUNTIF(WeeklyPicks!$D$42:$F$51,C428)</f>
        <v>0</v>
      </c>
    </row>
    <row r="429" spans="1:4" x14ac:dyDescent="0.3">
      <c r="A429">
        <v>5</v>
      </c>
      <c r="B429" t="s">
        <v>57</v>
      </c>
      <c r="C429">
        <v>32</v>
      </c>
      <c r="D429">
        <f>COUNTIF(WeeklyPicks!$D$42:$F$51,C429)</f>
        <v>0</v>
      </c>
    </row>
    <row r="430" spans="1:4" x14ac:dyDescent="0.3">
      <c r="A430">
        <v>5</v>
      </c>
      <c r="B430" t="s">
        <v>57</v>
      </c>
      <c r="C430">
        <v>33</v>
      </c>
      <c r="D430">
        <f>COUNTIF(WeeklyPicks!$D$42:$F$51,C430)</f>
        <v>0</v>
      </c>
    </row>
    <row r="431" spans="1:4" x14ac:dyDescent="0.3">
      <c r="A431">
        <v>5</v>
      </c>
      <c r="B431" t="s">
        <v>57</v>
      </c>
      <c r="C431">
        <v>34</v>
      </c>
      <c r="D431">
        <f>COUNTIF(WeeklyPicks!$D$42:$F$51,C431)</f>
        <v>0</v>
      </c>
    </row>
    <row r="432" spans="1:4" x14ac:dyDescent="0.3">
      <c r="A432">
        <v>5</v>
      </c>
      <c r="B432" t="s">
        <v>57</v>
      </c>
      <c r="C432">
        <v>35</v>
      </c>
      <c r="D432">
        <f>COUNTIF(WeeklyPicks!$D$42:$F$51,C432)</f>
        <v>0</v>
      </c>
    </row>
    <row r="433" spans="1:4" x14ac:dyDescent="0.3">
      <c r="A433">
        <v>5</v>
      </c>
      <c r="B433" t="s">
        <v>57</v>
      </c>
      <c r="C433">
        <v>36</v>
      </c>
      <c r="D433">
        <f>COUNTIF(WeeklyPicks!$D$42:$F$51,C433)</f>
        <v>0</v>
      </c>
    </row>
    <row r="434" spans="1:4" x14ac:dyDescent="0.3">
      <c r="A434">
        <v>5</v>
      </c>
      <c r="B434" t="s">
        <v>57</v>
      </c>
      <c r="C434">
        <v>37</v>
      </c>
      <c r="D434">
        <f>COUNTIF(WeeklyPicks!$D$42:$F$51,C434)</f>
        <v>0</v>
      </c>
    </row>
    <row r="435" spans="1:4" x14ac:dyDescent="0.3">
      <c r="A435">
        <v>5</v>
      </c>
      <c r="B435" t="s">
        <v>57</v>
      </c>
      <c r="C435">
        <v>38</v>
      </c>
      <c r="D435">
        <f>COUNTIF(WeeklyPicks!$D$42:$F$51,C435)</f>
        <v>0</v>
      </c>
    </row>
    <row r="436" spans="1:4" x14ac:dyDescent="0.3">
      <c r="A436">
        <v>5</v>
      </c>
      <c r="B436" t="s">
        <v>57</v>
      </c>
      <c r="C436">
        <v>39</v>
      </c>
      <c r="D436">
        <f>COUNTIF(WeeklyPicks!$D$42:$F$51,C436)</f>
        <v>0</v>
      </c>
    </row>
    <row r="437" spans="1:4" x14ac:dyDescent="0.3">
      <c r="A437">
        <v>5</v>
      </c>
      <c r="B437" t="s">
        <v>57</v>
      </c>
      <c r="C437">
        <v>40</v>
      </c>
      <c r="D437">
        <f>COUNTIF(WeeklyPicks!$D$42:$F$51,C437)</f>
        <v>0</v>
      </c>
    </row>
    <row r="438" spans="1:4" x14ac:dyDescent="0.3">
      <c r="A438">
        <v>5</v>
      </c>
      <c r="B438" t="s">
        <v>57</v>
      </c>
      <c r="C438">
        <v>41</v>
      </c>
      <c r="D438">
        <f>COUNTIF(WeeklyPicks!$D$42:$F$51,C438)</f>
        <v>0</v>
      </c>
    </row>
    <row r="439" spans="1:4" x14ac:dyDescent="0.3">
      <c r="A439">
        <v>5</v>
      </c>
      <c r="B439" t="s">
        <v>57</v>
      </c>
      <c r="C439">
        <v>42</v>
      </c>
      <c r="D439">
        <f>COUNTIF(WeeklyPicks!$D$42:$F$51,C439)</f>
        <v>0</v>
      </c>
    </row>
    <row r="440" spans="1:4" x14ac:dyDescent="0.3">
      <c r="A440">
        <v>5</v>
      </c>
      <c r="B440" t="s">
        <v>57</v>
      </c>
      <c r="C440">
        <v>43</v>
      </c>
      <c r="D440">
        <f>COUNTIF(WeeklyPicks!$D$42:$F$51,C440)</f>
        <v>0</v>
      </c>
    </row>
    <row r="441" spans="1:4" x14ac:dyDescent="0.3">
      <c r="A441">
        <v>5</v>
      </c>
      <c r="B441" t="s">
        <v>57</v>
      </c>
      <c r="C441">
        <v>44</v>
      </c>
      <c r="D441">
        <f>COUNTIF(WeeklyPicks!$D$42:$F$51,C441)</f>
        <v>0</v>
      </c>
    </row>
    <row r="442" spans="1:4" x14ac:dyDescent="0.3">
      <c r="A442">
        <v>5</v>
      </c>
      <c r="B442" t="s">
        <v>57</v>
      </c>
      <c r="C442">
        <v>45</v>
      </c>
      <c r="D442">
        <f>COUNTIF(WeeklyPicks!$D$42:$F$51,C442)</f>
        <v>3</v>
      </c>
    </row>
    <row r="443" spans="1:4" x14ac:dyDescent="0.3">
      <c r="A443">
        <v>5</v>
      </c>
      <c r="B443" t="s">
        <v>57</v>
      </c>
      <c r="C443">
        <v>46</v>
      </c>
      <c r="D443">
        <f>COUNTIF(WeeklyPicks!$D$42:$F$51,C443)</f>
        <v>0</v>
      </c>
    </row>
    <row r="444" spans="1:4" x14ac:dyDescent="0.3">
      <c r="A444">
        <v>5</v>
      </c>
      <c r="B444" t="s">
        <v>57</v>
      </c>
      <c r="C444">
        <v>47</v>
      </c>
      <c r="D444">
        <f>COUNTIF(WeeklyPicks!$D$42:$F$51,C444)</f>
        <v>0</v>
      </c>
    </row>
    <row r="445" spans="1:4" x14ac:dyDescent="0.3">
      <c r="A445">
        <v>5</v>
      </c>
      <c r="B445" t="s">
        <v>57</v>
      </c>
      <c r="C445">
        <v>48</v>
      </c>
      <c r="D445">
        <f>COUNTIF(WeeklyPicks!$D$42:$F$51,C445)</f>
        <v>0</v>
      </c>
    </row>
    <row r="446" spans="1:4" x14ac:dyDescent="0.3">
      <c r="A446">
        <v>5</v>
      </c>
      <c r="B446" t="s">
        <v>57</v>
      </c>
      <c r="C446">
        <v>49</v>
      </c>
      <c r="D446">
        <f>COUNTIF(WeeklyPicks!$D$42:$F$51,C446)</f>
        <v>0</v>
      </c>
    </row>
    <row r="447" spans="1:4" x14ac:dyDescent="0.3">
      <c r="A447">
        <v>5</v>
      </c>
      <c r="B447" t="s">
        <v>57</v>
      </c>
      <c r="C447">
        <v>50</v>
      </c>
      <c r="D447">
        <f>COUNTIF(WeeklyPicks!$D$42:$F$51,C447)</f>
        <v>0</v>
      </c>
    </row>
    <row r="448" spans="1:4" x14ac:dyDescent="0.3">
      <c r="A448">
        <v>5</v>
      </c>
      <c r="B448" t="s">
        <v>57</v>
      </c>
      <c r="C448">
        <v>51</v>
      </c>
      <c r="D448">
        <f>COUNTIF(WeeklyPicks!$D$42:$F$51,C448)</f>
        <v>0</v>
      </c>
    </row>
    <row r="449" spans="1:4" x14ac:dyDescent="0.3">
      <c r="A449">
        <v>5</v>
      </c>
      <c r="B449" t="s">
        <v>57</v>
      </c>
      <c r="C449">
        <v>52</v>
      </c>
      <c r="D449">
        <f>COUNTIF(WeeklyPicks!$D$42:$F$51,C449)</f>
        <v>0</v>
      </c>
    </row>
    <row r="450" spans="1:4" x14ac:dyDescent="0.3">
      <c r="A450">
        <v>5</v>
      </c>
      <c r="B450" t="s">
        <v>57</v>
      </c>
      <c r="C450">
        <v>53</v>
      </c>
      <c r="D450">
        <f>COUNTIF(WeeklyPicks!$D$42:$F$51,C450)</f>
        <v>0</v>
      </c>
    </row>
    <row r="451" spans="1:4" x14ac:dyDescent="0.3">
      <c r="A451">
        <v>5</v>
      </c>
      <c r="B451" t="s">
        <v>57</v>
      </c>
      <c r="C451">
        <v>54</v>
      </c>
      <c r="D451">
        <f>COUNTIF(WeeklyPicks!$D$42:$F$51,C451)</f>
        <v>0</v>
      </c>
    </row>
    <row r="452" spans="1:4" x14ac:dyDescent="0.3">
      <c r="A452">
        <v>5</v>
      </c>
      <c r="B452" t="s">
        <v>57</v>
      </c>
      <c r="C452">
        <v>55</v>
      </c>
      <c r="D452">
        <f>COUNTIF(WeeklyPicks!$D$42:$F$51,C452)</f>
        <v>0</v>
      </c>
    </row>
    <row r="453" spans="1:4" x14ac:dyDescent="0.3">
      <c r="A453">
        <v>5</v>
      </c>
      <c r="B453" t="s">
        <v>57</v>
      </c>
      <c r="C453">
        <v>56</v>
      </c>
      <c r="D453">
        <f>COUNTIF(WeeklyPicks!$D$42:$F$51,C453)</f>
        <v>0</v>
      </c>
    </row>
    <row r="454" spans="1:4" x14ac:dyDescent="0.3">
      <c r="A454">
        <v>5</v>
      </c>
      <c r="B454" t="s">
        <v>57</v>
      </c>
      <c r="C454">
        <v>57</v>
      </c>
      <c r="D454">
        <f>COUNTIF(WeeklyPicks!$D$42:$F$51,C454)</f>
        <v>0</v>
      </c>
    </row>
    <row r="455" spans="1:4" x14ac:dyDescent="0.3">
      <c r="A455">
        <v>5</v>
      </c>
      <c r="B455" t="s">
        <v>57</v>
      </c>
      <c r="C455">
        <v>58</v>
      </c>
      <c r="D455">
        <f>COUNTIF(WeeklyPicks!$D$42:$F$51,C455)</f>
        <v>0</v>
      </c>
    </row>
    <row r="456" spans="1:4" x14ac:dyDescent="0.3">
      <c r="A456">
        <v>5</v>
      </c>
      <c r="B456" t="s">
        <v>57</v>
      </c>
      <c r="C456">
        <v>59</v>
      </c>
      <c r="D456">
        <f>COUNTIF(WeeklyPicks!$D$42:$F$51,C456)</f>
        <v>0</v>
      </c>
    </row>
    <row r="457" spans="1:4" x14ac:dyDescent="0.3">
      <c r="A457">
        <v>5</v>
      </c>
      <c r="B457" t="s">
        <v>57</v>
      </c>
      <c r="C457">
        <v>60</v>
      </c>
      <c r="D457">
        <f>COUNTIF(WeeklyPicks!$D$42:$F$51,C457)</f>
        <v>0</v>
      </c>
    </row>
    <row r="458" spans="1:4" x14ac:dyDescent="0.3">
      <c r="A458">
        <v>5</v>
      </c>
      <c r="B458" t="s">
        <v>57</v>
      </c>
      <c r="C458">
        <v>61</v>
      </c>
      <c r="D458">
        <f>COUNTIF(WeeklyPicks!$D$42:$F$51,C458)</f>
        <v>0</v>
      </c>
    </row>
    <row r="459" spans="1:4" x14ac:dyDescent="0.3">
      <c r="A459">
        <v>5</v>
      </c>
      <c r="B459" t="s">
        <v>57</v>
      </c>
      <c r="C459">
        <v>62</v>
      </c>
      <c r="D459">
        <f>COUNTIF(WeeklyPicks!$D$42:$F$51,C459)</f>
        <v>0</v>
      </c>
    </row>
    <row r="460" spans="1:4" x14ac:dyDescent="0.3">
      <c r="A460">
        <v>5</v>
      </c>
      <c r="B460" t="s">
        <v>57</v>
      </c>
      <c r="C460">
        <v>63</v>
      </c>
      <c r="D460">
        <f>COUNTIF(WeeklyPicks!$D$42:$F$51,C460)</f>
        <v>0</v>
      </c>
    </row>
    <row r="461" spans="1:4" x14ac:dyDescent="0.3">
      <c r="A461">
        <v>5</v>
      </c>
      <c r="B461" t="s">
        <v>57</v>
      </c>
      <c r="C461">
        <v>64</v>
      </c>
      <c r="D461">
        <f>COUNTIF(WeeklyPicks!$D$42:$F$51,C461)</f>
        <v>0</v>
      </c>
    </row>
    <row r="462" spans="1:4" x14ac:dyDescent="0.3">
      <c r="A462">
        <v>5</v>
      </c>
      <c r="B462" t="s">
        <v>57</v>
      </c>
      <c r="C462">
        <v>65</v>
      </c>
      <c r="D462">
        <f>COUNTIF(WeeklyPicks!$D$42:$F$51,C462)</f>
        <v>0</v>
      </c>
    </row>
    <row r="463" spans="1:4" x14ac:dyDescent="0.3">
      <c r="A463">
        <v>5</v>
      </c>
      <c r="B463" t="s">
        <v>57</v>
      </c>
      <c r="C463">
        <v>66</v>
      </c>
      <c r="D463">
        <f>COUNTIF(WeeklyPicks!$D$42:$F$51,C463)</f>
        <v>0</v>
      </c>
    </row>
    <row r="464" spans="1:4" x14ac:dyDescent="0.3">
      <c r="A464">
        <v>5</v>
      </c>
      <c r="B464" t="s">
        <v>57</v>
      </c>
      <c r="C464">
        <v>67</v>
      </c>
      <c r="D464">
        <f>COUNTIF(WeeklyPicks!$D$42:$F$51,C464)</f>
        <v>0</v>
      </c>
    </row>
    <row r="465" spans="1:4" x14ac:dyDescent="0.3">
      <c r="A465">
        <v>5</v>
      </c>
      <c r="B465" t="s">
        <v>57</v>
      </c>
      <c r="C465">
        <v>68</v>
      </c>
      <c r="D465">
        <f>COUNTIF(WeeklyPicks!$D$42:$F$51,C465)</f>
        <v>0</v>
      </c>
    </row>
    <row r="466" spans="1:4" x14ac:dyDescent="0.3">
      <c r="A466">
        <v>5</v>
      </c>
      <c r="B466" t="s">
        <v>57</v>
      </c>
      <c r="C466">
        <v>69</v>
      </c>
      <c r="D466">
        <f>COUNTIF(WeeklyPicks!$D$42:$F$51,C466)</f>
        <v>0</v>
      </c>
    </row>
    <row r="467" spans="1:4" x14ac:dyDescent="0.3">
      <c r="A467">
        <v>5</v>
      </c>
      <c r="B467" t="s">
        <v>57</v>
      </c>
      <c r="C467">
        <v>70</v>
      </c>
      <c r="D467">
        <f>COUNTIF(WeeklyPicks!$D$42:$F$51,C467)</f>
        <v>0</v>
      </c>
    </row>
    <row r="468" spans="1:4" x14ac:dyDescent="0.3">
      <c r="A468">
        <v>5</v>
      </c>
      <c r="B468" t="s">
        <v>57</v>
      </c>
      <c r="C468">
        <v>71</v>
      </c>
      <c r="D468">
        <f>COUNTIF(WeeklyPicks!$D$42:$F$51,C468)</f>
        <v>0</v>
      </c>
    </row>
    <row r="469" spans="1:4" x14ac:dyDescent="0.3">
      <c r="A469">
        <v>5</v>
      </c>
      <c r="B469" t="s">
        <v>57</v>
      </c>
      <c r="C469">
        <v>72</v>
      </c>
      <c r="D469">
        <f>COUNTIF(WeeklyPicks!$D$42:$F$51,C469)</f>
        <v>0</v>
      </c>
    </row>
    <row r="470" spans="1:4" x14ac:dyDescent="0.3">
      <c r="A470">
        <v>5</v>
      </c>
      <c r="B470" t="s">
        <v>57</v>
      </c>
      <c r="C470">
        <v>73</v>
      </c>
      <c r="D470">
        <f>COUNTIF(WeeklyPicks!$D$42:$F$51,C470)</f>
        <v>0</v>
      </c>
    </row>
    <row r="471" spans="1:4" x14ac:dyDescent="0.3">
      <c r="A471">
        <v>5</v>
      </c>
      <c r="B471" t="s">
        <v>57</v>
      </c>
      <c r="C471">
        <v>74</v>
      </c>
      <c r="D471">
        <f>COUNTIF(WeeklyPicks!$D$42:$F$51,C471)</f>
        <v>0</v>
      </c>
    </row>
    <row r="472" spans="1:4" x14ac:dyDescent="0.3">
      <c r="A472">
        <v>5</v>
      </c>
      <c r="B472" t="s">
        <v>57</v>
      </c>
      <c r="C472">
        <v>75</v>
      </c>
      <c r="D472">
        <f>COUNTIF(WeeklyPicks!$D$42:$F$51,C472)</f>
        <v>0</v>
      </c>
    </row>
    <row r="473" spans="1:4" x14ac:dyDescent="0.3">
      <c r="A473">
        <v>5</v>
      </c>
      <c r="B473" t="s">
        <v>57</v>
      </c>
      <c r="C473">
        <v>76</v>
      </c>
      <c r="D473">
        <f>COUNTIF(WeeklyPicks!$D$42:$F$51,C473)</f>
        <v>0</v>
      </c>
    </row>
    <row r="474" spans="1:4" x14ac:dyDescent="0.3">
      <c r="A474">
        <v>5</v>
      </c>
      <c r="B474" t="s">
        <v>57</v>
      </c>
      <c r="C474">
        <v>77</v>
      </c>
      <c r="D474">
        <f>COUNTIF(WeeklyPicks!$D$42:$F$51,C474)</f>
        <v>0</v>
      </c>
    </row>
    <row r="475" spans="1:4" x14ac:dyDescent="0.3">
      <c r="A475">
        <v>5</v>
      </c>
      <c r="B475" t="s">
        <v>57</v>
      </c>
      <c r="C475">
        <v>78</v>
      </c>
      <c r="D475">
        <f>COUNTIF(WeeklyPicks!$D$42:$F$51,C475)</f>
        <v>0</v>
      </c>
    </row>
    <row r="476" spans="1:4" x14ac:dyDescent="0.3">
      <c r="A476">
        <v>5</v>
      </c>
      <c r="B476" t="s">
        <v>57</v>
      </c>
      <c r="C476">
        <v>79</v>
      </c>
      <c r="D476">
        <f>COUNTIF(WeeklyPicks!$D$42:$F$51,C476)</f>
        <v>0</v>
      </c>
    </row>
    <row r="477" spans="1:4" x14ac:dyDescent="0.3">
      <c r="A477">
        <v>5</v>
      </c>
      <c r="B477" t="s">
        <v>57</v>
      </c>
      <c r="C477">
        <v>80</v>
      </c>
      <c r="D477">
        <f>COUNTIF(WeeklyPicks!$D$42:$F$51,C477)</f>
        <v>0</v>
      </c>
    </row>
    <row r="478" spans="1:4" x14ac:dyDescent="0.3">
      <c r="A478">
        <v>5</v>
      </c>
      <c r="B478" t="s">
        <v>57</v>
      </c>
      <c r="C478">
        <v>81</v>
      </c>
      <c r="D478">
        <f>COUNTIF(WeeklyPicks!$D$42:$F$51,C478)</f>
        <v>0</v>
      </c>
    </row>
    <row r="479" spans="1:4" x14ac:dyDescent="0.3">
      <c r="A479">
        <v>5</v>
      </c>
      <c r="B479" t="s">
        <v>57</v>
      </c>
      <c r="C479">
        <v>82</v>
      </c>
      <c r="D479">
        <f>COUNTIF(WeeklyPicks!$D$42:$F$51,C479)</f>
        <v>0</v>
      </c>
    </row>
    <row r="480" spans="1:4" x14ac:dyDescent="0.3">
      <c r="A480">
        <v>5</v>
      </c>
      <c r="B480" t="s">
        <v>57</v>
      </c>
      <c r="C480">
        <v>83</v>
      </c>
      <c r="D480">
        <f>COUNTIF(WeeklyPicks!$D$42:$F$51,C480)</f>
        <v>0</v>
      </c>
    </row>
    <row r="481" spans="1:4" x14ac:dyDescent="0.3">
      <c r="A481">
        <v>5</v>
      </c>
      <c r="B481" t="s">
        <v>57</v>
      </c>
      <c r="C481">
        <v>84</v>
      </c>
      <c r="D481">
        <f>COUNTIF(WeeklyPicks!$D$42:$F$51,C481)</f>
        <v>0</v>
      </c>
    </row>
    <row r="482" spans="1:4" x14ac:dyDescent="0.3">
      <c r="A482">
        <v>5</v>
      </c>
      <c r="B482" t="s">
        <v>57</v>
      </c>
      <c r="C482">
        <v>85</v>
      </c>
      <c r="D482">
        <f>COUNTIF(WeeklyPicks!$D$42:$F$51,C482)</f>
        <v>0</v>
      </c>
    </row>
    <row r="483" spans="1:4" x14ac:dyDescent="0.3">
      <c r="A483">
        <v>5</v>
      </c>
      <c r="B483" t="s">
        <v>57</v>
      </c>
      <c r="C483">
        <v>86</v>
      </c>
      <c r="D483">
        <f>COUNTIF(WeeklyPicks!$D$42:$F$51,C483)</f>
        <v>0</v>
      </c>
    </row>
    <row r="484" spans="1:4" x14ac:dyDescent="0.3">
      <c r="A484">
        <v>5</v>
      </c>
      <c r="B484" t="s">
        <v>57</v>
      </c>
      <c r="C484">
        <v>87</v>
      </c>
      <c r="D484">
        <f>COUNTIF(WeeklyPicks!$D$42:$F$51,C484)</f>
        <v>0</v>
      </c>
    </row>
    <row r="485" spans="1:4" x14ac:dyDescent="0.3">
      <c r="A485">
        <v>5</v>
      </c>
      <c r="B485" t="s">
        <v>57</v>
      </c>
      <c r="C485">
        <v>88</v>
      </c>
      <c r="D485">
        <f>COUNTIF(WeeklyPicks!$D$42:$F$51,C485)</f>
        <v>0</v>
      </c>
    </row>
    <row r="486" spans="1:4" x14ac:dyDescent="0.3">
      <c r="A486">
        <v>5</v>
      </c>
      <c r="B486" t="s">
        <v>57</v>
      </c>
      <c r="C486">
        <v>89</v>
      </c>
      <c r="D486">
        <f>COUNTIF(WeeklyPicks!$D$42:$F$51,C486)</f>
        <v>0</v>
      </c>
    </row>
    <row r="487" spans="1:4" x14ac:dyDescent="0.3">
      <c r="A487">
        <v>5</v>
      </c>
      <c r="B487" t="s">
        <v>57</v>
      </c>
      <c r="C487">
        <v>90</v>
      </c>
      <c r="D487">
        <f>COUNTIF(WeeklyPicks!$D$42:$F$51,C487)</f>
        <v>0</v>
      </c>
    </row>
    <row r="488" spans="1:4" x14ac:dyDescent="0.3">
      <c r="A488">
        <v>5</v>
      </c>
      <c r="B488" t="s">
        <v>57</v>
      </c>
      <c r="C488">
        <v>91</v>
      </c>
      <c r="D488">
        <f>COUNTIF(WeeklyPicks!$D$42:$F$51,C488)</f>
        <v>0</v>
      </c>
    </row>
    <row r="489" spans="1:4" x14ac:dyDescent="0.3">
      <c r="A489">
        <v>5</v>
      </c>
      <c r="B489" t="s">
        <v>57</v>
      </c>
      <c r="C489">
        <v>92</v>
      </c>
      <c r="D489">
        <f>COUNTIF(WeeklyPicks!$D$42:$F$51,C489)</f>
        <v>0</v>
      </c>
    </row>
    <row r="490" spans="1:4" x14ac:dyDescent="0.3">
      <c r="A490">
        <v>5</v>
      </c>
      <c r="B490" t="s">
        <v>57</v>
      </c>
      <c r="C490">
        <v>93</v>
      </c>
      <c r="D490">
        <f>COUNTIF(WeeklyPicks!$D$42:$F$51,C490)</f>
        <v>0</v>
      </c>
    </row>
    <row r="491" spans="1:4" x14ac:dyDescent="0.3">
      <c r="A491">
        <v>5</v>
      </c>
      <c r="B491" t="s">
        <v>57</v>
      </c>
      <c r="C491">
        <v>94</v>
      </c>
      <c r="D491">
        <f>COUNTIF(WeeklyPicks!$D$42:$F$51,C491)</f>
        <v>0</v>
      </c>
    </row>
    <row r="492" spans="1:4" x14ac:dyDescent="0.3">
      <c r="A492">
        <v>5</v>
      </c>
      <c r="B492" t="s">
        <v>57</v>
      </c>
      <c r="C492">
        <v>95</v>
      </c>
      <c r="D492">
        <f>COUNTIF(WeeklyPicks!$D$42:$F$51,C492)</f>
        <v>0</v>
      </c>
    </row>
    <row r="493" spans="1:4" x14ac:dyDescent="0.3">
      <c r="A493">
        <v>5</v>
      </c>
      <c r="B493" t="s">
        <v>57</v>
      </c>
      <c r="C493">
        <v>96</v>
      </c>
      <c r="D493">
        <f>COUNTIF(WeeklyPicks!$D$42:$F$51,C493)</f>
        <v>0</v>
      </c>
    </row>
    <row r="494" spans="1:4" x14ac:dyDescent="0.3">
      <c r="A494">
        <v>5</v>
      </c>
      <c r="B494" t="s">
        <v>57</v>
      </c>
      <c r="C494">
        <v>97</v>
      </c>
      <c r="D494">
        <f>COUNTIF(WeeklyPicks!$D$42:$F$51,C494)</f>
        <v>0</v>
      </c>
    </row>
    <row r="495" spans="1:4" x14ac:dyDescent="0.3">
      <c r="A495">
        <v>5</v>
      </c>
      <c r="B495" t="s">
        <v>57</v>
      </c>
      <c r="C495">
        <v>98</v>
      </c>
      <c r="D495">
        <f>COUNTIF(WeeklyPicks!$D$42:$F$51,C495)</f>
        <v>0</v>
      </c>
    </row>
    <row r="496" spans="1:4" x14ac:dyDescent="0.3">
      <c r="A496">
        <v>5</v>
      </c>
      <c r="B496" t="s">
        <v>57</v>
      </c>
      <c r="C496">
        <v>99</v>
      </c>
      <c r="D496">
        <f>COUNTIF(WeeklyPicks!$D$42:$F$51,C496)</f>
        <v>0</v>
      </c>
    </row>
    <row r="497" spans="1:4" x14ac:dyDescent="0.3">
      <c r="A497">
        <v>6</v>
      </c>
      <c r="B497" t="s">
        <v>59</v>
      </c>
      <c r="C497">
        <v>1</v>
      </c>
      <c r="D497">
        <f>COUNTIF(WeeklyPicks!$D$52:$F$61,C497)</f>
        <v>0</v>
      </c>
    </row>
    <row r="498" spans="1:4" x14ac:dyDescent="0.3">
      <c r="A498">
        <v>6</v>
      </c>
      <c r="B498" t="s">
        <v>59</v>
      </c>
      <c r="C498">
        <v>2</v>
      </c>
      <c r="D498">
        <f>COUNTIF(WeeklyPicks!$D$52:$F$61,C498)</f>
        <v>0</v>
      </c>
    </row>
    <row r="499" spans="1:4" x14ac:dyDescent="0.3">
      <c r="A499">
        <v>6</v>
      </c>
      <c r="B499" t="s">
        <v>59</v>
      </c>
      <c r="C499">
        <v>3</v>
      </c>
      <c r="D499">
        <f>COUNTIF(WeeklyPicks!$D$52:$F$61,C499)</f>
        <v>0</v>
      </c>
    </row>
    <row r="500" spans="1:4" x14ac:dyDescent="0.3">
      <c r="A500">
        <v>6</v>
      </c>
      <c r="B500" t="s">
        <v>59</v>
      </c>
      <c r="C500">
        <v>4</v>
      </c>
      <c r="D500">
        <f>COUNTIF(WeeklyPicks!$D$52:$F$61,C500)</f>
        <v>0</v>
      </c>
    </row>
    <row r="501" spans="1:4" x14ac:dyDescent="0.3">
      <c r="A501">
        <v>6</v>
      </c>
      <c r="B501" t="s">
        <v>59</v>
      </c>
      <c r="C501">
        <v>5</v>
      </c>
      <c r="D501">
        <f>COUNTIF(WeeklyPicks!$D$52:$F$61,C501)</f>
        <v>4</v>
      </c>
    </row>
    <row r="502" spans="1:4" x14ac:dyDescent="0.3">
      <c r="A502">
        <v>6</v>
      </c>
      <c r="B502" t="s">
        <v>59</v>
      </c>
      <c r="C502">
        <v>6</v>
      </c>
      <c r="D502">
        <f>COUNTIF(WeeklyPicks!$D$52:$F$61,C502)</f>
        <v>0</v>
      </c>
    </row>
    <row r="503" spans="1:4" x14ac:dyDescent="0.3">
      <c r="A503">
        <v>6</v>
      </c>
      <c r="B503" t="s">
        <v>59</v>
      </c>
      <c r="C503">
        <v>7</v>
      </c>
      <c r="D503">
        <f>COUNTIF(WeeklyPicks!$D$52:$F$61,C503)</f>
        <v>0</v>
      </c>
    </row>
    <row r="504" spans="1:4" x14ac:dyDescent="0.3">
      <c r="A504">
        <v>6</v>
      </c>
      <c r="B504" t="s">
        <v>59</v>
      </c>
      <c r="C504">
        <v>8</v>
      </c>
      <c r="D504">
        <f>COUNTIF(WeeklyPicks!$D$52:$F$61,C504)</f>
        <v>0</v>
      </c>
    </row>
    <row r="505" spans="1:4" x14ac:dyDescent="0.3">
      <c r="A505">
        <v>6</v>
      </c>
      <c r="B505" t="s">
        <v>59</v>
      </c>
      <c r="C505">
        <v>9</v>
      </c>
      <c r="D505">
        <f>COUNTIF(WeeklyPicks!$D$52:$F$61,C505)</f>
        <v>1</v>
      </c>
    </row>
    <row r="506" spans="1:4" x14ac:dyDescent="0.3">
      <c r="A506">
        <v>6</v>
      </c>
      <c r="B506" t="s">
        <v>59</v>
      </c>
      <c r="C506">
        <v>10</v>
      </c>
      <c r="D506">
        <f>COUNTIF(WeeklyPicks!$D$52:$F$61,C506)</f>
        <v>0</v>
      </c>
    </row>
    <row r="507" spans="1:4" x14ac:dyDescent="0.3">
      <c r="A507">
        <v>6</v>
      </c>
      <c r="B507" t="s">
        <v>59</v>
      </c>
      <c r="C507">
        <v>11</v>
      </c>
      <c r="D507">
        <f>COUNTIF(WeeklyPicks!$D$52:$F$61,C507)</f>
        <v>7</v>
      </c>
    </row>
    <row r="508" spans="1:4" x14ac:dyDescent="0.3">
      <c r="A508">
        <v>6</v>
      </c>
      <c r="B508" t="s">
        <v>59</v>
      </c>
      <c r="C508">
        <v>12</v>
      </c>
      <c r="D508">
        <f>COUNTIF(WeeklyPicks!$D$52:$F$61,C508)</f>
        <v>3</v>
      </c>
    </row>
    <row r="509" spans="1:4" x14ac:dyDescent="0.3">
      <c r="A509">
        <v>6</v>
      </c>
      <c r="B509" t="s">
        <v>59</v>
      </c>
      <c r="C509">
        <v>13</v>
      </c>
      <c r="D509">
        <f>COUNTIF(WeeklyPicks!$D$52:$F$61,C509)</f>
        <v>0</v>
      </c>
    </row>
    <row r="510" spans="1:4" x14ac:dyDescent="0.3">
      <c r="A510">
        <v>6</v>
      </c>
      <c r="B510" t="s">
        <v>59</v>
      </c>
      <c r="C510">
        <v>14</v>
      </c>
      <c r="D510">
        <f>COUNTIF(WeeklyPicks!$D$52:$F$61,C510)</f>
        <v>0</v>
      </c>
    </row>
    <row r="511" spans="1:4" x14ac:dyDescent="0.3">
      <c r="A511">
        <v>6</v>
      </c>
      <c r="B511" t="s">
        <v>59</v>
      </c>
      <c r="C511">
        <v>15</v>
      </c>
      <c r="D511">
        <f>COUNTIF(WeeklyPicks!$D$52:$F$61,C511)</f>
        <v>0</v>
      </c>
    </row>
    <row r="512" spans="1:4" x14ac:dyDescent="0.3">
      <c r="A512">
        <v>6</v>
      </c>
      <c r="B512" t="s">
        <v>59</v>
      </c>
      <c r="C512">
        <v>16</v>
      </c>
      <c r="D512">
        <f>COUNTIF(WeeklyPicks!$D$52:$F$61,C512)</f>
        <v>0</v>
      </c>
    </row>
    <row r="513" spans="1:4" x14ac:dyDescent="0.3">
      <c r="A513">
        <v>6</v>
      </c>
      <c r="B513" t="s">
        <v>59</v>
      </c>
      <c r="C513">
        <v>17</v>
      </c>
      <c r="D513">
        <f>COUNTIF(WeeklyPicks!$D$52:$F$61,C513)</f>
        <v>1</v>
      </c>
    </row>
    <row r="514" spans="1:4" x14ac:dyDescent="0.3">
      <c r="A514">
        <v>6</v>
      </c>
      <c r="B514" t="s">
        <v>59</v>
      </c>
      <c r="C514">
        <v>18</v>
      </c>
      <c r="D514">
        <f>COUNTIF(WeeklyPicks!$D$52:$F$61,C514)</f>
        <v>0</v>
      </c>
    </row>
    <row r="515" spans="1:4" x14ac:dyDescent="0.3">
      <c r="A515">
        <v>6</v>
      </c>
      <c r="B515" t="s">
        <v>59</v>
      </c>
      <c r="C515">
        <v>19</v>
      </c>
      <c r="D515">
        <f>COUNTIF(WeeklyPicks!$D$52:$F$61,C515)</f>
        <v>0</v>
      </c>
    </row>
    <row r="516" spans="1:4" x14ac:dyDescent="0.3">
      <c r="A516">
        <v>6</v>
      </c>
      <c r="B516" t="s">
        <v>59</v>
      </c>
      <c r="C516">
        <v>20</v>
      </c>
      <c r="D516">
        <f>COUNTIF(WeeklyPicks!$D$52:$F$61,C516)</f>
        <v>0</v>
      </c>
    </row>
    <row r="517" spans="1:4" x14ac:dyDescent="0.3">
      <c r="A517">
        <v>6</v>
      </c>
      <c r="B517" t="s">
        <v>59</v>
      </c>
      <c r="C517">
        <v>21</v>
      </c>
      <c r="D517">
        <f>COUNTIF(WeeklyPicks!$D$52:$F$61,C517)</f>
        <v>0</v>
      </c>
    </row>
    <row r="518" spans="1:4" x14ac:dyDescent="0.3">
      <c r="A518">
        <v>6</v>
      </c>
      <c r="B518" t="s">
        <v>59</v>
      </c>
      <c r="C518">
        <v>22</v>
      </c>
      <c r="D518">
        <f>COUNTIF(WeeklyPicks!$D$52:$F$61,C518)</f>
        <v>1</v>
      </c>
    </row>
    <row r="519" spans="1:4" x14ac:dyDescent="0.3">
      <c r="A519">
        <v>6</v>
      </c>
      <c r="B519" t="s">
        <v>59</v>
      </c>
      <c r="C519">
        <v>23</v>
      </c>
      <c r="D519">
        <f>COUNTIF(WeeklyPicks!$D$52:$F$61,C519)</f>
        <v>0</v>
      </c>
    </row>
    <row r="520" spans="1:4" x14ac:dyDescent="0.3">
      <c r="A520">
        <v>6</v>
      </c>
      <c r="B520" t="s">
        <v>59</v>
      </c>
      <c r="C520">
        <v>24</v>
      </c>
      <c r="D520">
        <f>COUNTIF(WeeklyPicks!$D$52:$F$61,C520)</f>
        <v>1</v>
      </c>
    </row>
    <row r="521" spans="1:4" x14ac:dyDescent="0.3">
      <c r="A521">
        <v>6</v>
      </c>
      <c r="B521" t="s">
        <v>59</v>
      </c>
      <c r="C521">
        <v>25</v>
      </c>
      <c r="D521">
        <f>COUNTIF(WeeklyPicks!$D$52:$F$61,C521)</f>
        <v>0</v>
      </c>
    </row>
    <row r="522" spans="1:4" x14ac:dyDescent="0.3">
      <c r="A522">
        <v>6</v>
      </c>
      <c r="B522" t="s">
        <v>59</v>
      </c>
      <c r="C522">
        <v>26</v>
      </c>
      <c r="D522">
        <f>COUNTIF(WeeklyPicks!$D$52:$F$61,C522)</f>
        <v>0</v>
      </c>
    </row>
    <row r="523" spans="1:4" x14ac:dyDescent="0.3">
      <c r="A523">
        <v>6</v>
      </c>
      <c r="B523" t="s">
        <v>59</v>
      </c>
      <c r="C523">
        <v>27</v>
      </c>
      <c r="D523">
        <f>COUNTIF(WeeklyPicks!$D$52:$F$61,C523)</f>
        <v>0</v>
      </c>
    </row>
    <row r="524" spans="1:4" x14ac:dyDescent="0.3">
      <c r="A524">
        <v>6</v>
      </c>
      <c r="B524" t="s">
        <v>59</v>
      </c>
      <c r="C524">
        <v>28</v>
      </c>
      <c r="D524">
        <f>COUNTIF(WeeklyPicks!$D$52:$F$61,C524)</f>
        <v>0</v>
      </c>
    </row>
    <row r="525" spans="1:4" x14ac:dyDescent="0.3">
      <c r="A525">
        <v>6</v>
      </c>
      <c r="B525" t="s">
        <v>59</v>
      </c>
      <c r="C525">
        <v>29</v>
      </c>
      <c r="D525">
        <f>COUNTIF(WeeklyPicks!$D$52:$F$61,C525)</f>
        <v>0</v>
      </c>
    </row>
    <row r="526" spans="1:4" x14ac:dyDescent="0.3">
      <c r="A526">
        <v>6</v>
      </c>
      <c r="B526" t="s">
        <v>59</v>
      </c>
      <c r="C526">
        <v>30</v>
      </c>
      <c r="D526">
        <f>COUNTIF(WeeklyPicks!$D$52:$F$61,C526)</f>
        <v>0</v>
      </c>
    </row>
    <row r="527" spans="1:4" x14ac:dyDescent="0.3">
      <c r="A527">
        <v>6</v>
      </c>
      <c r="B527" t="s">
        <v>59</v>
      </c>
      <c r="C527">
        <v>31</v>
      </c>
      <c r="D527">
        <f>COUNTIF(WeeklyPicks!$D$52:$F$61,C527)</f>
        <v>0</v>
      </c>
    </row>
    <row r="528" spans="1:4" x14ac:dyDescent="0.3">
      <c r="A528">
        <v>6</v>
      </c>
      <c r="B528" t="s">
        <v>59</v>
      </c>
      <c r="C528">
        <v>32</v>
      </c>
      <c r="D528">
        <f>COUNTIF(WeeklyPicks!$D$52:$F$61,C528)</f>
        <v>0</v>
      </c>
    </row>
    <row r="529" spans="1:4" x14ac:dyDescent="0.3">
      <c r="A529">
        <v>6</v>
      </c>
      <c r="B529" t="s">
        <v>59</v>
      </c>
      <c r="C529">
        <v>33</v>
      </c>
      <c r="D529">
        <f>COUNTIF(WeeklyPicks!$D$52:$F$61,C529)</f>
        <v>0</v>
      </c>
    </row>
    <row r="530" spans="1:4" x14ac:dyDescent="0.3">
      <c r="A530">
        <v>6</v>
      </c>
      <c r="B530" t="s">
        <v>59</v>
      </c>
      <c r="C530">
        <v>34</v>
      </c>
      <c r="D530">
        <f>COUNTIF(WeeklyPicks!$D$52:$F$61,C530)</f>
        <v>0</v>
      </c>
    </row>
    <row r="531" spans="1:4" x14ac:dyDescent="0.3">
      <c r="A531">
        <v>6</v>
      </c>
      <c r="B531" t="s">
        <v>59</v>
      </c>
      <c r="C531">
        <v>35</v>
      </c>
      <c r="D531">
        <f>COUNTIF(WeeklyPicks!$D$52:$F$61,C531)</f>
        <v>0</v>
      </c>
    </row>
    <row r="532" spans="1:4" x14ac:dyDescent="0.3">
      <c r="A532">
        <v>6</v>
      </c>
      <c r="B532" t="s">
        <v>59</v>
      </c>
      <c r="C532">
        <v>36</v>
      </c>
      <c r="D532">
        <f>COUNTIF(WeeklyPicks!$D$52:$F$61,C532)</f>
        <v>0</v>
      </c>
    </row>
    <row r="533" spans="1:4" x14ac:dyDescent="0.3">
      <c r="A533">
        <v>6</v>
      </c>
      <c r="B533" t="s">
        <v>59</v>
      </c>
      <c r="C533">
        <v>37</v>
      </c>
      <c r="D533">
        <f>COUNTIF(WeeklyPicks!$D$52:$F$61,C533)</f>
        <v>0</v>
      </c>
    </row>
    <row r="534" spans="1:4" x14ac:dyDescent="0.3">
      <c r="A534">
        <v>6</v>
      </c>
      <c r="B534" t="s">
        <v>59</v>
      </c>
      <c r="C534">
        <v>38</v>
      </c>
      <c r="D534">
        <f>COUNTIF(WeeklyPicks!$D$52:$F$61,C534)</f>
        <v>0</v>
      </c>
    </row>
    <row r="535" spans="1:4" x14ac:dyDescent="0.3">
      <c r="A535">
        <v>6</v>
      </c>
      <c r="B535" t="s">
        <v>59</v>
      </c>
      <c r="C535">
        <v>39</v>
      </c>
      <c r="D535">
        <f>COUNTIF(WeeklyPicks!$D$52:$F$61,C535)</f>
        <v>0</v>
      </c>
    </row>
    <row r="536" spans="1:4" x14ac:dyDescent="0.3">
      <c r="A536">
        <v>6</v>
      </c>
      <c r="B536" t="s">
        <v>59</v>
      </c>
      <c r="C536">
        <v>40</v>
      </c>
      <c r="D536">
        <f>COUNTIF(WeeklyPicks!$D$52:$F$61,C536)</f>
        <v>0</v>
      </c>
    </row>
    <row r="537" spans="1:4" x14ac:dyDescent="0.3">
      <c r="A537">
        <v>6</v>
      </c>
      <c r="B537" t="s">
        <v>59</v>
      </c>
      <c r="C537">
        <v>41</v>
      </c>
      <c r="D537">
        <f>COUNTIF(WeeklyPicks!$D$52:$F$61,C537)</f>
        <v>0</v>
      </c>
    </row>
    <row r="538" spans="1:4" x14ac:dyDescent="0.3">
      <c r="A538">
        <v>6</v>
      </c>
      <c r="B538" t="s">
        <v>59</v>
      </c>
      <c r="C538">
        <v>42</v>
      </c>
      <c r="D538">
        <f>COUNTIF(WeeklyPicks!$D$52:$F$61,C538)</f>
        <v>0</v>
      </c>
    </row>
    <row r="539" spans="1:4" x14ac:dyDescent="0.3">
      <c r="A539">
        <v>6</v>
      </c>
      <c r="B539" t="s">
        <v>59</v>
      </c>
      <c r="C539">
        <v>43</v>
      </c>
      <c r="D539">
        <f>COUNTIF(WeeklyPicks!$D$52:$F$61,C539)</f>
        <v>0</v>
      </c>
    </row>
    <row r="540" spans="1:4" x14ac:dyDescent="0.3">
      <c r="A540">
        <v>6</v>
      </c>
      <c r="B540" t="s">
        <v>59</v>
      </c>
      <c r="C540">
        <v>44</v>
      </c>
      <c r="D540">
        <f>COUNTIF(WeeklyPicks!$D$52:$F$61,C540)</f>
        <v>0</v>
      </c>
    </row>
    <row r="541" spans="1:4" x14ac:dyDescent="0.3">
      <c r="A541">
        <v>6</v>
      </c>
      <c r="B541" t="s">
        <v>59</v>
      </c>
      <c r="C541">
        <v>45</v>
      </c>
      <c r="D541">
        <f>COUNTIF(WeeklyPicks!$D$52:$F$61,C541)</f>
        <v>5</v>
      </c>
    </row>
    <row r="542" spans="1:4" x14ac:dyDescent="0.3">
      <c r="A542">
        <v>6</v>
      </c>
      <c r="B542" t="s">
        <v>59</v>
      </c>
      <c r="C542">
        <v>46</v>
      </c>
      <c r="D542">
        <f>COUNTIF(WeeklyPicks!$D$52:$F$61,C542)</f>
        <v>0</v>
      </c>
    </row>
    <row r="543" spans="1:4" x14ac:dyDescent="0.3">
      <c r="A543">
        <v>6</v>
      </c>
      <c r="B543" t="s">
        <v>59</v>
      </c>
      <c r="C543">
        <v>47</v>
      </c>
      <c r="D543">
        <f>COUNTIF(WeeklyPicks!$D$52:$F$61,C543)</f>
        <v>0</v>
      </c>
    </row>
    <row r="544" spans="1:4" x14ac:dyDescent="0.3">
      <c r="A544">
        <v>6</v>
      </c>
      <c r="B544" t="s">
        <v>59</v>
      </c>
      <c r="C544">
        <v>48</v>
      </c>
      <c r="D544">
        <f>COUNTIF(WeeklyPicks!$D$52:$F$61,C544)</f>
        <v>0</v>
      </c>
    </row>
    <row r="545" spans="1:4" x14ac:dyDescent="0.3">
      <c r="A545">
        <v>6</v>
      </c>
      <c r="B545" t="s">
        <v>59</v>
      </c>
      <c r="C545">
        <v>49</v>
      </c>
      <c r="D545">
        <f>COUNTIF(WeeklyPicks!$D$52:$F$61,C545)</f>
        <v>0</v>
      </c>
    </row>
    <row r="546" spans="1:4" x14ac:dyDescent="0.3">
      <c r="A546">
        <v>6</v>
      </c>
      <c r="B546" t="s">
        <v>59</v>
      </c>
      <c r="C546">
        <v>50</v>
      </c>
      <c r="D546">
        <f>COUNTIF(WeeklyPicks!$D$52:$F$61,C546)</f>
        <v>0</v>
      </c>
    </row>
    <row r="547" spans="1:4" x14ac:dyDescent="0.3">
      <c r="A547">
        <v>6</v>
      </c>
      <c r="B547" t="s">
        <v>59</v>
      </c>
      <c r="C547">
        <v>51</v>
      </c>
      <c r="D547">
        <f>COUNTIF(WeeklyPicks!$D$52:$F$61,C547)</f>
        <v>0</v>
      </c>
    </row>
    <row r="548" spans="1:4" x14ac:dyDescent="0.3">
      <c r="A548">
        <v>6</v>
      </c>
      <c r="B548" t="s">
        <v>59</v>
      </c>
      <c r="C548">
        <v>52</v>
      </c>
      <c r="D548">
        <f>COUNTIF(WeeklyPicks!$D$52:$F$61,C548)</f>
        <v>0</v>
      </c>
    </row>
    <row r="549" spans="1:4" x14ac:dyDescent="0.3">
      <c r="A549">
        <v>6</v>
      </c>
      <c r="B549" t="s">
        <v>59</v>
      </c>
      <c r="C549">
        <v>53</v>
      </c>
      <c r="D549">
        <f>COUNTIF(WeeklyPicks!$D$52:$F$61,C549)</f>
        <v>0</v>
      </c>
    </row>
    <row r="550" spans="1:4" x14ac:dyDescent="0.3">
      <c r="A550">
        <v>6</v>
      </c>
      <c r="B550" t="s">
        <v>59</v>
      </c>
      <c r="C550">
        <v>54</v>
      </c>
      <c r="D550">
        <f>COUNTIF(WeeklyPicks!$D$52:$F$61,C550)</f>
        <v>1</v>
      </c>
    </row>
    <row r="551" spans="1:4" x14ac:dyDescent="0.3">
      <c r="A551">
        <v>6</v>
      </c>
      <c r="B551" t="s">
        <v>59</v>
      </c>
      <c r="C551">
        <v>55</v>
      </c>
      <c r="D551">
        <f>COUNTIF(WeeklyPicks!$D$52:$F$61,C551)</f>
        <v>0</v>
      </c>
    </row>
    <row r="552" spans="1:4" x14ac:dyDescent="0.3">
      <c r="A552">
        <v>6</v>
      </c>
      <c r="B552" t="s">
        <v>59</v>
      </c>
      <c r="C552">
        <v>56</v>
      </c>
      <c r="D552">
        <f>COUNTIF(WeeklyPicks!$D$52:$F$61,C552)</f>
        <v>0</v>
      </c>
    </row>
    <row r="553" spans="1:4" x14ac:dyDescent="0.3">
      <c r="A553">
        <v>6</v>
      </c>
      <c r="B553" t="s">
        <v>59</v>
      </c>
      <c r="C553">
        <v>57</v>
      </c>
      <c r="D553">
        <f>COUNTIF(WeeklyPicks!$D$52:$F$61,C553)</f>
        <v>0</v>
      </c>
    </row>
    <row r="554" spans="1:4" x14ac:dyDescent="0.3">
      <c r="A554">
        <v>6</v>
      </c>
      <c r="B554" t="s">
        <v>59</v>
      </c>
      <c r="C554">
        <v>58</v>
      </c>
      <c r="D554">
        <f>COUNTIF(WeeklyPicks!$D$52:$F$61,C554)</f>
        <v>0</v>
      </c>
    </row>
    <row r="555" spans="1:4" x14ac:dyDescent="0.3">
      <c r="A555">
        <v>6</v>
      </c>
      <c r="B555" t="s">
        <v>59</v>
      </c>
      <c r="C555">
        <v>59</v>
      </c>
      <c r="D555">
        <f>COUNTIF(WeeklyPicks!$D$52:$F$61,C555)</f>
        <v>0</v>
      </c>
    </row>
    <row r="556" spans="1:4" x14ac:dyDescent="0.3">
      <c r="A556">
        <v>6</v>
      </c>
      <c r="B556" t="s">
        <v>59</v>
      </c>
      <c r="C556">
        <v>60</v>
      </c>
      <c r="D556">
        <f>COUNTIF(WeeklyPicks!$D$52:$F$61,C556)</f>
        <v>0</v>
      </c>
    </row>
    <row r="557" spans="1:4" x14ac:dyDescent="0.3">
      <c r="A557">
        <v>6</v>
      </c>
      <c r="B557" t="s">
        <v>59</v>
      </c>
      <c r="C557">
        <v>61</v>
      </c>
      <c r="D557">
        <f>COUNTIF(WeeklyPicks!$D$52:$F$61,C557)</f>
        <v>0</v>
      </c>
    </row>
    <row r="558" spans="1:4" x14ac:dyDescent="0.3">
      <c r="A558">
        <v>6</v>
      </c>
      <c r="B558" t="s">
        <v>59</v>
      </c>
      <c r="C558">
        <v>62</v>
      </c>
      <c r="D558">
        <f>COUNTIF(WeeklyPicks!$D$52:$F$61,C558)</f>
        <v>0</v>
      </c>
    </row>
    <row r="559" spans="1:4" x14ac:dyDescent="0.3">
      <c r="A559">
        <v>6</v>
      </c>
      <c r="B559" t="s">
        <v>59</v>
      </c>
      <c r="C559">
        <v>63</v>
      </c>
      <c r="D559">
        <f>COUNTIF(WeeklyPicks!$D$52:$F$61,C559)</f>
        <v>0</v>
      </c>
    </row>
    <row r="560" spans="1:4" x14ac:dyDescent="0.3">
      <c r="A560">
        <v>6</v>
      </c>
      <c r="B560" t="s">
        <v>59</v>
      </c>
      <c r="C560">
        <v>64</v>
      </c>
      <c r="D560">
        <f>COUNTIF(WeeklyPicks!$D$52:$F$61,C560)</f>
        <v>0</v>
      </c>
    </row>
    <row r="561" spans="1:4" x14ac:dyDescent="0.3">
      <c r="A561">
        <v>6</v>
      </c>
      <c r="B561" t="s">
        <v>59</v>
      </c>
      <c r="C561">
        <v>65</v>
      </c>
      <c r="D561">
        <f>COUNTIF(WeeklyPicks!$D$52:$F$61,C561)</f>
        <v>0</v>
      </c>
    </row>
    <row r="562" spans="1:4" x14ac:dyDescent="0.3">
      <c r="A562">
        <v>6</v>
      </c>
      <c r="B562" t="s">
        <v>59</v>
      </c>
      <c r="C562">
        <v>66</v>
      </c>
      <c r="D562">
        <f>COUNTIF(WeeklyPicks!$D$52:$F$61,C562)</f>
        <v>0</v>
      </c>
    </row>
    <row r="563" spans="1:4" x14ac:dyDescent="0.3">
      <c r="A563">
        <v>6</v>
      </c>
      <c r="B563" t="s">
        <v>59</v>
      </c>
      <c r="C563">
        <v>67</v>
      </c>
      <c r="D563">
        <f>COUNTIF(WeeklyPicks!$D$52:$F$61,C563)</f>
        <v>0</v>
      </c>
    </row>
    <row r="564" spans="1:4" x14ac:dyDescent="0.3">
      <c r="A564">
        <v>6</v>
      </c>
      <c r="B564" t="s">
        <v>59</v>
      </c>
      <c r="C564">
        <v>68</v>
      </c>
      <c r="D564">
        <f>COUNTIF(WeeklyPicks!$D$52:$F$61,C564)</f>
        <v>0</v>
      </c>
    </row>
    <row r="565" spans="1:4" x14ac:dyDescent="0.3">
      <c r="A565">
        <v>6</v>
      </c>
      <c r="B565" t="s">
        <v>59</v>
      </c>
      <c r="C565">
        <v>69</v>
      </c>
      <c r="D565">
        <f>COUNTIF(WeeklyPicks!$D$52:$F$61,C565)</f>
        <v>0</v>
      </c>
    </row>
    <row r="566" spans="1:4" x14ac:dyDescent="0.3">
      <c r="A566">
        <v>6</v>
      </c>
      <c r="B566" t="s">
        <v>59</v>
      </c>
      <c r="C566">
        <v>70</v>
      </c>
      <c r="D566">
        <f>COUNTIF(WeeklyPicks!$D$52:$F$61,C566)</f>
        <v>0</v>
      </c>
    </row>
    <row r="567" spans="1:4" x14ac:dyDescent="0.3">
      <c r="A567">
        <v>6</v>
      </c>
      <c r="B567" t="s">
        <v>59</v>
      </c>
      <c r="C567">
        <v>71</v>
      </c>
      <c r="D567">
        <f>COUNTIF(WeeklyPicks!$D$52:$F$61,C567)</f>
        <v>0</v>
      </c>
    </row>
    <row r="568" spans="1:4" x14ac:dyDescent="0.3">
      <c r="A568">
        <v>6</v>
      </c>
      <c r="B568" t="s">
        <v>59</v>
      </c>
      <c r="C568">
        <v>72</v>
      </c>
      <c r="D568">
        <f>COUNTIF(WeeklyPicks!$D$52:$F$61,C568)</f>
        <v>0</v>
      </c>
    </row>
    <row r="569" spans="1:4" x14ac:dyDescent="0.3">
      <c r="A569">
        <v>6</v>
      </c>
      <c r="B569" t="s">
        <v>59</v>
      </c>
      <c r="C569">
        <v>73</v>
      </c>
      <c r="D569">
        <f>COUNTIF(WeeklyPicks!$D$52:$F$61,C569)</f>
        <v>0</v>
      </c>
    </row>
    <row r="570" spans="1:4" x14ac:dyDescent="0.3">
      <c r="A570">
        <v>6</v>
      </c>
      <c r="B570" t="s">
        <v>59</v>
      </c>
      <c r="C570">
        <v>74</v>
      </c>
      <c r="D570">
        <f>COUNTIF(WeeklyPicks!$D$52:$F$61,C570)</f>
        <v>0</v>
      </c>
    </row>
    <row r="571" spans="1:4" x14ac:dyDescent="0.3">
      <c r="A571">
        <v>6</v>
      </c>
      <c r="B571" t="s">
        <v>59</v>
      </c>
      <c r="C571">
        <v>75</v>
      </c>
      <c r="D571">
        <f>COUNTIF(WeeklyPicks!$D$52:$F$61,C571)</f>
        <v>0</v>
      </c>
    </row>
    <row r="572" spans="1:4" x14ac:dyDescent="0.3">
      <c r="A572">
        <v>6</v>
      </c>
      <c r="B572" t="s">
        <v>59</v>
      </c>
      <c r="C572">
        <v>76</v>
      </c>
      <c r="D572">
        <f>COUNTIF(WeeklyPicks!$D$52:$F$61,C572)</f>
        <v>0</v>
      </c>
    </row>
    <row r="573" spans="1:4" x14ac:dyDescent="0.3">
      <c r="A573">
        <v>6</v>
      </c>
      <c r="B573" t="s">
        <v>59</v>
      </c>
      <c r="C573">
        <v>77</v>
      </c>
      <c r="D573">
        <f>COUNTIF(WeeklyPicks!$D$52:$F$61,C573)</f>
        <v>0</v>
      </c>
    </row>
    <row r="574" spans="1:4" x14ac:dyDescent="0.3">
      <c r="A574">
        <v>6</v>
      </c>
      <c r="B574" t="s">
        <v>59</v>
      </c>
      <c r="C574">
        <v>78</v>
      </c>
      <c r="D574">
        <f>COUNTIF(WeeklyPicks!$D$52:$F$61,C574)</f>
        <v>0</v>
      </c>
    </row>
    <row r="575" spans="1:4" x14ac:dyDescent="0.3">
      <c r="A575">
        <v>6</v>
      </c>
      <c r="B575" t="s">
        <v>59</v>
      </c>
      <c r="C575">
        <v>79</v>
      </c>
      <c r="D575">
        <f>COUNTIF(WeeklyPicks!$D$52:$F$61,C575)</f>
        <v>0</v>
      </c>
    </row>
    <row r="576" spans="1:4" x14ac:dyDescent="0.3">
      <c r="A576">
        <v>6</v>
      </c>
      <c r="B576" t="s">
        <v>59</v>
      </c>
      <c r="C576">
        <v>80</v>
      </c>
      <c r="D576">
        <f>COUNTIF(WeeklyPicks!$D$52:$F$61,C576)</f>
        <v>0</v>
      </c>
    </row>
    <row r="577" spans="1:4" x14ac:dyDescent="0.3">
      <c r="A577">
        <v>6</v>
      </c>
      <c r="B577" t="s">
        <v>59</v>
      </c>
      <c r="C577">
        <v>81</v>
      </c>
      <c r="D577">
        <f>COUNTIF(WeeklyPicks!$D$52:$F$61,C577)</f>
        <v>0</v>
      </c>
    </row>
    <row r="578" spans="1:4" x14ac:dyDescent="0.3">
      <c r="A578">
        <v>6</v>
      </c>
      <c r="B578" t="s">
        <v>59</v>
      </c>
      <c r="C578">
        <v>82</v>
      </c>
      <c r="D578">
        <f>COUNTIF(WeeklyPicks!$D$52:$F$61,C578)</f>
        <v>0</v>
      </c>
    </row>
    <row r="579" spans="1:4" x14ac:dyDescent="0.3">
      <c r="A579">
        <v>6</v>
      </c>
      <c r="B579" t="s">
        <v>59</v>
      </c>
      <c r="C579">
        <v>83</v>
      </c>
      <c r="D579">
        <f>COUNTIF(WeeklyPicks!$D$52:$F$61,C579)</f>
        <v>0</v>
      </c>
    </row>
    <row r="580" spans="1:4" x14ac:dyDescent="0.3">
      <c r="A580">
        <v>6</v>
      </c>
      <c r="B580" t="s">
        <v>59</v>
      </c>
      <c r="C580">
        <v>84</v>
      </c>
      <c r="D580">
        <f>COUNTIF(WeeklyPicks!$D$52:$F$61,C580)</f>
        <v>0</v>
      </c>
    </row>
    <row r="581" spans="1:4" x14ac:dyDescent="0.3">
      <c r="A581">
        <v>6</v>
      </c>
      <c r="B581" t="s">
        <v>59</v>
      </c>
      <c r="C581">
        <v>85</v>
      </c>
      <c r="D581">
        <f>COUNTIF(WeeklyPicks!$D$52:$F$61,C581)</f>
        <v>0</v>
      </c>
    </row>
    <row r="582" spans="1:4" x14ac:dyDescent="0.3">
      <c r="A582">
        <v>6</v>
      </c>
      <c r="B582" t="s">
        <v>59</v>
      </c>
      <c r="C582">
        <v>86</v>
      </c>
      <c r="D582">
        <f>COUNTIF(WeeklyPicks!$D$52:$F$61,C582)</f>
        <v>0</v>
      </c>
    </row>
    <row r="583" spans="1:4" x14ac:dyDescent="0.3">
      <c r="A583">
        <v>6</v>
      </c>
      <c r="B583" t="s">
        <v>59</v>
      </c>
      <c r="C583">
        <v>87</v>
      </c>
      <c r="D583">
        <f>COUNTIF(WeeklyPicks!$D$52:$F$61,C583)</f>
        <v>0</v>
      </c>
    </row>
    <row r="584" spans="1:4" x14ac:dyDescent="0.3">
      <c r="A584">
        <v>6</v>
      </c>
      <c r="B584" t="s">
        <v>59</v>
      </c>
      <c r="C584">
        <v>88</v>
      </c>
      <c r="D584">
        <f>COUNTIF(WeeklyPicks!$D$52:$F$61,C584)</f>
        <v>0</v>
      </c>
    </row>
    <row r="585" spans="1:4" x14ac:dyDescent="0.3">
      <c r="A585">
        <v>6</v>
      </c>
      <c r="B585" t="s">
        <v>59</v>
      </c>
      <c r="C585">
        <v>89</v>
      </c>
      <c r="D585">
        <f>COUNTIF(WeeklyPicks!$D$52:$F$61,C585)</f>
        <v>0</v>
      </c>
    </row>
    <row r="586" spans="1:4" x14ac:dyDescent="0.3">
      <c r="A586">
        <v>6</v>
      </c>
      <c r="B586" t="s">
        <v>59</v>
      </c>
      <c r="C586">
        <v>90</v>
      </c>
      <c r="D586">
        <f>COUNTIF(WeeklyPicks!$D$52:$F$61,C586)</f>
        <v>0</v>
      </c>
    </row>
    <row r="587" spans="1:4" x14ac:dyDescent="0.3">
      <c r="A587">
        <v>6</v>
      </c>
      <c r="B587" t="s">
        <v>59</v>
      </c>
      <c r="C587">
        <v>91</v>
      </c>
      <c r="D587">
        <f>COUNTIF(WeeklyPicks!$D$52:$F$61,C587)</f>
        <v>0</v>
      </c>
    </row>
    <row r="588" spans="1:4" x14ac:dyDescent="0.3">
      <c r="A588">
        <v>6</v>
      </c>
      <c r="B588" t="s">
        <v>59</v>
      </c>
      <c r="C588">
        <v>92</v>
      </c>
      <c r="D588">
        <f>COUNTIF(WeeklyPicks!$D$52:$F$61,C588)</f>
        <v>0</v>
      </c>
    </row>
    <row r="589" spans="1:4" x14ac:dyDescent="0.3">
      <c r="A589">
        <v>6</v>
      </c>
      <c r="B589" t="s">
        <v>59</v>
      </c>
      <c r="C589">
        <v>93</v>
      </c>
      <c r="D589">
        <f>COUNTIF(WeeklyPicks!$D$52:$F$61,C589)</f>
        <v>0</v>
      </c>
    </row>
    <row r="590" spans="1:4" x14ac:dyDescent="0.3">
      <c r="A590">
        <v>6</v>
      </c>
      <c r="B590" t="s">
        <v>59</v>
      </c>
      <c r="C590">
        <v>94</v>
      </c>
      <c r="D590">
        <f>COUNTIF(WeeklyPicks!$D$52:$F$61,C590)</f>
        <v>0</v>
      </c>
    </row>
    <row r="591" spans="1:4" x14ac:dyDescent="0.3">
      <c r="A591">
        <v>6</v>
      </c>
      <c r="B591" t="s">
        <v>59</v>
      </c>
      <c r="C591">
        <v>95</v>
      </c>
      <c r="D591">
        <f>COUNTIF(WeeklyPicks!$D$52:$F$61,C591)</f>
        <v>0</v>
      </c>
    </row>
    <row r="592" spans="1:4" x14ac:dyDescent="0.3">
      <c r="A592">
        <v>6</v>
      </c>
      <c r="B592" t="s">
        <v>59</v>
      </c>
      <c r="C592">
        <v>96</v>
      </c>
      <c r="D592">
        <f>COUNTIF(WeeklyPicks!$D$52:$F$61,C592)</f>
        <v>0</v>
      </c>
    </row>
    <row r="593" spans="1:4" x14ac:dyDescent="0.3">
      <c r="A593">
        <v>6</v>
      </c>
      <c r="B593" t="s">
        <v>59</v>
      </c>
      <c r="C593">
        <v>97</v>
      </c>
      <c r="D593">
        <f>COUNTIF(WeeklyPicks!$D$52:$F$61,C593)</f>
        <v>0</v>
      </c>
    </row>
    <row r="594" spans="1:4" x14ac:dyDescent="0.3">
      <c r="A594">
        <v>6</v>
      </c>
      <c r="B594" t="s">
        <v>59</v>
      </c>
      <c r="C594">
        <v>98</v>
      </c>
      <c r="D594">
        <f>COUNTIF(WeeklyPicks!$D$52:$F$61,C594)</f>
        <v>0</v>
      </c>
    </row>
    <row r="595" spans="1:4" x14ac:dyDescent="0.3">
      <c r="A595">
        <v>6</v>
      </c>
      <c r="B595" t="s">
        <v>59</v>
      </c>
      <c r="C595">
        <v>99</v>
      </c>
      <c r="D595">
        <f>COUNTIF(WeeklyPicks!$D$52:$F$61,C595)</f>
        <v>0</v>
      </c>
    </row>
    <row r="596" spans="1:4" x14ac:dyDescent="0.3">
      <c r="A596">
        <v>7</v>
      </c>
      <c r="B596" t="s">
        <v>61</v>
      </c>
      <c r="C596">
        <v>1</v>
      </c>
      <c r="D596">
        <f>COUNTIF(WeeklyPicks!$D$62:$F$71,C596)</f>
        <v>0</v>
      </c>
    </row>
    <row r="597" spans="1:4" x14ac:dyDescent="0.3">
      <c r="A597">
        <v>7</v>
      </c>
      <c r="B597" t="s">
        <v>61</v>
      </c>
      <c r="C597">
        <v>2</v>
      </c>
      <c r="D597">
        <f>COUNTIF(WeeklyPicks!$D$62:$F$71,C597)</f>
        <v>0</v>
      </c>
    </row>
    <row r="598" spans="1:4" x14ac:dyDescent="0.3">
      <c r="A598">
        <v>7</v>
      </c>
      <c r="B598" t="s">
        <v>61</v>
      </c>
      <c r="C598">
        <v>3</v>
      </c>
      <c r="D598">
        <f>COUNTIF(WeeklyPicks!$D$62:$F$71,C598)</f>
        <v>0</v>
      </c>
    </row>
    <row r="599" spans="1:4" x14ac:dyDescent="0.3">
      <c r="A599">
        <v>7</v>
      </c>
      <c r="B599" t="s">
        <v>61</v>
      </c>
      <c r="C599">
        <v>4</v>
      </c>
      <c r="D599">
        <f>COUNTIF(WeeklyPicks!$D$62:$F$71,C599)</f>
        <v>0</v>
      </c>
    </row>
    <row r="600" spans="1:4" x14ac:dyDescent="0.3">
      <c r="A600">
        <v>7</v>
      </c>
      <c r="B600" t="s">
        <v>61</v>
      </c>
      <c r="C600">
        <v>5</v>
      </c>
      <c r="D600">
        <f>COUNTIF(WeeklyPicks!$D$62:$F$71,C600)</f>
        <v>2</v>
      </c>
    </row>
    <row r="601" spans="1:4" x14ac:dyDescent="0.3">
      <c r="A601">
        <v>7</v>
      </c>
      <c r="B601" t="s">
        <v>61</v>
      </c>
      <c r="C601">
        <v>6</v>
      </c>
      <c r="D601">
        <f>COUNTIF(WeeklyPicks!$D$62:$F$71,C601)</f>
        <v>0</v>
      </c>
    </row>
    <row r="602" spans="1:4" x14ac:dyDescent="0.3">
      <c r="A602">
        <v>7</v>
      </c>
      <c r="B602" t="s">
        <v>61</v>
      </c>
      <c r="C602">
        <v>7</v>
      </c>
      <c r="D602">
        <f>COUNTIF(WeeklyPicks!$D$62:$F$71,C602)</f>
        <v>0</v>
      </c>
    </row>
    <row r="603" spans="1:4" x14ac:dyDescent="0.3">
      <c r="A603">
        <v>7</v>
      </c>
      <c r="B603" t="s">
        <v>61</v>
      </c>
      <c r="C603">
        <v>8</v>
      </c>
      <c r="D603">
        <f>COUNTIF(WeeklyPicks!$D$62:$F$71,C603)</f>
        <v>0</v>
      </c>
    </row>
    <row r="604" spans="1:4" x14ac:dyDescent="0.3">
      <c r="A604">
        <v>7</v>
      </c>
      <c r="B604" t="s">
        <v>61</v>
      </c>
      <c r="C604">
        <v>9</v>
      </c>
      <c r="D604">
        <f>COUNTIF(WeeklyPicks!$D$62:$F$71,C604)</f>
        <v>3</v>
      </c>
    </row>
    <row r="605" spans="1:4" x14ac:dyDescent="0.3">
      <c r="A605">
        <v>7</v>
      </c>
      <c r="B605" t="s">
        <v>61</v>
      </c>
      <c r="C605">
        <v>10</v>
      </c>
      <c r="D605">
        <f>COUNTIF(WeeklyPicks!$D$62:$F$71,C605)</f>
        <v>0</v>
      </c>
    </row>
    <row r="606" spans="1:4" x14ac:dyDescent="0.3">
      <c r="A606">
        <v>7</v>
      </c>
      <c r="B606" t="s">
        <v>61</v>
      </c>
      <c r="C606">
        <v>11</v>
      </c>
      <c r="D606">
        <f>COUNTIF(WeeklyPicks!$D$62:$F$71,C606)</f>
        <v>8</v>
      </c>
    </row>
    <row r="607" spans="1:4" x14ac:dyDescent="0.3">
      <c r="A607">
        <v>7</v>
      </c>
      <c r="B607" t="s">
        <v>61</v>
      </c>
      <c r="C607">
        <v>12</v>
      </c>
      <c r="D607">
        <f>COUNTIF(WeeklyPicks!$D$62:$F$71,C607)</f>
        <v>3</v>
      </c>
    </row>
    <row r="608" spans="1:4" x14ac:dyDescent="0.3">
      <c r="A608">
        <v>7</v>
      </c>
      <c r="B608" t="s">
        <v>61</v>
      </c>
      <c r="C608">
        <v>13</v>
      </c>
      <c r="D608">
        <f>COUNTIF(WeeklyPicks!$D$62:$F$71,C608)</f>
        <v>0</v>
      </c>
    </row>
    <row r="609" spans="1:4" x14ac:dyDescent="0.3">
      <c r="A609">
        <v>7</v>
      </c>
      <c r="B609" t="s">
        <v>61</v>
      </c>
      <c r="C609">
        <v>14</v>
      </c>
      <c r="D609">
        <f>COUNTIF(WeeklyPicks!$D$62:$F$71,C609)</f>
        <v>0</v>
      </c>
    </row>
    <row r="610" spans="1:4" x14ac:dyDescent="0.3">
      <c r="A610">
        <v>7</v>
      </c>
      <c r="B610" t="s">
        <v>61</v>
      </c>
      <c r="C610">
        <v>15</v>
      </c>
      <c r="D610">
        <f>COUNTIF(WeeklyPicks!$D$62:$F$71,C610)</f>
        <v>0</v>
      </c>
    </row>
    <row r="611" spans="1:4" x14ac:dyDescent="0.3">
      <c r="A611">
        <v>7</v>
      </c>
      <c r="B611" t="s">
        <v>61</v>
      </c>
      <c r="C611">
        <v>16</v>
      </c>
      <c r="D611">
        <f>COUNTIF(WeeklyPicks!$D$62:$F$71,C611)</f>
        <v>0</v>
      </c>
    </row>
    <row r="612" spans="1:4" x14ac:dyDescent="0.3">
      <c r="A612">
        <v>7</v>
      </c>
      <c r="B612" t="s">
        <v>61</v>
      </c>
      <c r="C612">
        <v>17</v>
      </c>
      <c r="D612">
        <f>COUNTIF(WeeklyPicks!$D$62:$F$71,C612)</f>
        <v>0</v>
      </c>
    </row>
    <row r="613" spans="1:4" x14ac:dyDescent="0.3">
      <c r="A613">
        <v>7</v>
      </c>
      <c r="B613" t="s">
        <v>61</v>
      </c>
      <c r="C613">
        <v>18</v>
      </c>
      <c r="D613">
        <f>COUNTIF(WeeklyPicks!$D$62:$F$71,C613)</f>
        <v>0</v>
      </c>
    </row>
    <row r="614" spans="1:4" x14ac:dyDescent="0.3">
      <c r="A614">
        <v>7</v>
      </c>
      <c r="B614" t="s">
        <v>61</v>
      </c>
      <c r="C614">
        <v>19</v>
      </c>
      <c r="D614">
        <f>COUNTIF(WeeklyPicks!$D$62:$F$71,C614)</f>
        <v>0</v>
      </c>
    </row>
    <row r="615" spans="1:4" x14ac:dyDescent="0.3">
      <c r="A615">
        <v>7</v>
      </c>
      <c r="B615" t="s">
        <v>61</v>
      </c>
      <c r="C615">
        <v>20</v>
      </c>
      <c r="D615">
        <f>COUNTIF(WeeklyPicks!$D$62:$F$71,C615)</f>
        <v>1</v>
      </c>
    </row>
    <row r="616" spans="1:4" x14ac:dyDescent="0.3">
      <c r="A616">
        <v>7</v>
      </c>
      <c r="B616" t="s">
        <v>61</v>
      </c>
      <c r="C616">
        <v>21</v>
      </c>
      <c r="D616">
        <f>COUNTIF(WeeklyPicks!$D$62:$F$71,C616)</f>
        <v>0</v>
      </c>
    </row>
    <row r="617" spans="1:4" x14ac:dyDescent="0.3">
      <c r="A617">
        <v>7</v>
      </c>
      <c r="B617" t="s">
        <v>61</v>
      </c>
      <c r="C617">
        <v>22</v>
      </c>
      <c r="D617">
        <f>COUNTIF(WeeklyPicks!$D$62:$F$71,C617)</f>
        <v>0</v>
      </c>
    </row>
    <row r="618" spans="1:4" x14ac:dyDescent="0.3">
      <c r="A618">
        <v>7</v>
      </c>
      <c r="B618" t="s">
        <v>61</v>
      </c>
      <c r="C618">
        <v>23</v>
      </c>
      <c r="D618">
        <f>COUNTIF(WeeklyPicks!$D$62:$F$71,C618)</f>
        <v>1</v>
      </c>
    </row>
    <row r="619" spans="1:4" x14ac:dyDescent="0.3">
      <c r="A619">
        <v>7</v>
      </c>
      <c r="B619" t="s">
        <v>61</v>
      </c>
      <c r="C619">
        <v>24</v>
      </c>
      <c r="D619">
        <f>COUNTIF(WeeklyPicks!$D$62:$F$71,C619)</f>
        <v>5</v>
      </c>
    </row>
    <row r="620" spans="1:4" x14ac:dyDescent="0.3">
      <c r="A620">
        <v>7</v>
      </c>
      <c r="B620" t="s">
        <v>61</v>
      </c>
      <c r="C620">
        <v>25</v>
      </c>
      <c r="D620">
        <f>COUNTIF(WeeklyPicks!$D$62:$F$71,C620)</f>
        <v>0</v>
      </c>
    </row>
    <row r="621" spans="1:4" x14ac:dyDescent="0.3">
      <c r="A621">
        <v>7</v>
      </c>
      <c r="B621" t="s">
        <v>61</v>
      </c>
      <c r="C621">
        <v>26</v>
      </c>
      <c r="D621">
        <f>COUNTIF(WeeklyPicks!$D$62:$F$71,C621)</f>
        <v>0</v>
      </c>
    </row>
    <row r="622" spans="1:4" x14ac:dyDescent="0.3">
      <c r="A622">
        <v>7</v>
      </c>
      <c r="B622" t="s">
        <v>61</v>
      </c>
      <c r="C622">
        <v>27</v>
      </c>
      <c r="D622">
        <f>COUNTIF(WeeklyPicks!$D$62:$F$71,C622)</f>
        <v>0</v>
      </c>
    </row>
    <row r="623" spans="1:4" x14ac:dyDescent="0.3">
      <c r="A623">
        <v>7</v>
      </c>
      <c r="B623" t="s">
        <v>61</v>
      </c>
      <c r="C623">
        <v>28</v>
      </c>
      <c r="D623">
        <f>COUNTIF(WeeklyPicks!$D$62:$F$71,C623)</f>
        <v>0</v>
      </c>
    </row>
    <row r="624" spans="1:4" x14ac:dyDescent="0.3">
      <c r="A624">
        <v>7</v>
      </c>
      <c r="B624" t="s">
        <v>61</v>
      </c>
      <c r="C624">
        <v>29</v>
      </c>
      <c r="D624">
        <f>COUNTIF(WeeklyPicks!$D$62:$F$71,C624)</f>
        <v>0</v>
      </c>
    </row>
    <row r="625" spans="1:4" x14ac:dyDescent="0.3">
      <c r="A625">
        <v>7</v>
      </c>
      <c r="B625" t="s">
        <v>61</v>
      </c>
      <c r="C625">
        <v>30</v>
      </c>
      <c r="D625">
        <f>COUNTIF(WeeklyPicks!$D$62:$F$71,C625)</f>
        <v>0</v>
      </c>
    </row>
    <row r="626" spans="1:4" x14ac:dyDescent="0.3">
      <c r="A626">
        <v>7</v>
      </c>
      <c r="B626" t="s">
        <v>61</v>
      </c>
      <c r="C626">
        <v>31</v>
      </c>
      <c r="D626">
        <f>COUNTIF(WeeklyPicks!$D$62:$F$71,C626)</f>
        <v>0</v>
      </c>
    </row>
    <row r="627" spans="1:4" x14ac:dyDescent="0.3">
      <c r="A627">
        <v>7</v>
      </c>
      <c r="B627" t="s">
        <v>61</v>
      </c>
      <c r="C627">
        <v>32</v>
      </c>
      <c r="D627">
        <f>COUNTIF(WeeklyPicks!$D$62:$F$71,C627)</f>
        <v>0</v>
      </c>
    </row>
    <row r="628" spans="1:4" x14ac:dyDescent="0.3">
      <c r="A628">
        <v>7</v>
      </c>
      <c r="B628" t="s">
        <v>61</v>
      </c>
      <c r="C628">
        <v>33</v>
      </c>
      <c r="D628">
        <f>COUNTIF(WeeklyPicks!$D$62:$F$71,C628)</f>
        <v>0</v>
      </c>
    </row>
    <row r="629" spans="1:4" x14ac:dyDescent="0.3">
      <c r="A629">
        <v>7</v>
      </c>
      <c r="B629" t="s">
        <v>61</v>
      </c>
      <c r="C629">
        <v>34</v>
      </c>
      <c r="D629">
        <f>COUNTIF(WeeklyPicks!$D$62:$F$71,C629)</f>
        <v>0</v>
      </c>
    </row>
    <row r="630" spans="1:4" x14ac:dyDescent="0.3">
      <c r="A630">
        <v>7</v>
      </c>
      <c r="B630" t="s">
        <v>61</v>
      </c>
      <c r="C630">
        <v>35</v>
      </c>
      <c r="D630">
        <f>COUNTIF(WeeklyPicks!$D$62:$F$71,C630)</f>
        <v>0</v>
      </c>
    </row>
    <row r="631" spans="1:4" x14ac:dyDescent="0.3">
      <c r="A631">
        <v>7</v>
      </c>
      <c r="B631" t="s">
        <v>61</v>
      </c>
      <c r="C631">
        <v>36</v>
      </c>
      <c r="D631">
        <f>COUNTIF(WeeklyPicks!$D$62:$F$71,C631)</f>
        <v>0</v>
      </c>
    </row>
    <row r="632" spans="1:4" x14ac:dyDescent="0.3">
      <c r="A632">
        <v>7</v>
      </c>
      <c r="B632" t="s">
        <v>61</v>
      </c>
      <c r="C632">
        <v>37</v>
      </c>
      <c r="D632">
        <f>COUNTIF(WeeklyPicks!$D$62:$F$71,C632)</f>
        <v>0</v>
      </c>
    </row>
    <row r="633" spans="1:4" x14ac:dyDescent="0.3">
      <c r="A633">
        <v>7</v>
      </c>
      <c r="B633" t="s">
        <v>61</v>
      </c>
      <c r="C633">
        <v>38</v>
      </c>
      <c r="D633">
        <f>COUNTIF(WeeklyPicks!$D$62:$F$71,C633)</f>
        <v>0</v>
      </c>
    </row>
    <row r="634" spans="1:4" x14ac:dyDescent="0.3">
      <c r="A634">
        <v>7</v>
      </c>
      <c r="B634" t="s">
        <v>61</v>
      </c>
      <c r="C634">
        <v>39</v>
      </c>
      <c r="D634">
        <f>COUNTIF(WeeklyPicks!$D$62:$F$71,C634)</f>
        <v>0</v>
      </c>
    </row>
    <row r="635" spans="1:4" x14ac:dyDescent="0.3">
      <c r="A635">
        <v>7</v>
      </c>
      <c r="B635" t="s">
        <v>61</v>
      </c>
      <c r="C635">
        <v>40</v>
      </c>
      <c r="D635">
        <f>COUNTIF(WeeklyPicks!$D$62:$F$71,C635)</f>
        <v>0</v>
      </c>
    </row>
    <row r="636" spans="1:4" x14ac:dyDescent="0.3">
      <c r="A636">
        <v>7</v>
      </c>
      <c r="B636" t="s">
        <v>61</v>
      </c>
      <c r="C636">
        <v>41</v>
      </c>
      <c r="D636">
        <f>COUNTIF(WeeklyPicks!$D$62:$F$71,C636)</f>
        <v>0</v>
      </c>
    </row>
    <row r="637" spans="1:4" x14ac:dyDescent="0.3">
      <c r="A637">
        <v>7</v>
      </c>
      <c r="B637" t="s">
        <v>61</v>
      </c>
      <c r="C637">
        <v>42</v>
      </c>
      <c r="D637">
        <f>COUNTIF(WeeklyPicks!$D$62:$F$71,C637)</f>
        <v>0</v>
      </c>
    </row>
    <row r="638" spans="1:4" x14ac:dyDescent="0.3">
      <c r="A638">
        <v>7</v>
      </c>
      <c r="B638" t="s">
        <v>61</v>
      </c>
      <c r="C638">
        <v>43</v>
      </c>
      <c r="D638">
        <f>COUNTIF(WeeklyPicks!$D$62:$F$71,C638)</f>
        <v>0</v>
      </c>
    </row>
    <row r="639" spans="1:4" x14ac:dyDescent="0.3">
      <c r="A639">
        <v>7</v>
      </c>
      <c r="B639" t="s">
        <v>61</v>
      </c>
      <c r="C639">
        <v>44</v>
      </c>
      <c r="D639">
        <f>COUNTIF(WeeklyPicks!$D$62:$F$71,C639)</f>
        <v>0</v>
      </c>
    </row>
    <row r="640" spans="1:4" x14ac:dyDescent="0.3">
      <c r="A640">
        <v>7</v>
      </c>
      <c r="B640" t="s">
        <v>61</v>
      </c>
      <c r="C640">
        <v>45</v>
      </c>
      <c r="D640">
        <f>COUNTIF(WeeklyPicks!$D$62:$F$71,C640)</f>
        <v>1</v>
      </c>
    </row>
    <row r="641" spans="1:4" x14ac:dyDescent="0.3">
      <c r="A641">
        <v>7</v>
      </c>
      <c r="B641" t="s">
        <v>61</v>
      </c>
      <c r="C641">
        <v>46</v>
      </c>
      <c r="D641">
        <f>COUNTIF(WeeklyPicks!$D$62:$F$71,C641)</f>
        <v>0</v>
      </c>
    </row>
    <row r="642" spans="1:4" x14ac:dyDescent="0.3">
      <c r="A642">
        <v>7</v>
      </c>
      <c r="B642" t="s">
        <v>61</v>
      </c>
      <c r="C642">
        <v>47</v>
      </c>
      <c r="D642">
        <f>COUNTIF(WeeklyPicks!$D$62:$F$71,C642)</f>
        <v>0</v>
      </c>
    </row>
    <row r="643" spans="1:4" x14ac:dyDescent="0.3">
      <c r="A643">
        <v>7</v>
      </c>
      <c r="B643" t="s">
        <v>61</v>
      </c>
      <c r="C643">
        <v>48</v>
      </c>
      <c r="D643">
        <f>COUNTIF(WeeklyPicks!$D$62:$F$71,C643)</f>
        <v>0</v>
      </c>
    </row>
    <row r="644" spans="1:4" x14ac:dyDescent="0.3">
      <c r="A644">
        <v>7</v>
      </c>
      <c r="B644" t="s">
        <v>61</v>
      </c>
      <c r="C644">
        <v>49</v>
      </c>
      <c r="D644">
        <f>COUNTIF(WeeklyPicks!$D$62:$F$71,C644)</f>
        <v>0</v>
      </c>
    </row>
    <row r="645" spans="1:4" x14ac:dyDescent="0.3">
      <c r="A645">
        <v>7</v>
      </c>
      <c r="B645" t="s">
        <v>61</v>
      </c>
      <c r="C645">
        <v>50</v>
      </c>
      <c r="D645">
        <f>COUNTIF(WeeklyPicks!$D$62:$F$71,C645)</f>
        <v>0</v>
      </c>
    </row>
    <row r="646" spans="1:4" x14ac:dyDescent="0.3">
      <c r="A646">
        <v>7</v>
      </c>
      <c r="B646" t="s">
        <v>61</v>
      </c>
      <c r="C646">
        <v>51</v>
      </c>
      <c r="D646">
        <f>COUNTIF(WeeklyPicks!$D$62:$F$71,C646)</f>
        <v>0</v>
      </c>
    </row>
    <row r="647" spans="1:4" x14ac:dyDescent="0.3">
      <c r="A647">
        <v>7</v>
      </c>
      <c r="B647" t="s">
        <v>61</v>
      </c>
      <c r="C647">
        <v>52</v>
      </c>
      <c r="D647">
        <f>COUNTIF(WeeklyPicks!$D$62:$F$71,C647)</f>
        <v>0</v>
      </c>
    </row>
    <row r="648" spans="1:4" x14ac:dyDescent="0.3">
      <c r="A648">
        <v>7</v>
      </c>
      <c r="B648" t="s">
        <v>61</v>
      </c>
      <c r="C648">
        <v>53</v>
      </c>
      <c r="D648">
        <f>COUNTIF(WeeklyPicks!$D$62:$F$71,C648)</f>
        <v>0</v>
      </c>
    </row>
    <row r="649" spans="1:4" x14ac:dyDescent="0.3">
      <c r="A649">
        <v>7</v>
      </c>
      <c r="B649" t="s">
        <v>61</v>
      </c>
      <c r="C649">
        <v>54</v>
      </c>
      <c r="D649">
        <f>COUNTIF(WeeklyPicks!$D$62:$F$71,C649)</f>
        <v>0</v>
      </c>
    </row>
    <row r="650" spans="1:4" x14ac:dyDescent="0.3">
      <c r="A650">
        <v>7</v>
      </c>
      <c r="B650" t="s">
        <v>61</v>
      </c>
      <c r="C650">
        <v>55</v>
      </c>
      <c r="D650">
        <f>COUNTIF(WeeklyPicks!$D$62:$F$71,C650)</f>
        <v>0</v>
      </c>
    </row>
    <row r="651" spans="1:4" x14ac:dyDescent="0.3">
      <c r="A651">
        <v>7</v>
      </c>
      <c r="B651" t="s">
        <v>61</v>
      </c>
      <c r="C651">
        <v>56</v>
      </c>
      <c r="D651">
        <f>COUNTIF(WeeklyPicks!$D$62:$F$71,C651)</f>
        <v>0</v>
      </c>
    </row>
    <row r="652" spans="1:4" x14ac:dyDescent="0.3">
      <c r="A652">
        <v>7</v>
      </c>
      <c r="B652" t="s">
        <v>61</v>
      </c>
      <c r="C652">
        <v>57</v>
      </c>
      <c r="D652">
        <f>COUNTIF(WeeklyPicks!$D$62:$F$71,C652)</f>
        <v>0</v>
      </c>
    </row>
    <row r="653" spans="1:4" x14ac:dyDescent="0.3">
      <c r="A653">
        <v>7</v>
      </c>
      <c r="B653" t="s">
        <v>61</v>
      </c>
      <c r="C653">
        <v>58</v>
      </c>
      <c r="D653">
        <f>COUNTIF(WeeklyPicks!$D$62:$F$71,C653)</f>
        <v>0</v>
      </c>
    </row>
    <row r="654" spans="1:4" x14ac:dyDescent="0.3">
      <c r="A654">
        <v>7</v>
      </c>
      <c r="B654" t="s">
        <v>61</v>
      </c>
      <c r="C654">
        <v>59</v>
      </c>
      <c r="D654">
        <f>COUNTIF(WeeklyPicks!$D$62:$F$71,C654)</f>
        <v>0</v>
      </c>
    </row>
    <row r="655" spans="1:4" x14ac:dyDescent="0.3">
      <c r="A655">
        <v>7</v>
      </c>
      <c r="B655" t="s">
        <v>61</v>
      </c>
      <c r="C655">
        <v>60</v>
      </c>
      <c r="D655">
        <f>COUNTIF(WeeklyPicks!$D$62:$F$71,C655)</f>
        <v>0</v>
      </c>
    </row>
    <row r="656" spans="1:4" x14ac:dyDescent="0.3">
      <c r="A656">
        <v>7</v>
      </c>
      <c r="B656" t="s">
        <v>61</v>
      </c>
      <c r="C656">
        <v>61</v>
      </c>
      <c r="D656">
        <f>COUNTIF(WeeklyPicks!$D$62:$F$71,C656)</f>
        <v>0</v>
      </c>
    </row>
    <row r="657" spans="1:4" x14ac:dyDescent="0.3">
      <c r="A657">
        <v>7</v>
      </c>
      <c r="B657" t="s">
        <v>61</v>
      </c>
      <c r="C657">
        <v>62</v>
      </c>
      <c r="D657">
        <f>COUNTIF(WeeklyPicks!$D$62:$F$71,C657)</f>
        <v>0</v>
      </c>
    </row>
    <row r="658" spans="1:4" x14ac:dyDescent="0.3">
      <c r="A658">
        <v>7</v>
      </c>
      <c r="B658" t="s">
        <v>61</v>
      </c>
      <c r="C658">
        <v>63</v>
      </c>
      <c r="D658">
        <f>COUNTIF(WeeklyPicks!$D$62:$F$71,C658)</f>
        <v>0</v>
      </c>
    </row>
    <row r="659" spans="1:4" x14ac:dyDescent="0.3">
      <c r="A659">
        <v>7</v>
      </c>
      <c r="B659" t="s">
        <v>61</v>
      </c>
      <c r="C659">
        <v>64</v>
      </c>
      <c r="D659">
        <f>COUNTIF(WeeklyPicks!$D$62:$F$71,C659)</f>
        <v>0</v>
      </c>
    </row>
    <row r="660" spans="1:4" x14ac:dyDescent="0.3">
      <c r="A660">
        <v>7</v>
      </c>
      <c r="B660" t="s">
        <v>61</v>
      </c>
      <c r="C660">
        <v>65</v>
      </c>
      <c r="D660">
        <f>COUNTIF(WeeklyPicks!$D$62:$F$71,C660)</f>
        <v>0</v>
      </c>
    </row>
    <row r="661" spans="1:4" x14ac:dyDescent="0.3">
      <c r="A661">
        <v>7</v>
      </c>
      <c r="B661" t="s">
        <v>61</v>
      </c>
      <c r="C661">
        <v>66</v>
      </c>
      <c r="D661">
        <f>COUNTIF(WeeklyPicks!$D$62:$F$71,C661)</f>
        <v>0</v>
      </c>
    </row>
    <row r="662" spans="1:4" x14ac:dyDescent="0.3">
      <c r="A662">
        <v>7</v>
      </c>
      <c r="B662" t="s">
        <v>61</v>
      </c>
      <c r="C662">
        <v>67</v>
      </c>
      <c r="D662">
        <f>COUNTIF(WeeklyPicks!$D$62:$F$71,C662)</f>
        <v>0</v>
      </c>
    </row>
    <row r="663" spans="1:4" x14ac:dyDescent="0.3">
      <c r="A663">
        <v>7</v>
      </c>
      <c r="B663" t="s">
        <v>61</v>
      </c>
      <c r="C663">
        <v>68</v>
      </c>
      <c r="D663">
        <f>COUNTIF(WeeklyPicks!$D$62:$F$71,C663)</f>
        <v>0</v>
      </c>
    </row>
    <row r="664" spans="1:4" x14ac:dyDescent="0.3">
      <c r="A664">
        <v>7</v>
      </c>
      <c r="B664" t="s">
        <v>61</v>
      </c>
      <c r="C664">
        <v>69</v>
      </c>
      <c r="D664">
        <f>COUNTIF(WeeklyPicks!$D$62:$F$71,C664)</f>
        <v>0</v>
      </c>
    </row>
    <row r="665" spans="1:4" x14ac:dyDescent="0.3">
      <c r="A665">
        <v>7</v>
      </c>
      <c r="B665" t="s">
        <v>61</v>
      </c>
      <c r="C665">
        <v>70</v>
      </c>
      <c r="D665">
        <f>COUNTIF(WeeklyPicks!$D$62:$F$71,C665)</f>
        <v>0</v>
      </c>
    </row>
    <row r="666" spans="1:4" x14ac:dyDescent="0.3">
      <c r="A666">
        <v>7</v>
      </c>
      <c r="B666" t="s">
        <v>61</v>
      </c>
      <c r="C666">
        <v>71</v>
      </c>
      <c r="D666">
        <f>COUNTIF(WeeklyPicks!$D$62:$F$71,C666)</f>
        <v>0</v>
      </c>
    </row>
    <row r="667" spans="1:4" x14ac:dyDescent="0.3">
      <c r="A667">
        <v>7</v>
      </c>
      <c r="B667" t="s">
        <v>61</v>
      </c>
      <c r="C667">
        <v>72</v>
      </c>
      <c r="D667">
        <f>COUNTIF(WeeklyPicks!$D$62:$F$71,C667)</f>
        <v>0</v>
      </c>
    </row>
    <row r="668" spans="1:4" x14ac:dyDescent="0.3">
      <c r="A668">
        <v>7</v>
      </c>
      <c r="B668" t="s">
        <v>61</v>
      </c>
      <c r="C668">
        <v>73</v>
      </c>
      <c r="D668">
        <f>COUNTIF(WeeklyPicks!$D$62:$F$71,C668)</f>
        <v>0</v>
      </c>
    </row>
    <row r="669" spans="1:4" x14ac:dyDescent="0.3">
      <c r="A669">
        <v>7</v>
      </c>
      <c r="B669" t="s">
        <v>61</v>
      </c>
      <c r="C669">
        <v>74</v>
      </c>
      <c r="D669">
        <f>COUNTIF(WeeklyPicks!$D$62:$F$71,C669)</f>
        <v>0</v>
      </c>
    </row>
    <row r="670" spans="1:4" x14ac:dyDescent="0.3">
      <c r="A670">
        <v>7</v>
      </c>
      <c r="B670" t="s">
        <v>61</v>
      </c>
      <c r="C670">
        <v>75</v>
      </c>
      <c r="D670">
        <f>COUNTIF(WeeklyPicks!$D$62:$F$71,C670)</f>
        <v>0</v>
      </c>
    </row>
    <row r="671" spans="1:4" x14ac:dyDescent="0.3">
      <c r="A671">
        <v>7</v>
      </c>
      <c r="B671" t="s">
        <v>61</v>
      </c>
      <c r="C671">
        <v>76</v>
      </c>
      <c r="D671">
        <f>COUNTIF(WeeklyPicks!$D$62:$F$71,C671)</f>
        <v>0</v>
      </c>
    </row>
    <row r="672" spans="1:4" x14ac:dyDescent="0.3">
      <c r="A672">
        <v>7</v>
      </c>
      <c r="B672" t="s">
        <v>61</v>
      </c>
      <c r="C672">
        <v>77</v>
      </c>
      <c r="D672">
        <f>COUNTIF(WeeklyPicks!$D$62:$F$71,C672)</f>
        <v>1</v>
      </c>
    </row>
    <row r="673" spans="1:4" x14ac:dyDescent="0.3">
      <c r="A673">
        <v>7</v>
      </c>
      <c r="B673" t="s">
        <v>61</v>
      </c>
      <c r="C673">
        <v>78</v>
      </c>
      <c r="D673">
        <f>COUNTIF(WeeklyPicks!$D$62:$F$71,C673)</f>
        <v>0</v>
      </c>
    </row>
    <row r="674" spans="1:4" x14ac:dyDescent="0.3">
      <c r="A674">
        <v>7</v>
      </c>
      <c r="B674" t="s">
        <v>61</v>
      </c>
      <c r="C674">
        <v>79</v>
      </c>
      <c r="D674">
        <f>COUNTIF(WeeklyPicks!$D$62:$F$71,C674)</f>
        <v>0</v>
      </c>
    </row>
    <row r="675" spans="1:4" x14ac:dyDescent="0.3">
      <c r="A675">
        <v>7</v>
      </c>
      <c r="B675" t="s">
        <v>61</v>
      </c>
      <c r="C675">
        <v>80</v>
      </c>
      <c r="D675">
        <f>COUNTIF(WeeklyPicks!$D$62:$F$71,C675)</f>
        <v>0</v>
      </c>
    </row>
    <row r="676" spans="1:4" x14ac:dyDescent="0.3">
      <c r="A676">
        <v>7</v>
      </c>
      <c r="B676" t="s">
        <v>61</v>
      </c>
      <c r="C676">
        <v>81</v>
      </c>
      <c r="D676">
        <f>COUNTIF(WeeklyPicks!$D$62:$F$71,C676)</f>
        <v>0</v>
      </c>
    </row>
    <row r="677" spans="1:4" x14ac:dyDescent="0.3">
      <c r="A677">
        <v>7</v>
      </c>
      <c r="B677" t="s">
        <v>61</v>
      </c>
      <c r="C677">
        <v>82</v>
      </c>
      <c r="D677">
        <f>COUNTIF(WeeklyPicks!$D$62:$F$71,C677)</f>
        <v>0</v>
      </c>
    </row>
    <row r="678" spans="1:4" x14ac:dyDescent="0.3">
      <c r="A678">
        <v>7</v>
      </c>
      <c r="B678" t="s">
        <v>61</v>
      </c>
      <c r="C678">
        <v>83</v>
      </c>
      <c r="D678">
        <f>COUNTIF(WeeklyPicks!$D$62:$F$71,C678)</f>
        <v>0</v>
      </c>
    </row>
    <row r="679" spans="1:4" x14ac:dyDescent="0.3">
      <c r="A679">
        <v>7</v>
      </c>
      <c r="B679" t="s">
        <v>61</v>
      </c>
      <c r="C679">
        <v>84</v>
      </c>
      <c r="D679">
        <f>COUNTIF(WeeklyPicks!$D$62:$F$71,C679)</f>
        <v>0</v>
      </c>
    </row>
    <row r="680" spans="1:4" x14ac:dyDescent="0.3">
      <c r="A680">
        <v>7</v>
      </c>
      <c r="B680" t="s">
        <v>61</v>
      </c>
      <c r="C680">
        <v>85</v>
      </c>
      <c r="D680">
        <f>COUNTIF(WeeklyPicks!$D$62:$F$71,C680)</f>
        <v>0</v>
      </c>
    </row>
    <row r="681" spans="1:4" x14ac:dyDescent="0.3">
      <c r="A681">
        <v>7</v>
      </c>
      <c r="B681" t="s">
        <v>61</v>
      </c>
      <c r="C681">
        <v>86</v>
      </c>
      <c r="D681">
        <f>COUNTIF(WeeklyPicks!$D$62:$F$71,C681)</f>
        <v>0</v>
      </c>
    </row>
    <row r="682" spans="1:4" x14ac:dyDescent="0.3">
      <c r="A682">
        <v>7</v>
      </c>
      <c r="B682" t="s">
        <v>61</v>
      </c>
      <c r="C682">
        <v>87</v>
      </c>
      <c r="D682">
        <f>COUNTIF(WeeklyPicks!$D$62:$F$71,C682)</f>
        <v>0</v>
      </c>
    </row>
    <row r="683" spans="1:4" x14ac:dyDescent="0.3">
      <c r="A683">
        <v>7</v>
      </c>
      <c r="B683" t="s">
        <v>61</v>
      </c>
      <c r="C683">
        <v>88</v>
      </c>
      <c r="D683">
        <f>COUNTIF(WeeklyPicks!$D$62:$F$71,C683)</f>
        <v>0</v>
      </c>
    </row>
    <row r="684" spans="1:4" x14ac:dyDescent="0.3">
      <c r="A684">
        <v>7</v>
      </c>
      <c r="B684" t="s">
        <v>61</v>
      </c>
      <c r="C684">
        <v>89</v>
      </c>
      <c r="D684">
        <f>COUNTIF(WeeklyPicks!$D$62:$F$71,C684)</f>
        <v>0</v>
      </c>
    </row>
    <row r="685" spans="1:4" x14ac:dyDescent="0.3">
      <c r="A685">
        <v>7</v>
      </c>
      <c r="B685" t="s">
        <v>61</v>
      </c>
      <c r="C685">
        <v>90</v>
      </c>
      <c r="D685">
        <f>COUNTIF(WeeklyPicks!$D$62:$F$71,C685)</f>
        <v>0</v>
      </c>
    </row>
    <row r="686" spans="1:4" x14ac:dyDescent="0.3">
      <c r="A686">
        <v>7</v>
      </c>
      <c r="B686" t="s">
        <v>61</v>
      </c>
      <c r="C686">
        <v>91</v>
      </c>
      <c r="D686">
        <f>COUNTIF(WeeklyPicks!$D$62:$F$71,C686)</f>
        <v>0</v>
      </c>
    </row>
    <row r="687" spans="1:4" x14ac:dyDescent="0.3">
      <c r="A687">
        <v>7</v>
      </c>
      <c r="B687" t="s">
        <v>61</v>
      </c>
      <c r="C687">
        <v>92</v>
      </c>
      <c r="D687">
        <f>COUNTIF(WeeklyPicks!$D$62:$F$71,C687)</f>
        <v>0</v>
      </c>
    </row>
    <row r="688" spans="1:4" x14ac:dyDescent="0.3">
      <c r="A688">
        <v>7</v>
      </c>
      <c r="B688" t="s">
        <v>61</v>
      </c>
      <c r="C688">
        <v>93</v>
      </c>
      <c r="D688">
        <f>COUNTIF(WeeklyPicks!$D$62:$F$71,C688)</f>
        <v>0</v>
      </c>
    </row>
    <row r="689" spans="1:4" x14ac:dyDescent="0.3">
      <c r="A689">
        <v>7</v>
      </c>
      <c r="B689" t="s">
        <v>61</v>
      </c>
      <c r="C689">
        <v>94</v>
      </c>
      <c r="D689">
        <f>COUNTIF(WeeklyPicks!$D$62:$F$71,C689)</f>
        <v>0</v>
      </c>
    </row>
    <row r="690" spans="1:4" x14ac:dyDescent="0.3">
      <c r="A690">
        <v>7</v>
      </c>
      <c r="B690" t="s">
        <v>61</v>
      </c>
      <c r="C690">
        <v>95</v>
      </c>
      <c r="D690">
        <f>COUNTIF(WeeklyPicks!$D$62:$F$71,C690)</f>
        <v>0</v>
      </c>
    </row>
    <row r="691" spans="1:4" x14ac:dyDescent="0.3">
      <c r="A691">
        <v>7</v>
      </c>
      <c r="B691" t="s">
        <v>61</v>
      </c>
      <c r="C691">
        <v>96</v>
      </c>
      <c r="D691">
        <f>COUNTIF(WeeklyPicks!$D$62:$F$71,C691)</f>
        <v>0</v>
      </c>
    </row>
    <row r="692" spans="1:4" x14ac:dyDescent="0.3">
      <c r="A692">
        <v>7</v>
      </c>
      <c r="B692" t="s">
        <v>61</v>
      </c>
      <c r="C692">
        <v>97</v>
      </c>
      <c r="D692">
        <f>COUNTIF(WeeklyPicks!$D$62:$F$71,C692)</f>
        <v>2</v>
      </c>
    </row>
    <row r="693" spans="1:4" x14ac:dyDescent="0.3">
      <c r="A693">
        <v>7</v>
      </c>
      <c r="B693" t="s">
        <v>61</v>
      </c>
      <c r="C693">
        <v>98</v>
      </c>
      <c r="D693">
        <f>COUNTIF(WeeklyPicks!$D$62:$F$71,C693)</f>
        <v>0</v>
      </c>
    </row>
    <row r="694" spans="1:4" x14ac:dyDescent="0.3">
      <c r="A694">
        <v>7</v>
      </c>
      <c r="B694" t="s">
        <v>61</v>
      </c>
      <c r="C694">
        <v>99</v>
      </c>
      <c r="D694">
        <f>COUNTIF(WeeklyPicks!$D$62:$F$71,C694)</f>
        <v>0</v>
      </c>
    </row>
    <row r="695" spans="1:4" x14ac:dyDescent="0.3">
      <c r="A695">
        <v>8</v>
      </c>
      <c r="B695" t="s">
        <v>63</v>
      </c>
      <c r="C695">
        <v>1</v>
      </c>
      <c r="D695">
        <f>COUNTIF(WeeklyPicks!$D$72:$F$81,C695)</f>
        <v>0</v>
      </c>
    </row>
    <row r="696" spans="1:4" x14ac:dyDescent="0.3">
      <c r="A696">
        <v>8</v>
      </c>
      <c r="B696" t="s">
        <v>63</v>
      </c>
      <c r="C696">
        <v>2</v>
      </c>
      <c r="D696">
        <f>COUNTIF(WeeklyPicks!$D$72:$F$81,C696)</f>
        <v>0</v>
      </c>
    </row>
    <row r="697" spans="1:4" x14ac:dyDescent="0.3">
      <c r="A697">
        <v>8</v>
      </c>
      <c r="B697" t="s">
        <v>63</v>
      </c>
      <c r="C697">
        <v>3</v>
      </c>
      <c r="D697">
        <f>COUNTIF(WeeklyPicks!$D$72:$F$81,C697)</f>
        <v>0</v>
      </c>
    </row>
    <row r="698" spans="1:4" x14ac:dyDescent="0.3">
      <c r="A698">
        <v>8</v>
      </c>
      <c r="B698" t="s">
        <v>63</v>
      </c>
      <c r="C698">
        <v>4</v>
      </c>
      <c r="D698">
        <f>COUNTIF(WeeklyPicks!$D$72:$F$81,C698)</f>
        <v>0</v>
      </c>
    </row>
    <row r="699" spans="1:4" x14ac:dyDescent="0.3">
      <c r="A699">
        <v>8</v>
      </c>
      <c r="B699" t="s">
        <v>63</v>
      </c>
      <c r="C699">
        <v>5</v>
      </c>
      <c r="D699">
        <f>COUNTIF(WeeklyPicks!$D$72:$F$81,C699)</f>
        <v>4</v>
      </c>
    </row>
    <row r="700" spans="1:4" x14ac:dyDescent="0.3">
      <c r="A700">
        <v>8</v>
      </c>
      <c r="B700" t="s">
        <v>63</v>
      </c>
      <c r="C700">
        <v>6</v>
      </c>
      <c r="D700">
        <f>COUNTIF(WeeklyPicks!$D$72:$F$81,C700)</f>
        <v>0</v>
      </c>
    </row>
    <row r="701" spans="1:4" x14ac:dyDescent="0.3">
      <c r="A701">
        <v>8</v>
      </c>
      <c r="B701" t="s">
        <v>63</v>
      </c>
      <c r="C701">
        <v>7</v>
      </c>
      <c r="D701">
        <f>COUNTIF(WeeklyPicks!$D$72:$F$81,C701)</f>
        <v>0</v>
      </c>
    </row>
    <row r="702" spans="1:4" x14ac:dyDescent="0.3">
      <c r="A702">
        <v>8</v>
      </c>
      <c r="B702" t="s">
        <v>63</v>
      </c>
      <c r="C702">
        <v>8</v>
      </c>
      <c r="D702">
        <f>COUNTIF(WeeklyPicks!$D$72:$F$81,C702)</f>
        <v>0</v>
      </c>
    </row>
    <row r="703" spans="1:4" x14ac:dyDescent="0.3">
      <c r="A703">
        <v>8</v>
      </c>
      <c r="B703" t="s">
        <v>63</v>
      </c>
      <c r="C703">
        <v>9</v>
      </c>
      <c r="D703">
        <f>COUNTIF(WeeklyPicks!$D$72:$F$81,C703)</f>
        <v>0</v>
      </c>
    </row>
    <row r="704" spans="1:4" x14ac:dyDescent="0.3">
      <c r="A704">
        <v>8</v>
      </c>
      <c r="B704" t="s">
        <v>63</v>
      </c>
      <c r="C704">
        <v>10</v>
      </c>
      <c r="D704">
        <f>COUNTIF(WeeklyPicks!$D$72:$F$81,C704)</f>
        <v>0</v>
      </c>
    </row>
    <row r="705" spans="1:4" x14ac:dyDescent="0.3">
      <c r="A705">
        <v>8</v>
      </c>
      <c r="B705" t="s">
        <v>63</v>
      </c>
      <c r="C705">
        <v>11</v>
      </c>
      <c r="D705">
        <f>COUNTIF(WeeklyPicks!$D$72:$F$81,C705)</f>
        <v>3</v>
      </c>
    </row>
    <row r="706" spans="1:4" x14ac:dyDescent="0.3">
      <c r="A706">
        <v>8</v>
      </c>
      <c r="B706" t="s">
        <v>63</v>
      </c>
      <c r="C706">
        <v>12</v>
      </c>
      <c r="D706">
        <f>COUNTIF(WeeklyPicks!$D$72:$F$81,C706)</f>
        <v>6</v>
      </c>
    </row>
    <row r="707" spans="1:4" x14ac:dyDescent="0.3">
      <c r="A707">
        <v>8</v>
      </c>
      <c r="B707" t="s">
        <v>63</v>
      </c>
      <c r="C707">
        <v>13</v>
      </c>
      <c r="D707">
        <f>COUNTIF(WeeklyPicks!$D$72:$F$81,C707)</f>
        <v>0</v>
      </c>
    </row>
    <row r="708" spans="1:4" x14ac:dyDescent="0.3">
      <c r="A708">
        <v>8</v>
      </c>
      <c r="B708" t="s">
        <v>63</v>
      </c>
      <c r="C708">
        <v>14</v>
      </c>
      <c r="D708">
        <f>COUNTIF(WeeklyPicks!$D$72:$F$81,C708)</f>
        <v>0</v>
      </c>
    </row>
    <row r="709" spans="1:4" x14ac:dyDescent="0.3">
      <c r="A709">
        <v>8</v>
      </c>
      <c r="B709" t="s">
        <v>63</v>
      </c>
      <c r="C709">
        <v>15</v>
      </c>
      <c r="D709">
        <f>COUNTIF(WeeklyPicks!$D$72:$F$81,C709)</f>
        <v>0</v>
      </c>
    </row>
    <row r="710" spans="1:4" x14ac:dyDescent="0.3">
      <c r="A710">
        <v>8</v>
      </c>
      <c r="B710" t="s">
        <v>63</v>
      </c>
      <c r="C710">
        <v>16</v>
      </c>
      <c r="D710">
        <f>COUNTIF(WeeklyPicks!$D$72:$F$81,C710)</f>
        <v>0</v>
      </c>
    </row>
    <row r="711" spans="1:4" x14ac:dyDescent="0.3">
      <c r="A711">
        <v>8</v>
      </c>
      <c r="B711" t="s">
        <v>63</v>
      </c>
      <c r="C711">
        <v>17</v>
      </c>
      <c r="D711">
        <f>COUNTIF(WeeklyPicks!$D$72:$F$81,C711)</f>
        <v>1</v>
      </c>
    </row>
    <row r="712" spans="1:4" x14ac:dyDescent="0.3">
      <c r="A712">
        <v>8</v>
      </c>
      <c r="B712" t="s">
        <v>63</v>
      </c>
      <c r="C712">
        <v>18</v>
      </c>
      <c r="D712">
        <f>COUNTIF(WeeklyPicks!$D$72:$F$81,C712)</f>
        <v>0</v>
      </c>
    </row>
    <row r="713" spans="1:4" x14ac:dyDescent="0.3">
      <c r="A713">
        <v>8</v>
      </c>
      <c r="B713" t="s">
        <v>63</v>
      </c>
      <c r="C713">
        <v>19</v>
      </c>
      <c r="D713">
        <f>COUNTIF(WeeklyPicks!$D$72:$F$81,C713)</f>
        <v>0</v>
      </c>
    </row>
    <row r="714" spans="1:4" x14ac:dyDescent="0.3">
      <c r="A714">
        <v>8</v>
      </c>
      <c r="B714" t="s">
        <v>63</v>
      </c>
      <c r="C714">
        <v>20</v>
      </c>
      <c r="D714">
        <f>COUNTIF(WeeklyPicks!$D$72:$F$81,C714)</f>
        <v>2</v>
      </c>
    </row>
    <row r="715" spans="1:4" x14ac:dyDescent="0.3">
      <c r="A715">
        <v>8</v>
      </c>
      <c r="B715" t="s">
        <v>63</v>
      </c>
      <c r="C715">
        <v>21</v>
      </c>
      <c r="D715">
        <f>COUNTIF(WeeklyPicks!$D$72:$F$81,C715)</f>
        <v>0</v>
      </c>
    </row>
    <row r="716" spans="1:4" x14ac:dyDescent="0.3">
      <c r="A716">
        <v>8</v>
      </c>
      <c r="B716" t="s">
        <v>63</v>
      </c>
      <c r="C716">
        <v>22</v>
      </c>
      <c r="D716">
        <f>COUNTIF(WeeklyPicks!$D$72:$F$81,C716)</f>
        <v>1</v>
      </c>
    </row>
    <row r="717" spans="1:4" x14ac:dyDescent="0.3">
      <c r="A717">
        <v>8</v>
      </c>
      <c r="B717" t="s">
        <v>63</v>
      </c>
      <c r="C717">
        <v>23</v>
      </c>
      <c r="D717">
        <f>COUNTIF(WeeklyPicks!$D$72:$F$81,C717)</f>
        <v>0</v>
      </c>
    </row>
    <row r="718" spans="1:4" x14ac:dyDescent="0.3">
      <c r="A718">
        <v>8</v>
      </c>
      <c r="B718" t="s">
        <v>63</v>
      </c>
      <c r="C718">
        <v>24</v>
      </c>
      <c r="D718">
        <f>COUNTIF(WeeklyPicks!$D$72:$F$81,C718)</f>
        <v>0</v>
      </c>
    </row>
    <row r="719" spans="1:4" x14ac:dyDescent="0.3">
      <c r="A719">
        <v>8</v>
      </c>
      <c r="B719" t="s">
        <v>63</v>
      </c>
      <c r="C719">
        <v>25</v>
      </c>
      <c r="D719">
        <f>COUNTIF(WeeklyPicks!$D$72:$F$81,C719)</f>
        <v>0</v>
      </c>
    </row>
    <row r="720" spans="1:4" x14ac:dyDescent="0.3">
      <c r="A720">
        <v>8</v>
      </c>
      <c r="B720" t="s">
        <v>63</v>
      </c>
      <c r="C720">
        <v>26</v>
      </c>
      <c r="D720">
        <f>COUNTIF(WeeklyPicks!$D$72:$F$81,C720)</f>
        <v>0</v>
      </c>
    </row>
    <row r="721" spans="1:4" x14ac:dyDescent="0.3">
      <c r="A721">
        <v>8</v>
      </c>
      <c r="B721" t="s">
        <v>63</v>
      </c>
      <c r="C721">
        <v>27</v>
      </c>
      <c r="D721">
        <f>COUNTIF(WeeklyPicks!$D$72:$F$81,C721)</f>
        <v>0</v>
      </c>
    </row>
    <row r="722" spans="1:4" x14ac:dyDescent="0.3">
      <c r="A722">
        <v>8</v>
      </c>
      <c r="B722" t="s">
        <v>63</v>
      </c>
      <c r="C722">
        <v>28</v>
      </c>
      <c r="D722">
        <f>COUNTIF(WeeklyPicks!$D$72:$F$81,C722)</f>
        <v>0</v>
      </c>
    </row>
    <row r="723" spans="1:4" x14ac:dyDescent="0.3">
      <c r="A723">
        <v>8</v>
      </c>
      <c r="B723" t="s">
        <v>63</v>
      </c>
      <c r="C723">
        <v>29</v>
      </c>
      <c r="D723">
        <f>COUNTIF(WeeklyPicks!$D$72:$F$81,C723)</f>
        <v>0</v>
      </c>
    </row>
    <row r="724" spans="1:4" x14ac:dyDescent="0.3">
      <c r="A724">
        <v>8</v>
      </c>
      <c r="B724" t="s">
        <v>63</v>
      </c>
      <c r="C724">
        <v>30</v>
      </c>
      <c r="D724">
        <f>COUNTIF(WeeklyPicks!$D$72:$F$81,C724)</f>
        <v>0</v>
      </c>
    </row>
    <row r="725" spans="1:4" x14ac:dyDescent="0.3">
      <c r="A725">
        <v>8</v>
      </c>
      <c r="B725" t="s">
        <v>63</v>
      </c>
      <c r="C725">
        <v>31</v>
      </c>
      <c r="D725">
        <f>COUNTIF(WeeklyPicks!$D$72:$F$81,C725)</f>
        <v>0</v>
      </c>
    </row>
    <row r="726" spans="1:4" x14ac:dyDescent="0.3">
      <c r="A726">
        <v>8</v>
      </c>
      <c r="B726" t="s">
        <v>63</v>
      </c>
      <c r="C726">
        <v>32</v>
      </c>
      <c r="D726">
        <f>COUNTIF(WeeklyPicks!$D$72:$F$81,C726)</f>
        <v>0</v>
      </c>
    </row>
    <row r="727" spans="1:4" x14ac:dyDescent="0.3">
      <c r="A727">
        <v>8</v>
      </c>
      <c r="B727" t="s">
        <v>63</v>
      </c>
      <c r="C727">
        <v>33</v>
      </c>
      <c r="D727">
        <f>COUNTIF(WeeklyPicks!$D$72:$F$81,C727)</f>
        <v>0</v>
      </c>
    </row>
    <row r="728" spans="1:4" x14ac:dyDescent="0.3">
      <c r="A728">
        <v>8</v>
      </c>
      <c r="B728" t="s">
        <v>63</v>
      </c>
      <c r="C728">
        <v>34</v>
      </c>
      <c r="D728">
        <f>COUNTIF(WeeklyPicks!$D$72:$F$81,C728)</f>
        <v>0</v>
      </c>
    </row>
    <row r="729" spans="1:4" x14ac:dyDescent="0.3">
      <c r="A729">
        <v>8</v>
      </c>
      <c r="B729" t="s">
        <v>63</v>
      </c>
      <c r="C729">
        <v>35</v>
      </c>
      <c r="D729">
        <f>COUNTIF(WeeklyPicks!$D$72:$F$81,C729)</f>
        <v>0</v>
      </c>
    </row>
    <row r="730" spans="1:4" x14ac:dyDescent="0.3">
      <c r="A730">
        <v>8</v>
      </c>
      <c r="B730" t="s">
        <v>63</v>
      </c>
      <c r="C730">
        <v>36</v>
      </c>
      <c r="D730">
        <f>COUNTIF(WeeklyPicks!$D$72:$F$81,C730)</f>
        <v>0</v>
      </c>
    </row>
    <row r="731" spans="1:4" x14ac:dyDescent="0.3">
      <c r="A731">
        <v>8</v>
      </c>
      <c r="B731" t="s">
        <v>63</v>
      </c>
      <c r="C731">
        <v>37</v>
      </c>
      <c r="D731">
        <f>COUNTIF(WeeklyPicks!$D$72:$F$81,C731)</f>
        <v>0</v>
      </c>
    </row>
    <row r="732" spans="1:4" x14ac:dyDescent="0.3">
      <c r="A732">
        <v>8</v>
      </c>
      <c r="B732" t="s">
        <v>63</v>
      </c>
      <c r="C732">
        <v>38</v>
      </c>
      <c r="D732">
        <f>COUNTIF(WeeklyPicks!$D$72:$F$81,C732)</f>
        <v>0</v>
      </c>
    </row>
    <row r="733" spans="1:4" x14ac:dyDescent="0.3">
      <c r="A733">
        <v>8</v>
      </c>
      <c r="B733" t="s">
        <v>63</v>
      </c>
      <c r="C733">
        <v>39</v>
      </c>
      <c r="D733">
        <f>COUNTIF(WeeklyPicks!$D$72:$F$81,C733)</f>
        <v>0</v>
      </c>
    </row>
    <row r="734" spans="1:4" x14ac:dyDescent="0.3">
      <c r="A734">
        <v>8</v>
      </c>
      <c r="B734" t="s">
        <v>63</v>
      </c>
      <c r="C734">
        <v>40</v>
      </c>
      <c r="D734">
        <f>COUNTIF(WeeklyPicks!$D$72:$F$81,C734)</f>
        <v>0</v>
      </c>
    </row>
    <row r="735" spans="1:4" x14ac:dyDescent="0.3">
      <c r="A735">
        <v>8</v>
      </c>
      <c r="B735" t="s">
        <v>63</v>
      </c>
      <c r="C735">
        <v>41</v>
      </c>
      <c r="D735">
        <f>COUNTIF(WeeklyPicks!$D$72:$F$81,C735)</f>
        <v>0</v>
      </c>
    </row>
    <row r="736" spans="1:4" x14ac:dyDescent="0.3">
      <c r="A736">
        <v>8</v>
      </c>
      <c r="B736" t="s">
        <v>63</v>
      </c>
      <c r="C736">
        <v>42</v>
      </c>
      <c r="D736">
        <f>COUNTIF(WeeklyPicks!$D$72:$F$81,C736)</f>
        <v>0</v>
      </c>
    </row>
    <row r="737" spans="1:4" x14ac:dyDescent="0.3">
      <c r="A737">
        <v>8</v>
      </c>
      <c r="B737" t="s">
        <v>63</v>
      </c>
      <c r="C737">
        <v>43</v>
      </c>
      <c r="D737">
        <f>COUNTIF(WeeklyPicks!$D$72:$F$81,C737)</f>
        <v>0</v>
      </c>
    </row>
    <row r="738" spans="1:4" x14ac:dyDescent="0.3">
      <c r="A738">
        <v>8</v>
      </c>
      <c r="B738" t="s">
        <v>63</v>
      </c>
      <c r="C738">
        <v>44</v>
      </c>
      <c r="D738">
        <f>COUNTIF(WeeklyPicks!$D$72:$F$81,C738)</f>
        <v>0</v>
      </c>
    </row>
    <row r="739" spans="1:4" x14ac:dyDescent="0.3">
      <c r="A739">
        <v>8</v>
      </c>
      <c r="B739" t="s">
        <v>63</v>
      </c>
      <c r="C739">
        <v>45</v>
      </c>
      <c r="D739">
        <f>COUNTIF(WeeklyPicks!$D$72:$F$81,C739)</f>
        <v>4</v>
      </c>
    </row>
    <row r="740" spans="1:4" x14ac:dyDescent="0.3">
      <c r="A740">
        <v>8</v>
      </c>
      <c r="B740" t="s">
        <v>63</v>
      </c>
      <c r="C740">
        <v>46</v>
      </c>
      <c r="D740">
        <f>COUNTIF(WeeklyPicks!$D$72:$F$81,C740)</f>
        <v>0</v>
      </c>
    </row>
    <row r="741" spans="1:4" x14ac:dyDescent="0.3">
      <c r="A741">
        <v>8</v>
      </c>
      <c r="B741" t="s">
        <v>63</v>
      </c>
      <c r="C741">
        <v>47</v>
      </c>
      <c r="D741">
        <f>COUNTIF(WeeklyPicks!$D$72:$F$81,C741)</f>
        <v>0</v>
      </c>
    </row>
    <row r="742" spans="1:4" x14ac:dyDescent="0.3">
      <c r="A742">
        <v>8</v>
      </c>
      <c r="B742" t="s">
        <v>63</v>
      </c>
      <c r="C742">
        <v>48</v>
      </c>
      <c r="D742">
        <f>COUNTIF(WeeklyPicks!$D$72:$F$81,C742)</f>
        <v>0</v>
      </c>
    </row>
    <row r="743" spans="1:4" x14ac:dyDescent="0.3">
      <c r="A743">
        <v>8</v>
      </c>
      <c r="B743" t="s">
        <v>63</v>
      </c>
      <c r="C743">
        <v>49</v>
      </c>
      <c r="D743">
        <f>COUNTIF(WeeklyPicks!$D$72:$F$81,C743)</f>
        <v>0</v>
      </c>
    </row>
    <row r="744" spans="1:4" x14ac:dyDescent="0.3">
      <c r="A744">
        <v>8</v>
      </c>
      <c r="B744" t="s">
        <v>63</v>
      </c>
      <c r="C744">
        <v>50</v>
      </c>
      <c r="D744">
        <f>COUNTIF(WeeklyPicks!$D$72:$F$81,C744)</f>
        <v>0</v>
      </c>
    </row>
    <row r="745" spans="1:4" x14ac:dyDescent="0.3">
      <c r="A745">
        <v>8</v>
      </c>
      <c r="B745" t="s">
        <v>63</v>
      </c>
      <c r="C745">
        <v>51</v>
      </c>
      <c r="D745">
        <f>COUNTIF(WeeklyPicks!$D$72:$F$81,C745)</f>
        <v>0</v>
      </c>
    </row>
    <row r="746" spans="1:4" x14ac:dyDescent="0.3">
      <c r="A746">
        <v>8</v>
      </c>
      <c r="B746" t="s">
        <v>63</v>
      </c>
      <c r="C746">
        <v>52</v>
      </c>
      <c r="D746">
        <f>COUNTIF(WeeklyPicks!$D$72:$F$81,C746)</f>
        <v>0</v>
      </c>
    </row>
    <row r="747" spans="1:4" x14ac:dyDescent="0.3">
      <c r="A747">
        <v>8</v>
      </c>
      <c r="B747" t="s">
        <v>63</v>
      </c>
      <c r="C747">
        <v>53</v>
      </c>
      <c r="D747">
        <f>COUNTIF(WeeklyPicks!$D$72:$F$81,C747)</f>
        <v>0</v>
      </c>
    </row>
    <row r="748" spans="1:4" x14ac:dyDescent="0.3">
      <c r="A748">
        <v>8</v>
      </c>
      <c r="B748" t="s">
        <v>63</v>
      </c>
      <c r="C748">
        <v>54</v>
      </c>
      <c r="D748">
        <f>COUNTIF(WeeklyPicks!$D$72:$F$81,C748)</f>
        <v>3</v>
      </c>
    </row>
    <row r="749" spans="1:4" x14ac:dyDescent="0.3">
      <c r="A749">
        <v>8</v>
      </c>
      <c r="B749" t="s">
        <v>63</v>
      </c>
      <c r="C749">
        <v>55</v>
      </c>
      <c r="D749">
        <f>COUNTIF(WeeklyPicks!$D$72:$F$81,C749)</f>
        <v>0</v>
      </c>
    </row>
    <row r="750" spans="1:4" x14ac:dyDescent="0.3">
      <c r="A750">
        <v>8</v>
      </c>
      <c r="B750" t="s">
        <v>63</v>
      </c>
      <c r="C750">
        <v>56</v>
      </c>
      <c r="D750">
        <f>COUNTIF(WeeklyPicks!$D$72:$F$81,C750)</f>
        <v>0</v>
      </c>
    </row>
    <row r="751" spans="1:4" x14ac:dyDescent="0.3">
      <c r="A751">
        <v>8</v>
      </c>
      <c r="B751" t="s">
        <v>63</v>
      </c>
      <c r="C751">
        <v>57</v>
      </c>
      <c r="D751">
        <f>COUNTIF(WeeklyPicks!$D$72:$F$81,C751)</f>
        <v>0</v>
      </c>
    </row>
    <row r="752" spans="1:4" x14ac:dyDescent="0.3">
      <c r="A752">
        <v>8</v>
      </c>
      <c r="B752" t="s">
        <v>63</v>
      </c>
      <c r="C752">
        <v>58</v>
      </c>
      <c r="D752">
        <f>COUNTIF(WeeklyPicks!$D$72:$F$81,C752)</f>
        <v>0</v>
      </c>
    </row>
    <row r="753" spans="1:4" x14ac:dyDescent="0.3">
      <c r="A753">
        <v>8</v>
      </c>
      <c r="B753" t="s">
        <v>63</v>
      </c>
      <c r="C753">
        <v>59</v>
      </c>
      <c r="D753">
        <f>COUNTIF(WeeklyPicks!$D$72:$F$81,C753)</f>
        <v>0</v>
      </c>
    </row>
    <row r="754" spans="1:4" x14ac:dyDescent="0.3">
      <c r="A754">
        <v>8</v>
      </c>
      <c r="B754" t="s">
        <v>63</v>
      </c>
      <c r="C754">
        <v>60</v>
      </c>
      <c r="D754">
        <f>COUNTIF(WeeklyPicks!$D$72:$F$81,C754)</f>
        <v>0</v>
      </c>
    </row>
    <row r="755" spans="1:4" x14ac:dyDescent="0.3">
      <c r="A755">
        <v>8</v>
      </c>
      <c r="B755" t="s">
        <v>63</v>
      </c>
      <c r="C755">
        <v>61</v>
      </c>
      <c r="D755">
        <f>COUNTIF(WeeklyPicks!$D$72:$F$81,C755)</f>
        <v>0</v>
      </c>
    </row>
    <row r="756" spans="1:4" x14ac:dyDescent="0.3">
      <c r="A756">
        <v>8</v>
      </c>
      <c r="B756" t="s">
        <v>63</v>
      </c>
      <c r="C756">
        <v>62</v>
      </c>
      <c r="D756">
        <f>COUNTIF(WeeklyPicks!$D$72:$F$81,C756)</f>
        <v>0</v>
      </c>
    </row>
    <row r="757" spans="1:4" x14ac:dyDescent="0.3">
      <c r="A757">
        <v>8</v>
      </c>
      <c r="B757" t="s">
        <v>63</v>
      </c>
      <c r="C757">
        <v>63</v>
      </c>
      <c r="D757">
        <f>COUNTIF(WeeklyPicks!$D$72:$F$81,C757)</f>
        <v>0</v>
      </c>
    </row>
    <row r="758" spans="1:4" x14ac:dyDescent="0.3">
      <c r="A758">
        <v>8</v>
      </c>
      <c r="B758" t="s">
        <v>63</v>
      </c>
      <c r="C758">
        <v>64</v>
      </c>
      <c r="D758">
        <f>COUNTIF(WeeklyPicks!$D$72:$F$81,C758)</f>
        <v>0</v>
      </c>
    </row>
    <row r="759" spans="1:4" x14ac:dyDescent="0.3">
      <c r="A759">
        <v>8</v>
      </c>
      <c r="B759" t="s">
        <v>63</v>
      </c>
      <c r="C759">
        <v>65</v>
      </c>
      <c r="D759">
        <f>COUNTIF(WeeklyPicks!$D$72:$F$81,C759)</f>
        <v>0</v>
      </c>
    </row>
    <row r="760" spans="1:4" x14ac:dyDescent="0.3">
      <c r="A760">
        <v>8</v>
      </c>
      <c r="B760" t="s">
        <v>63</v>
      </c>
      <c r="C760">
        <v>66</v>
      </c>
      <c r="D760">
        <f>COUNTIF(WeeklyPicks!$D$72:$F$81,C760)</f>
        <v>0</v>
      </c>
    </row>
    <row r="761" spans="1:4" x14ac:dyDescent="0.3">
      <c r="A761">
        <v>8</v>
      </c>
      <c r="B761" t="s">
        <v>63</v>
      </c>
      <c r="C761">
        <v>67</v>
      </c>
      <c r="D761">
        <f>COUNTIF(WeeklyPicks!$D$72:$F$81,C761)</f>
        <v>0</v>
      </c>
    </row>
    <row r="762" spans="1:4" x14ac:dyDescent="0.3">
      <c r="A762">
        <v>8</v>
      </c>
      <c r="B762" t="s">
        <v>63</v>
      </c>
      <c r="C762">
        <v>68</v>
      </c>
      <c r="D762">
        <f>COUNTIF(WeeklyPicks!$D$72:$F$81,C762)</f>
        <v>0</v>
      </c>
    </row>
    <row r="763" spans="1:4" x14ac:dyDescent="0.3">
      <c r="A763">
        <v>8</v>
      </c>
      <c r="B763" t="s">
        <v>63</v>
      </c>
      <c r="C763">
        <v>69</v>
      </c>
      <c r="D763">
        <f>COUNTIF(WeeklyPicks!$D$72:$F$81,C763)</f>
        <v>0</v>
      </c>
    </row>
    <row r="764" spans="1:4" x14ac:dyDescent="0.3">
      <c r="A764">
        <v>8</v>
      </c>
      <c r="B764" t="s">
        <v>63</v>
      </c>
      <c r="C764">
        <v>70</v>
      </c>
      <c r="D764">
        <f>COUNTIF(WeeklyPicks!$D$72:$F$81,C764)</f>
        <v>0</v>
      </c>
    </row>
    <row r="765" spans="1:4" x14ac:dyDescent="0.3">
      <c r="A765">
        <v>8</v>
      </c>
      <c r="B765" t="s">
        <v>63</v>
      </c>
      <c r="C765">
        <v>71</v>
      </c>
      <c r="D765">
        <f>COUNTIF(WeeklyPicks!$D$72:$F$81,C765)</f>
        <v>0</v>
      </c>
    </row>
    <row r="766" spans="1:4" x14ac:dyDescent="0.3">
      <c r="A766">
        <v>8</v>
      </c>
      <c r="B766" t="s">
        <v>63</v>
      </c>
      <c r="C766">
        <v>72</v>
      </c>
      <c r="D766">
        <f>COUNTIF(WeeklyPicks!$D$72:$F$81,C766)</f>
        <v>0</v>
      </c>
    </row>
    <row r="767" spans="1:4" x14ac:dyDescent="0.3">
      <c r="A767">
        <v>8</v>
      </c>
      <c r="B767" t="s">
        <v>63</v>
      </c>
      <c r="C767">
        <v>73</v>
      </c>
      <c r="D767">
        <f>COUNTIF(WeeklyPicks!$D$72:$F$81,C767)</f>
        <v>0</v>
      </c>
    </row>
    <row r="768" spans="1:4" x14ac:dyDescent="0.3">
      <c r="A768">
        <v>8</v>
      </c>
      <c r="B768" t="s">
        <v>63</v>
      </c>
      <c r="C768">
        <v>74</v>
      </c>
      <c r="D768">
        <f>COUNTIF(WeeklyPicks!$D$72:$F$81,C768)</f>
        <v>0</v>
      </c>
    </row>
    <row r="769" spans="1:4" x14ac:dyDescent="0.3">
      <c r="A769">
        <v>8</v>
      </c>
      <c r="B769" t="s">
        <v>63</v>
      </c>
      <c r="C769">
        <v>75</v>
      </c>
      <c r="D769">
        <f>COUNTIF(WeeklyPicks!$D$72:$F$81,C769)</f>
        <v>0</v>
      </c>
    </row>
    <row r="770" spans="1:4" x14ac:dyDescent="0.3">
      <c r="A770">
        <v>8</v>
      </c>
      <c r="B770" t="s">
        <v>63</v>
      </c>
      <c r="C770">
        <v>76</v>
      </c>
      <c r="D770">
        <f>COUNTIF(WeeklyPicks!$D$72:$F$81,C770)</f>
        <v>0</v>
      </c>
    </row>
    <row r="771" spans="1:4" x14ac:dyDescent="0.3">
      <c r="A771">
        <v>8</v>
      </c>
      <c r="B771" t="s">
        <v>63</v>
      </c>
      <c r="C771">
        <v>77</v>
      </c>
      <c r="D771">
        <f>COUNTIF(WeeklyPicks!$D$72:$F$81,C771)</f>
        <v>0</v>
      </c>
    </row>
    <row r="772" spans="1:4" x14ac:dyDescent="0.3">
      <c r="A772">
        <v>8</v>
      </c>
      <c r="B772" t="s">
        <v>63</v>
      </c>
      <c r="C772">
        <v>78</v>
      </c>
      <c r="D772">
        <f>COUNTIF(WeeklyPicks!$D$72:$F$81,C772)</f>
        <v>0</v>
      </c>
    </row>
    <row r="773" spans="1:4" x14ac:dyDescent="0.3">
      <c r="A773">
        <v>8</v>
      </c>
      <c r="B773" t="s">
        <v>63</v>
      </c>
      <c r="C773">
        <v>79</v>
      </c>
      <c r="D773">
        <f>COUNTIF(WeeklyPicks!$D$72:$F$81,C773)</f>
        <v>0</v>
      </c>
    </row>
    <row r="774" spans="1:4" x14ac:dyDescent="0.3">
      <c r="A774">
        <v>8</v>
      </c>
      <c r="B774" t="s">
        <v>63</v>
      </c>
      <c r="C774">
        <v>80</v>
      </c>
      <c r="D774">
        <f>COUNTIF(WeeklyPicks!$D$72:$F$81,C774)</f>
        <v>0</v>
      </c>
    </row>
    <row r="775" spans="1:4" x14ac:dyDescent="0.3">
      <c r="A775">
        <v>8</v>
      </c>
      <c r="B775" t="s">
        <v>63</v>
      </c>
      <c r="C775">
        <v>81</v>
      </c>
      <c r="D775">
        <f>COUNTIF(WeeklyPicks!$D$72:$F$81,C775)</f>
        <v>0</v>
      </c>
    </row>
    <row r="776" spans="1:4" x14ac:dyDescent="0.3">
      <c r="A776">
        <v>8</v>
      </c>
      <c r="B776" t="s">
        <v>63</v>
      </c>
      <c r="C776">
        <v>82</v>
      </c>
      <c r="D776">
        <f>COUNTIF(WeeklyPicks!$D$72:$F$81,C776)</f>
        <v>0</v>
      </c>
    </row>
    <row r="777" spans="1:4" x14ac:dyDescent="0.3">
      <c r="A777">
        <v>8</v>
      </c>
      <c r="B777" t="s">
        <v>63</v>
      </c>
      <c r="C777">
        <v>83</v>
      </c>
      <c r="D777">
        <f>COUNTIF(WeeklyPicks!$D$72:$F$81,C777)</f>
        <v>0</v>
      </c>
    </row>
    <row r="778" spans="1:4" x14ac:dyDescent="0.3">
      <c r="A778">
        <v>8</v>
      </c>
      <c r="B778" t="s">
        <v>63</v>
      </c>
      <c r="C778">
        <v>84</v>
      </c>
      <c r="D778">
        <f>COUNTIF(WeeklyPicks!$D$72:$F$81,C778)</f>
        <v>0</v>
      </c>
    </row>
    <row r="779" spans="1:4" x14ac:dyDescent="0.3">
      <c r="A779">
        <v>8</v>
      </c>
      <c r="B779" t="s">
        <v>63</v>
      </c>
      <c r="C779">
        <v>85</v>
      </c>
      <c r="D779">
        <f>COUNTIF(WeeklyPicks!$D$72:$F$81,C779)</f>
        <v>0</v>
      </c>
    </row>
    <row r="780" spans="1:4" x14ac:dyDescent="0.3">
      <c r="A780">
        <v>8</v>
      </c>
      <c r="B780" t="s">
        <v>63</v>
      </c>
      <c r="C780">
        <v>86</v>
      </c>
      <c r="D780">
        <f>COUNTIF(WeeklyPicks!$D$72:$F$81,C780)</f>
        <v>0</v>
      </c>
    </row>
    <row r="781" spans="1:4" x14ac:dyDescent="0.3">
      <c r="A781">
        <v>8</v>
      </c>
      <c r="B781" t="s">
        <v>63</v>
      </c>
      <c r="C781">
        <v>87</v>
      </c>
      <c r="D781">
        <f>COUNTIF(WeeklyPicks!$D$72:$F$81,C781)</f>
        <v>0</v>
      </c>
    </row>
    <row r="782" spans="1:4" x14ac:dyDescent="0.3">
      <c r="A782">
        <v>8</v>
      </c>
      <c r="B782" t="s">
        <v>63</v>
      </c>
      <c r="C782">
        <v>88</v>
      </c>
      <c r="D782">
        <f>COUNTIF(WeeklyPicks!$D$72:$F$81,C782)</f>
        <v>0</v>
      </c>
    </row>
    <row r="783" spans="1:4" x14ac:dyDescent="0.3">
      <c r="A783">
        <v>8</v>
      </c>
      <c r="B783" t="s">
        <v>63</v>
      </c>
      <c r="C783">
        <v>89</v>
      </c>
      <c r="D783">
        <f>COUNTIF(WeeklyPicks!$D$72:$F$81,C783)</f>
        <v>0</v>
      </c>
    </row>
    <row r="784" spans="1:4" x14ac:dyDescent="0.3">
      <c r="A784">
        <v>8</v>
      </c>
      <c r="B784" t="s">
        <v>63</v>
      </c>
      <c r="C784">
        <v>90</v>
      </c>
      <c r="D784">
        <f>COUNTIF(WeeklyPicks!$D$72:$F$81,C784)</f>
        <v>0</v>
      </c>
    </row>
    <row r="785" spans="1:4" x14ac:dyDescent="0.3">
      <c r="A785">
        <v>8</v>
      </c>
      <c r="B785" t="s">
        <v>63</v>
      </c>
      <c r="C785">
        <v>91</v>
      </c>
      <c r="D785">
        <f>COUNTIF(WeeklyPicks!$D$72:$F$81,C785)</f>
        <v>0</v>
      </c>
    </row>
    <row r="786" spans="1:4" x14ac:dyDescent="0.3">
      <c r="A786">
        <v>8</v>
      </c>
      <c r="B786" t="s">
        <v>63</v>
      </c>
      <c r="C786">
        <v>92</v>
      </c>
      <c r="D786">
        <f>COUNTIF(WeeklyPicks!$D$72:$F$81,C786)</f>
        <v>0</v>
      </c>
    </row>
    <row r="787" spans="1:4" x14ac:dyDescent="0.3">
      <c r="A787">
        <v>8</v>
      </c>
      <c r="B787" t="s">
        <v>63</v>
      </c>
      <c r="C787">
        <v>93</v>
      </c>
      <c r="D787">
        <f>COUNTIF(WeeklyPicks!$D$72:$F$81,C787)</f>
        <v>0</v>
      </c>
    </row>
    <row r="788" spans="1:4" x14ac:dyDescent="0.3">
      <c r="A788">
        <v>8</v>
      </c>
      <c r="B788" t="s">
        <v>63</v>
      </c>
      <c r="C788">
        <v>94</v>
      </c>
      <c r="D788">
        <f>COUNTIF(WeeklyPicks!$D$72:$F$81,C788)</f>
        <v>0</v>
      </c>
    </row>
    <row r="789" spans="1:4" x14ac:dyDescent="0.3">
      <c r="A789">
        <v>8</v>
      </c>
      <c r="B789" t="s">
        <v>63</v>
      </c>
      <c r="C789">
        <v>95</v>
      </c>
      <c r="D789">
        <f>COUNTIF(WeeklyPicks!$D$72:$F$81,C789)</f>
        <v>0</v>
      </c>
    </row>
    <row r="790" spans="1:4" x14ac:dyDescent="0.3">
      <c r="A790">
        <v>8</v>
      </c>
      <c r="B790" t="s">
        <v>63</v>
      </c>
      <c r="C790">
        <v>96</v>
      </c>
      <c r="D790">
        <f>COUNTIF(WeeklyPicks!$D$72:$F$81,C790)</f>
        <v>0</v>
      </c>
    </row>
    <row r="791" spans="1:4" x14ac:dyDescent="0.3">
      <c r="A791">
        <v>8</v>
      </c>
      <c r="B791" t="s">
        <v>63</v>
      </c>
      <c r="C791">
        <v>97</v>
      </c>
      <c r="D791">
        <f>COUNTIF(WeeklyPicks!$D$72:$F$81,C791)</f>
        <v>0</v>
      </c>
    </row>
    <row r="792" spans="1:4" x14ac:dyDescent="0.3">
      <c r="A792">
        <v>8</v>
      </c>
      <c r="B792" t="s">
        <v>63</v>
      </c>
      <c r="C792">
        <v>98</v>
      </c>
      <c r="D792">
        <f>COUNTIF(WeeklyPicks!$D$72:$F$81,C792)</f>
        <v>0</v>
      </c>
    </row>
    <row r="793" spans="1:4" x14ac:dyDescent="0.3">
      <c r="A793">
        <v>8</v>
      </c>
      <c r="B793" t="s">
        <v>63</v>
      </c>
      <c r="C793">
        <v>99</v>
      </c>
      <c r="D793">
        <f>COUNTIF(WeeklyPicks!$D$72:$F$81,C793)</f>
        <v>0</v>
      </c>
    </row>
    <row r="794" spans="1:4" x14ac:dyDescent="0.3">
      <c r="A794">
        <v>9</v>
      </c>
      <c r="B794" t="s">
        <v>65</v>
      </c>
      <c r="C794">
        <v>1</v>
      </c>
      <c r="D794">
        <f>COUNTIF(WeeklyPicks!$D$82:$F$91,C794)</f>
        <v>0</v>
      </c>
    </row>
    <row r="795" spans="1:4" x14ac:dyDescent="0.3">
      <c r="A795">
        <v>9</v>
      </c>
      <c r="B795" t="s">
        <v>65</v>
      </c>
      <c r="C795">
        <v>2</v>
      </c>
      <c r="D795">
        <f>COUNTIF(WeeklyPicks!$D$82:$F$91,C795)</f>
        <v>0</v>
      </c>
    </row>
    <row r="796" spans="1:4" x14ac:dyDescent="0.3">
      <c r="A796">
        <v>9</v>
      </c>
      <c r="B796" t="s">
        <v>65</v>
      </c>
      <c r="C796">
        <v>3</v>
      </c>
      <c r="D796">
        <f>COUNTIF(WeeklyPicks!$D$82:$F$91,C796)</f>
        <v>0</v>
      </c>
    </row>
    <row r="797" spans="1:4" x14ac:dyDescent="0.3">
      <c r="A797">
        <v>9</v>
      </c>
      <c r="B797" t="s">
        <v>65</v>
      </c>
      <c r="C797">
        <v>4</v>
      </c>
      <c r="D797">
        <f>COUNTIF(WeeklyPicks!$D$82:$F$91,C797)</f>
        <v>0</v>
      </c>
    </row>
    <row r="798" spans="1:4" x14ac:dyDescent="0.3">
      <c r="A798">
        <v>9</v>
      </c>
      <c r="B798" t="s">
        <v>65</v>
      </c>
      <c r="C798">
        <v>5</v>
      </c>
      <c r="D798">
        <f>COUNTIF(WeeklyPicks!$D$82:$F$91,C798)</f>
        <v>8</v>
      </c>
    </row>
    <row r="799" spans="1:4" x14ac:dyDescent="0.3">
      <c r="A799">
        <v>9</v>
      </c>
      <c r="B799" t="s">
        <v>65</v>
      </c>
      <c r="C799">
        <v>6</v>
      </c>
      <c r="D799">
        <f>COUNTIF(WeeklyPicks!$D$82:$F$91,C799)</f>
        <v>0</v>
      </c>
    </row>
    <row r="800" spans="1:4" x14ac:dyDescent="0.3">
      <c r="A800">
        <v>9</v>
      </c>
      <c r="B800" t="s">
        <v>65</v>
      </c>
      <c r="C800">
        <v>7</v>
      </c>
      <c r="D800">
        <f>COUNTIF(WeeklyPicks!$D$82:$F$91,C800)</f>
        <v>0</v>
      </c>
    </row>
    <row r="801" spans="1:4" x14ac:dyDescent="0.3">
      <c r="A801">
        <v>9</v>
      </c>
      <c r="B801" t="s">
        <v>65</v>
      </c>
      <c r="C801">
        <v>8</v>
      </c>
      <c r="D801">
        <f>COUNTIF(WeeklyPicks!$D$82:$F$91,C801)</f>
        <v>0</v>
      </c>
    </row>
    <row r="802" spans="1:4" x14ac:dyDescent="0.3">
      <c r="A802">
        <v>9</v>
      </c>
      <c r="B802" t="s">
        <v>65</v>
      </c>
      <c r="C802">
        <v>9</v>
      </c>
      <c r="D802">
        <f>COUNTIF(WeeklyPicks!$D$82:$F$91,C802)</f>
        <v>1</v>
      </c>
    </row>
    <row r="803" spans="1:4" x14ac:dyDescent="0.3">
      <c r="A803">
        <v>9</v>
      </c>
      <c r="B803" t="s">
        <v>65</v>
      </c>
      <c r="C803">
        <v>10</v>
      </c>
      <c r="D803">
        <f>COUNTIF(WeeklyPicks!$D$82:$F$91,C803)</f>
        <v>0</v>
      </c>
    </row>
    <row r="804" spans="1:4" x14ac:dyDescent="0.3">
      <c r="A804">
        <v>9</v>
      </c>
      <c r="B804" t="s">
        <v>65</v>
      </c>
      <c r="C804">
        <v>11</v>
      </c>
      <c r="D804">
        <f>COUNTIF(WeeklyPicks!$D$82:$F$91,C804)</f>
        <v>4</v>
      </c>
    </row>
    <row r="805" spans="1:4" x14ac:dyDescent="0.3">
      <c r="A805">
        <v>9</v>
      </c>
      <c r="B805" t="s">
        <v>65</v>
      </c>
      <c r="C805">
        <v>12</v>
      </c>
      <c r="D805">
        <f>COUNTIF(WeeklyPicks!$D$82:$F$91,C805)</f>
        <v>5</v>
      </c>
    </row>
    <row r="806" spans="1:4" x14ac:dyDescent="0.3">
      <c r="A806">
        <v>9</v>
      </c>
      <c r="B806" t="s">
        <v>65</v>
      </c>
      <c r="C806">
        <v>13</v>
      </c>
      <c r="D806">
        <f>COUNTIF(WeeklyPicks!$D$82:$F$91,C806)</f>
        <v>0</v>
      </c>
    </row>
    <row r="807" spans="1:4" x14ac:dyDescent="0.3">
      <c r="A807">
        <v>9</v>
      </c>
      <c r="B807" t="s">
        <v>65</v>
      </c>
      <c r="C807">
        <v>14</v>
      </c>
      <c r="D807">
        <f>COUNTIF(WeeklyPicks!$D$82:$F$91,C807)</f>
        <v>0</v>
      </c>
    </row>
    <row r="808" spans="1:4" x14ac:dyDescent="0.3">
      <c r="A808">
        <v>9</v>
      </c>
      <c r="B808" t="s">
        <v>65</v>
      </c>
      <c r="C808">
        <v>15</v>
      </c>
      <c r="D808">
        <f>COUNTIF(WeeklyPicks!$D$82:$F$91,C808)</f>
        <v>0</v>
      </c>
    </row>
    <row r="809" spans="1:4" x14ac:dyDescent="0.3">
      <c r="A809">
        <v>9</v>
      </c>
      <c r="B809" t="s">
        <v>65</v>
      </c>
      <c r="C809">
        <v>16</v>
      </c>
      <c r="D809">
        <f>COUNTIF(WeeklyPicks!$D$82:$F$91,C809)</f>
        <v>0</v>
      </c>
    </row>
    <row r="810" spans="1:4" x14ac:dyDescent="0.3">
      <c r="A810">
        <v>9</v>
      </c>
      <c r="B810" t="s">
        <v>65</v>
      </c>
      <c r="C810">
        <v>17</v>
      </c>
      <c r="D810">
        <f>COUNTIF(WeeklyPicks!$D$82:$F$91,C810)</f>
        <v>0</v>
      </c>
    </row>
    <row r="811" spans="1:4" x14ac:dyDescent="0.3">
      <c r="A811">
        <v>9</v>
      </c>
      <c r="B811" t="s">
        <v>65</v>
      </c>
      <c r="C811">
        <v>18</v>
      </c>
      <c r="D811">
        <f>COUNTIF(WeeklyPicks!$D$82:$F$91,C811)</f>
        <v>0</v>
      </c>
    </row>
    <row r="812" spans="1:4" x14ac:dyDescent="0.3">
      <c r="A812">
        <v>9</v>
      </c>
      <c r="B812" t="s">
        <v>65</v>
      </c>
      <c r="C812">
        <v>19</v>
      </c>
      <c r="D812">
        <f>COUNTIF(WeeklyPicks!$D$82:$F$91,C812)</f>
        <v>0</v>
      </c>
    </row>
    <row r="813" spans="1:4" x14ac:dyDescent="0.3">
      <c r="A813">
        <v>9</v>
      </c>
      <c r="B813" t="s">
        <v>65</v>
      </c>
      <c r="C813">
        <v>20</v>
      </c>
      <c r="D813">
        <f>COUNTIF(WeeklyPicks!$D$82:$F$91,C813)</f>
        <v>1</v>
      </c>
    </row>
    <row r="814" spans="1:4" x14ac:dyDescent="0.3">
      <c r="A814">
        <v>9</v>
      </c>
      <c r="B814" t="s">
        <v>65</v>
      </c>
      <c r="C814">
        <v>21</v>
      </c>
      <c r="D814">
        <f>COUNTIF(WeeklyPicks!$D$82:$F$91,C814)</f>
        <v>0</v>
      </c>
    </row>
    <row r="815" spans="1:4" x14ac:dyDescent="0.3">
      <c r="A815">
        <v>9</v>
      </c>
      <c r="B815" t="s">
        <v>65</v>
      </c>
      <c r="C815">
        <v>22</v>
      </c>
      <c r="D815">
        <f>COUNTIF(WeeklyPicks!$D$82:$F$91,C815)</f>
        <v>0</v>
      </c>
    </row>
    <row r="816" spans="1:4" x14ac:dyDescent="0.3">
      <c r="A816">
        <v>9</v>
      </c>
      <c r="B816" t="s">
        <v>65</v>
      </c>
      <c r="C816">
        <v>23</v>
      </c>
      <c r="D816">
        <f>COUNTIF(WeeklyPicks!$D$82:$F$91,C816)</f>
        <v>0</v>
      </c>
    </row>
    <row r="817" spans="1:4" x14ac:dyDescent="0.3">
      <c r="A817">
        <v>9</v>
      </c>
      <c r="B817" t="s">
        <v>65</v>
      </c>
      <c r="C817">
        <v>24</v>
      </c>
      <c r="D817">
        <f>COUNTIF(WeeklyPicks!$D$82:$F$91,C817)</f>
        <v>1</v>
      </c>
    </row>
    <row r="818" spans="1:4" x14ac:dyDescent="0.3">
      <c r="A818">
        <v>9</v>
      </c>
      <c r="B818" t="s">
        <v>65</v>
      </c>
      <c r="C818">
        <v>25</v>
      </c>
      <c r="D818">
        <f>COUNTIF(WeeklyPicks!$D$82:$F$91,C818)</f>
        <v>0</v>
      </c>
    </row>
    <row r="819" spans="1:4" x14ac:dyDescent="0.3">
      <c r="A819">
        <v>9</v>
      </c>
      <c r="B819" t="s">
        <v>65</v>
      </c>
      <c r="C819">
        <v>26</v>
      </c>
      <c r="D819">
        <f>COUNTIF(WeeklyPicks!$D$82:$F$91,C819)</f>
        <v>0</v>
      </c>
    </row>
    <row r="820" spans="1:4" x14ac:dyDescent="0.3">
      <c r="A820">
        <v>9</v>
      </c>
      <c r="B820" t="s">
        <v>65</v>
      </c>
      <c r="C820">
        <v>27</v>
      </c>
      <c r="D820">
        <f>COUNTIF(WeeklyPicks!$D$82:$F$91,C820)</f>
        <v>0</v>
      </c>
    </row>
    <row r="821" spans="1:4" x14ac:dyDescent="0.3">
      <c r="A821">
        <v>9</v>
      </c>
      <c r="B821" t="s">
        <v>65</v>
      </c>
      <c r="C821">
        <v>28</v>
      </c>
      <c r="D821">
        <f>COUNTIF(WeeklyPicks!$D$82:$F$91,C821)</f>
        <v>0</v>
      </c>
    </row>
    <row r="822" spans="1:4" x14ac:dyDescent="0.3">
      <c r="A822">
        <v>9</v>
      </c>
      <c r="B822" t="s">
        <v>65</v>
      </c>
      <c r="C822">
        <v>29</v>
      </c>
      <c r="D822">
        <f>COUNTIF(WeeklyPicks!$D$82:$F$91,C822)</f>
        <v>0</v>
      </c>
    </row>
    <row r="823" spans="1:4" x14ac:dyDescent="0.3">
      <c r="A823">
        <v>9</v>
      </c>
      <c r="B823" t="s">
        <v>65</v>
      </c>
      <c r="C823">
        <v>30</v>
      </c>
      <c r="D823">
        <f>COUNTIF(WeeklyPicks!$D$82:$F$91,C823)</f>
        <v>0</v>
      </c>
    </row>
    <row r="824" spans="1:4" x14ac:dyDescent="0.3">
      <c r="A824">
        <v>9</v>
      </c>
      <c r="B824" t="s">
        <v>65</v>
      </c>
      <c r="C824">
        <v>31</v>
      </c>
      <c r="D824">
        <f>COUNTIF(WeeklyPicks!$D$82:$F$91,C824)</f>
        <v>0</v>
      </c>
    </row>
    <row r="825" spans="1:4" x14ac:dyDescent="0.3">
      <c r="A825">
        <v>9</v>
      </c>
      <c r="B825" t="s">
        <v>65</v>
      </c>
      <c r="C825">
        <v>32</v>
      </c>
      <c r="D825">
        <f>COUNTIF(WeeklyPicks!$D$82:$F$91,C825)</f>
        <v>0</v>
      </c>
    </row>
    <row r="826" spans="1:4" x14ac:dyDescent="0.3">
      <c r="A826">
        <v>9</v>
      </c>
      <c r="B826" t="s">
        <v>65</v>
      </c>
      <c r="C826">
        <v>33</v>
      </c>
      <c r="D826">
        <f>COUNTIF(WeeklyPicks!$D$82:$F$91,C826)</f>
        <v>0</v>
      </c>
    </row>
    <row r="827" spans="1:4" x14ac:dyDescent="0.3">
      <c r="A827">
        <v>9</v>
      </c>
      <c r="B827" t="s">
        <v>65</v>
      </c>
      <c r="C827">
        <v>34</v>
      </c>
      <c r="D827">
        <f>COUNTIF(WeeklyPicks!$D$82:$F$91,C827)</f>
        <v>0</v>
      </c>
    </row>
    <row r="828" spans="1:4" x14ac:dyDescent="0.3">
      <c r="A828">
        <v>9</v>
      </c>
      <c r="B828" t="s">
        <v>65</v>
      </c>
      <c r="C828">
        <v>35</v>
      </c>
      <c r="D828">
        <f>COUNTIF(WeeklyPicks!$D$82:$F$91,C828)</f>
        <v>0</v>
      </c>
    </row>
    <row r="829" spans="1:4" x14ac:dyDescent="0.3">
      <c r="A829">
        <v>9</v>
      </c>
      <c r="B829" t="s">
        <v>65</v>
      </c>
      <c r="C829">
        <v>36</v>
      </c>
      <c r="D829">
        <f>COUNTIF(WeeklyPicks!$D$82:$F$91,C829)</f>
        <v>0</v>
      </c>
    </row>
    <row r="830" spans="1:4" x14ac:dyDescent="0.3">
      <c r="A830">
        <v>9</v>
      </c>
      <c r="B830" t="s">
        <v>65</v>
      </c>
      <c r="C830">
        <v>37</v>
      </c>
      <c r="D830">
        <f>COUNTIF(WeeklyPicks!$D$82:$F$91,C830)</f>
        <v>0</v>
      </c>
    </row>
    <row r="831" spans="1:4" x14ac:dyDescent="0.3">
      <c r="A831">
        <v>9</v>
      </c>
      <c r="B831" t="s">
        <v>65</v>
      </c>
      <c r="C831">
        <v>38</v>
      </c>
      <c r="D831">
        <f>COUNTIF(WeeklyPicks!$D$82:$F$91,C831)</f>
        <v>0</v>
      </c>
    </row>
    <row r="832" spans="1:4" x14ac:dyDescent="0.3">
      <c r="A832">
        <v>9</v>
      </c>
      <c r="B832" t="s">
        <v>65</v>
      </c>
      <c r="C832">
        <v>39</v>
      </c>
      <c r="D832">
        <f>COUNTIF(WeeklyPicks!$D$82:$F$91,C832)</f>
        <v>0</v>
      </c>
    </row>
    <row r="833" spans="1:4" x14ac:dyDescent="0.3">
      <c r="A833">
        <v>9</v>
      </c>
      <c r="B833" t="s">
        <v>65</v>
      </c>
      <c r="C833">
        <v>40</v>
      </c>
      <c r="D833">
        <f>COUNTIF(WeeklyPicks!$D$82:$F$91,C833)</f>
        <v>0</v>
      </c>
    </row>
    <row r="834" spans="1:4" x14ac:dyDescent="0.3">
      <c r="A834">
        <v>9</v>
      </c>
      <c r="B834" t="s">
        <v>65</v>
      </c>
      <c r="C834">
        <v>41</v>
      </c>
      <c r="D834">
        <f>COUNTIF(WeeklyPicks!$D$82:$F$91,C834)</f>
        <v>0</v>
      </c>
    </row>
    <row r="835" spans="1:4" x14ac:dyDescent="0.3">
      <c r="A835">
        <v>9</v>
      </c>
      <c r="B835" t="s">
        <v>65</v>
      </c>
      <c r="C835">
        <v>42</v>
      </c>
      <c r="D835">
        <f>COUNTIF(WeeklyPicks!$D$82:$F$91,C835)</f>
        <v>0</v>
      </c>
    </row>
    <row r="836" spans="1:4" x14ac:dyDescent="0.3">
      <c r="A836">
        <v>9</v>
      </c>
      <c r="B836" t="s">
        <v>65</v>
      </c>
      <c r="C836">
        <v>43</v>
      </c>
      <c r="D836">
        <f>COUNTIF(WeeklyPicks!$D$82:$F$91,C836)</f>
        <v>0</v>
      </c>
    </row>
    <row r="837" spans="1:4" x14ac:dyDescent="0.3">
      <c r="A837">
        <v>9</v>
      </c>
      <c r="B837" t="s">
        <v>65</v>
      </c>
      <c r="C837">
        <v>44</v>
      </c>
      <c r="D837">
        <f>COUNTIF(WeeklyPicks!$D$82:$F$91,C837)</f>
        <v>0</v>
      </c>
    </row>
    <row r="838" spans="1:4" x14ac:dyDescent="0.3">
      <c r="A838">
        <v>9</v>
      </c>
      <c r="B838" t="s">
        <v>65</v>
      </c>
      <c r="C838">
        <v>45</v>
      </c>
      <c r="D838">
        <f>COUNTIF(WeeklyPicks!$D$82:$F$91,C838)</f>
        <v>2</v>
      </c>
    </row>
    <row r="839" spans="1:4" x14ac:dyDescent="0.3">
      <c r="A839">
        <v>9</v>
      </c>
      <c r="B839" t="s">
        <v>65</v>
      </c>
      <c r="C839">
        <v>46</v>
      </c>
      <c r="D839">
        <f>COUNTIF(WeeklyPicks!$D$82:$F$91,C839)</f>
        <v>0</v>
      </c>
    </row>
    <row r="840" spans="1:4" x14ac:dyDescent="0.3">
      <c r="A840">
        <v>9</v>
      </c>
      <c r="B840" t="s">
        <v>65</v>
      </c>
      <c r="C840">
        <v>47</v>
      </c>
      <c r="D840">
        <f>COUNTIF(WeeklyPicks!$D$82:$F$91,C840)</f>
        <v>0</v>
      </c>
    </row>
    <row r="841" spans="1:4" x14ac:dyDescent="0.3">
      <c r="A841">
        <v>9</v>
      </c>
      <c r="B841" t="s">
        <v>65</v>
      </c>
      <c r="C841">
        <v>48</v>
      </c>
      <c r="D841">
        <f>COUNTIF(WeeklyPicks!$D$82:$F$91,C841)</f>
        <v>0</v>
      </c>
    </row>
    <row r="842" spans="1:4" x14ac:dyDescent="0.3">
      <c r="A842">
        <v>9</v>
      </c>
      <c r="B842" t="s">
        <v>65</v>
      </c>
      <c r="C842">
        <v>49</v>
      </c>
      <c r="D842">
        <f>COUNTIF(WeeklyPicks!$D$82:$F$91,C842)</f>
        <v>0</v>
      </c>
    </row>
    <row r="843" spans="1:4" x14ac:dyDescent="0.3">
      <c r="A843">
        <v>9</v>
      </c>
      <c r="B843" t="s">
        <v>65</v>
      </c>
      <c r="C843">
        <v>50</v>
      </c>
      <c r="D843">
        <f>COUNTIF(WeeklyPicks!$D$82:$F$91,C843)</f>
        <v>0</v>
      </c>
    </row>
    <row r="844" spans="1:4" x14ac:dyDescent="0.3">
      <c r="A844">
        <v>9</v>
      </c>
      <c r="B844" t="s">
        <v>65</v>
      </c>
      <c r="C844">
        <v>51</v>
      </c>
      <c r="D844">
        <f>COUNTIF(WeeklyPicks!$D$82:$F$91,C844)</f>
        <v>0</v>
      </c>
    </row>
    <row r="845" spans="1:4" x14ac:dyDescent="0.3">
      <c r="A845">
        <v>9</v>
      </c>
      <c r="B845" t="s">
        <v>65</v>
      </c>
      <c r="C845">
        <v>52</v>
      </c>
      <c r="D845">
        <f>COUNTIF(WeeklyPicks!$D$82:$F$91,C845)</f>
        <v>0</v>
      </c>
    </row>
    <row r="846" spans="1:4" x14ac:dyDescent="0.3">
      <c r="A846">
        <v>9</v>
      </c>
      <c r="B846" t="s">
        <v>65</v>
      </c>
      <c r="C846">
        <v>53</v>
      </c>
      <c r="D846">
        <f>COUNTIF(WeeklyPicks!$D$82:$F$91,C846)</f>
        <v>0</v>
      </c>
    </row>
    <row r="847" spans="1:4" x14ac:dyDescent="0.3">
      <c r="A847">
        <v>9</v>
      </c>
      <c r="B847" t="s">
        <v>65</v>
      </c>
      <c r="C847">
        <v>54</v>
      </c>
      <c r="D847">
        <f>COUNTIF(WeeklyPicks!$D$82:$F$91,C847)</f>
        <v>5</v>
      </c>
    </row>
    <row r="848" spans="1:4" x14ac:dyDescent="0.3">
      <c r="A848">
        <v>9</v>
      </c>
      <c r="B848" t="s">
        <v>65</v>
      </c>
      <c r="C848">
        <v>55</v>
      </c>
      <c r="D848">
        <f>COUNTIF(WeeklyPicks!$D$82:$F$91,C848)</f>
        <v>0</v>
      </c>
    </row>
    <row r="849" spans="1:4" x14ac:dyDescent="0.3">
      <c r="A849">
        <v>9</v>
      </c>
      <c r="B849" t="s">
        <v>65</v>
      </c>
      <c r="C849">
        <v>56</v>
      </c>
      <c r="D849">
        <f>COUNTIF(WeeklyPicks!$D$82:$F$91,C849)</f>
        <v>0</v>
      </c>
    </row>
    <row r="850" spans="1:4" x14ac:dyDescent="0.3">
      <c r="A850">
        <v>9</v>
      </c>
      <c r="B850" t="s">
        <v>65</v>
      </c>
      <c r="C850">
        <v>57</v>
      </c>
      <c r="D850">
        <f>COUNTIF(WeeklyPicks!$D$82:$F$91,C850)</f>
        <v>0</v>
      </c>
    </row>
    <row r="851" spans="1:4" x14ac:dyDescent="0.3">
      <c r="A851">
        <v>9</v>
      </c>
      <c r="B851" t="s">
        <v>65</v>
      </c>
      <c r="C851">
        <v>58</v>
      </c>
      <c r="D851">
        <f>COUNTIF(WeeklyPicks!$D$82:$F$91,C851)</f>
        <v>0</v>
      </c>
    </row>
    <row r="852" spans="1:4" x14ac:dyDescent="0.3">
      <c r="A852">
        <v>9</v>
      </c>
      <c r="B852" t="s">
        <v>65</v>
      </c>
      <c r="C852">
        <v>59</v>
      </c>
      <c r="D852">
        <f>COUNTIF(WeeklyPicks!$D$82:$F$91,C852)</f>
        <v>0</v>
      </c>
    </row>
    <row r="853" spans="1:4" x14ac:dyDescent="0.3">
      <c r="A853">
        <v>9</v>
      </c>
      <c r="B853" t="s">
        <v>65</v>
      </c>
      <c r="C853">
        <v>60</v>
      </c>
      <c r="D853">
        <f>COUNTIF(WeeklyPicks!$D$82:$F$91,C853)</f>
        <v>0</v>
      </c>
    </row>
    <row r="854" spans="1:4" x14ac:dyDescent="0.3">
      <c r="A854">
        <v>9</v>
      </c>
      <c r="B854" t="s">
        <v>65</v>
      </c>
      <c r="C854">
        <v>61</v>
      </c>
      <c r="D854">
        <f>COUNTIF(WeeklyPicks!$D$82:$F$91,C854)</f>
        <v>0</v>
      </c>
    </row>
    <row r="855" spans="1:4" x14ac:dyDescent="0.3">
      <c r="A855">
        <v>9</v>
      </c>
      <c r="B855" t="s">
        <v>65</v>
      </c>
      <c r="C855">
        <v>62</v>
      </c>
      <c r="D855">
        <f>COUNTIF(WeeklyPicks!$D$82:$F$91,C855)</f>
        <v>0</v>
      </c>
    </row>
    <row r="856" spans="1:4" x14ac:dyDescent="0.3">
      <c r="A856">
        <v>9</v>
      </c>
      <c r="B856" t="s">
        <v>65</v>
      </c>
      <c r="C856">
        <v>63</v>
      </c>
      <c r="D856">
        <f>COUNTIF(WeeklyPicks!$D$82:$F$91,C856)</f>
        <v>0</v>
      </c>
    </row>
    <row r="857" spans="1:4" x14ac:dyDescent="0.3">
      <c r="A857">
        <v>9</v>
      </c>
      <c r="B857" t="s">
        <v>65</v>
      </c>
      <c r="C857">
        <v>64</v>
      </c>
      <c r="D857">
        <f>COUNTIF(WeeklyPicks!$D$82:$F$91,C857)</f>
        <v>0</v>
      </c>
    </row>
    <row r="858" spans="1:4" x14ac:dyDescent="0.3">
      <c r="A858">
        <v>9</v>
      </c>
      <c r="B858" t="s">
        <v>65</v>
      </c>
      <c r="C858">
        <v>65</v>
      </c>
      <c r="D858">
        <f>COUNTIF(WeeklyPicks!$D$82:$F$91,C858)</f>
        <v>0</v>
      </c>
    </row>
    <row r="859" spans="1:4" x14ac:dyDescent="0.3">
      <c r="A859">
        <v>9</v>
      </c>
      <c r="B859" t="s">
        <v>65</v>
      </c>
      <c r="C859">
        <v>66</v>
      </c>
      <c r="D859">
        <f>COUNTIF(WeeklyPicks!$D$82:$F$91,C859)</f>
        <v>0</v>
      </c>
    </row>
    <row r="860" spans="1:4" x14ac:dyDescent="0.3">
      <c r="A860">
        <v>9</v>
      </c>
      <c r="B860" t="s">
        <v>65</v>
      </c>
      <c r="C860">
        <v>67</v>
      </c>
      <c r="D860">
        <f>COUNTIF(WeeklyPicks!$D$82:$F$91,C860)</f>
        <v>0</v>
      </c>
    </row>
    <row r="861" spans="1:4" x14ac:dyDescent="0.3">
      <c r="A861">
        <v>9</v>
      </c>
      <c r="B861" t="s">
        <v>65</v>
      </c>
      <c r="C861">
        <v>68</v>
      </c>
      <c r="D861">
        <f>COUNTIF(WeeklyPicks!$D$82:$F$91,C861)</f>
        <v>0</v>
      </c>
    </row>
    <row r="862" spans="1:4" x14ac:dyDescent="0.3">
      <c r="A862">
        <v>9</v>
      </c>
      <c r="B862" t="s">
        <v>65</v>
      </c>
      <c r="C862">
        <v>69</v>
      </c>
      <c r="D862">
        <f>COUNTIF(WeeklyPicks!$D$82:$F$91,C862)</f>
        <v>0</v>
      </c>
    </row>
    <row r="863" spans="1:4" x14ac:dyDescent="0.3">
      <c r="A863">
        <v>9</v>
      </c>
      <c r="B863" t="s">
        <v>65</v>
      </c>
      <c r="C863">
        <v>70</v>
      </c>
      <c r="D863">
        <f>COUNTIF(WeeklyPicks!$D$82:$F$91,C863)</f>
        <v>0</v>
      </c>
    </row>
    <row r="864" spans="1:4" x14ac:dyDescent="0.3">
      <c r="A864">
        <v>9</v>
      </c>
      <c r="B864" t="s">
        <v>65</v>
      </c>
      <c r="C864">
        <v>71</v>
      </c>
      <c r="D864">
        <f>COUNTIF(WeeklyPicks!$D$82:$F$91,C864)</f>
        <v>0</v>
      </c>
    </row>
    <row r="865" spans="1:4" x14ac:dyDescent="0.3">
      <c r="A865">
        <v>9</v>
      </c>
      <c r="B865" t="s">
        <v>65</v>
      </c>
      <c r="C865">
        <v>72</v>
      </c>
      <c r="D865">
        <f>COUNTIF(WeeklyPicks!$D$82:$F$91,C865)</f>
        <v>0</v>
      </c>
    </row>
    <row r="866" spans="1:4" x14ac:dyDescent="0.3">
      <c r="A866">
        <v>9</v>
      </c>
      <c r="B866" t="s">
        <v>65</v>
      </c>
      <c r="C866">
        <v>73</v>
      </c>
      <c r="D866">
        <f>COUNTIF(WeeklyPicks!$D$82:$F$91,C866)</f>
        <v>0</v>
      </c>
    </row>
    <row r="867" spans="1:4" x14ac:dyDescent="0.3">
      <c r="A867">
        <v>9</v>
      </c>
      <c r="B867" t="s">
        <v>65</v>
      </c>
      <c r="C867">
        <v>74</v>
      </c>
      <c r="D867">
        <f>COUNTIF(WeeklyPicks!$D$82:$F$91,C867)</f>
        <v>0</v>
      </c>
    </row>
    <row r="868" spans="1:4" x14ac:dyDescent="0.3">
      <c r="A868">
        <v>9</v>
      </c>
      <c r="B868" t="s">
        <v>65</v>
      </c>
      <c r="C868">
        <v>75</v>
      </c>
      <c r="D868">
        <f>COUNTIF(WeeklyPicks!$D$82:$F$91,C868)</f>
        <v>0</v>
      </c>
    </row>
    <row r="869" spans="1:4" x14ac:dyDescent="0.3">
      <c r="A869">
        <v>9</v>
      </c>
      <c r="B869" t="s">
        <v>65</v>
      </c>
      <c r="C869">
        <v>76</v>
      </c>
      <c r="D869">
        <f>COUNTIF(WeeklyPicks!$D$82:$F$91,C869)</f>
        <v>0</v>
      </c>
    </row>
    <row r="870" spans="1:4" x14ac:dyDescent="0.3">
      <c r="A870">
        <v>9</v>
      </c>
      <c r="B870" t="s">
        <v>65</v>
      </c>
      <c r="C870">
        <v>77</v>
      </c>
      <c r="D870">
        <f>COUNTIF(WeeklyPicks!$D$82:$F$91,C870)</f>
        <v>0</v>
      </c>
    </row>
    <row r="871" spans="1:4" x14ac:dyDescent="0.3">
      <c r="A871">
        <v>9</v>
      </c>
      <c r="B871" t="s">
        <v>65</v>
      </c>
      <c r="C871">
        <v>78</v>
      </c>
      <c r="D871">
        <f>COUNTIF(WeeklyPicks!$D$82:$F$91,C871)</f>
        <v>0</v>
      </c>
    </row>
    <row r="872" spans="1:4" x14ac:dyDescent="0.3">
      <c r="A872">
        <v>9</v>
      </c>
      <c r="B872" t="s">
        <v>65</v>
      </c>
      <c r="C872">
        <v>79</v>
      </c>
      <c r="D872">
        <f>COUNTIF(WeeklyPicks!$D$82:$F$91,C872)</f>
        <v>0</v>
      </c>
    </row>
    <row r="873" spans="1:4" x14ac:dyDescent="0.3">
      <c r="A873">
        <v>9</v>
      </c>
      <c r="B873" t="s">
        <v>65</v>
      </c>
      <c r="C873">
        <v>80</v>
      </c>
      <c r="D873">
        <f>COUNTIF(WeeklyPicks!$D$82:$F$91,C873)</f>
        <v>0</v>
      </c>
    </row>
    <row r="874" spans="1:4" x14ac:dyDescent="0.3">
      <c r="A874">
        <v>9</v>
      </c>
      <c r="B874" t="s">
        <v>65</v>
      </c>
      <c r="C874">
        <v>81</v>
      </c>
      <c r="D874">
        <f>COUNTIF(WeeklyPicks!$D$82:$F$91,C874)</f>
        <v>0</v>
      </c>
    </row>
    <row r="875" spans="1:4" x14ac:dyDescent="0.3">
      <c r="A875">
        <v>9</v>
      </c>
      <c r="B875" t="s">
        <v>65</v>
      </c>
      <c r="C875">
        <v>82</v>
      </c>
      <c r="D875">
        <f>COUNTIF(WeeklyPicks!$D$82:$F$91,C875)</f>
        <v>0</v>
      </c>
    </row>
    <row r="876" spans="1:4" x14ac:dyDescent="0.3">
      <c r="A876">
        <v>9</v>
      </c>
      <c r="B876" t="s">
        <v>65</v>
      </c>
      <c r="C876">
        <v>83</v>
      </c>
      <c r="D876">
        <f>COUNTIF(WeeklyPicks!$D$82:$F$91,C876)</f>
        <v>0</v>
      </c>
    </row>
    <row r="877" spans="1:4" x14ac:dyDescent="0.3">
      <c r="A877">
        <v>9</v>
      </c>
      <c r="B877" t="s">
        <v>65</v>
      </c>
      <c r="C877">
        <v>84</v>
      </c>
      <c r="D877">
        <f>COUNTIF(WeeklyPicks!$D$82:$F$91,C877)</f>
        <v>0</v>
      </c>
    </row>
    <row r="878" spans="1:4" x14ac:dyDescent="0.3">
      <c r="A878">
        <v>9</v>
      </c>
      <c r="B878" t="s">
        <v>65</v>
      </c>
      <c r="C878">
        <v>85</v>
      </c>
      <c r="D878">
        <f>COUNTIF(WeeklyPicks!$D$82:$F$91,C878)</f>
        <v>0</v>
      </c>
    </row>
    <row r="879" spans="1:4" x14ac:dyDescent="0.3">
      <c r="A879">
        <v>9</v>
      </c>
      <c r="B879" t="s">
        <v>65</v>
      </c>
      <c r="C879">
        <v>86</v>
      </c>
      <c r="D879">
        <f>COUNTIF(WeeklyPicks!$D$82:$F$91,C879)</f>
        <v>0</v>
      </c>
    </row>
    <row r="880" spans="1:4" x14ac:dyDescent="0.3">
      <c r="A880">
        <v>9</v>
      </c>
      <c r="B880" t="s">
        <v>65</v>
      </c>
      <c r="C880">
        <v>87</v>
      </c>
      <c r="D880">
        <f>COUNTIF(WeeklyPicks!$D$82:$F$91,C880)</f>
        <v>0</v>
      </c>
    </row>
    <row r="881" spans="1:4" x14ac:dyDescent="0.3">
      <c r="A881">
        <v>9</v>
      </c>
      <c r="B881" t="s">
        <v>65</v>
      </c>
      <c r="C881">
        <v>88</v>
      </c>
      <c r="D881">
        <f>COUNTIF(WeeklyPicks!$D$82:$F$91,C881)</f>
        <v>0</v>
      </c>
    </row>
    <row r="882" spans="1:4" x14ac:dyDescent="0.3">
      <c r="A882">
        <v>9</v>
      </c>
      <c r="B882" t="s">
        <v>65</v>
      </c>
      <c r="C882">
        <v>89</v>
      </c>
      <c r="D882">
        <f>COUNTIF(WeeklyPicks!$D$82:$F$91,C882)</f>
        <v>0</v>
      </c>
    </row>
    <row r="883" spans="1:4" x14ac:dyDescent="0.3">
      <c r="A883">
        <v>9</v>
      </c>
      <c r="B883" t="s">
        <v>65</v>
      </c>
      <c r="C883">
        <v>90</v>
      </c>
      <c r="D883">
        <f>COUNTIF(WeeklyPicks!$D$82:$F$91,C883)</f>
        <v>0</v>
      </c>
    </row>
    <row r="884" spans="1:4" x14ac:dyDescent="0.3">
      <c r="A884">
        <v>9</v>
      </c>
      <c r="B884" t="s">
        <v>65</v>
      </c>
      <c r="C884">
        <v>91</v>
      </c>
      <c r="D884">
        <f>COUNTIF(WeeklyPicks!$D$82:$F$91,C884)</f>
        <v>0</v>
      </c>
    </row>
    <row r="885" spans="1:4" x14ac:dyDescent="0.3">
      <c r="A885">
        <v>9</v>
      </c>
      <c r="B885" t="s">
        <v>65</v>
      </c>
      <c r="C885">
        <v>92</v>
      </c>
      <c r="D885">
        <f>COUNTIF(WeeklyPicks!$D$82:$F$91,C885)</f>
        <v>0</v>
      </c>
    </row>
    <row r="886" spans="1:4" x14ac:dyDescent="0.3">
      <c r="A886">
        <v>9</v>
      </c>
      <c r="B886" t="s">
        <v>65</v>
      </c>
      <c r="C886">
        <v>93</v>
      </c>
      <c r="D886">
        <f>COUNTIF(WeeklyPicks!$D$82:$F$91,C886)</f>
        <v>0</v>
      </c>
    </row>
    <row r="887" spans="1:4" x14ac:dyDescent="0.3">
      <c r="A887">
        <v>9</v>
      </c>
      <c r="B887" t="s">
        <v>65</v>
      </c>
      <c r="C887">
        <v>94</v>
      </c>
      <c r="D887">
        <f>COUNTIF(WeeklyPicks!$D$82:$F$91,C887)</f>
        <v>0</v>
      </c>
    </row>
    <row r="888" spans="1:4" x14ac:dyDescent="0.3">
      <c r="A888">
        <v>9</v>
      </c>
      <c r="B888" t="s">
        <v>65</v>
      </c>
      <c r="C888">
        <v>95</v>
      </c>
      <c r="D888">
        <f>COUNTIF(WeeklyPicks!$D$82:$F$91,C888)</f>
        <v>0</v>
      </c>
    </row>
    <row r="889" spans="1:4" x14ac:dyDescent="0.3">
      <c r="A889">
        <v>9</v>
      </c>
      <c r="B889" t="s">
        <v>65</v>
      </c>
      <c r="C889">
        <v>96</v>
      </c>
      <c r="D889">
        <f>COUNTIF(WeeklyPicks!$D$82:$F$91,C889)</f>
        <v>0</v>
      </c>
    </row>
    <row r="890" spans="1:4" x14ac:dyDescent="0.3">
      <c r="A890">
        <v>9</v>
      </c>
      <c r="B890" t="s">
        <v>65</v>
      </c>
      <c r="C890">
        <v>97</v>
      </c>
      <c r="D890">
        <f>COUNTIF(WeeklyPicks!$D$82:$F$91,C890)</f>
        <v>0</v>
      </c>
    </row>
    <row r="891" spans="1:4" x14ac:dyDescent="0.3">
      <c r="A891">
        <v>9</v>
      </c>
      <c r="B891" t="s">
        <v>65</v>
      </c>
      <c r="C891">
        <v>98</v>
      </c>
      <c r="D891">
        <f>COUNTIF(WeeklyPicks!$D$82:$F$91,C891)</f>
        <v>0</v>
      </c>
    </row>
    <row r="892" spans="1:4" x14ac:dyDescent="0.3">
      <c r="A892">
        <v>9</v>
      </c>
      <c r="B892" t="s">
        <v>65</v>
      </c>
      <c r="C892">
        <v>99</v>
      </c>
      <c r="D892">
        <f>COUNTIF(WeeklyPicks!$D$82:$F$91,C892)</f>
        <v>0</v>
      </c>
    </row>
    <row r="893" spans="1:4" x14ac:dyDescent="0.3">
      <c r="A893">
        <v>10</v>
      </c>
      <c r="B893" t="s">
        <v>67</v>
      </c>
      <c r="C893">
        <v>1</v>
      </c>
      <c r="D893">
        <f>COUNTIF(WeeklyPicks!$D$92:$F$101,C893)</f>
        <v>0</v>
      </c>
    </row>
    <row r="894" spans="1:4" x14ac:dyDescent="0.3">
      <c r="A894">
        <v>10</v>
      </c>
      <c r="B894" t="s">
        <v>67</v>
      </c>
      <c r="C894">
        <v>2</v>
      </c>
      <c r="D894">
        <f>COUNTIF(WeeklyPicks!$D$92:$F$101,C894)</f>
        <v>0</v>
      </c>
    </row>
    <row r="895" spans="1:4" x14ac:dyDescent="0.3">
      <c r="A895">
        <v>10</v>
      </c>
      <c r="B895" t="s">
        <v>67</v>
      </c>
      <c r="C895">
        <v>3</v>
      </c>
      <c r="D895">
        <f>COUNTIF(WeeklyPicks!$D$92:$F$101,C895)</f>
        <v>0</v>
      </c>
    </row>
    <row r="896" spans="1:4" x14ac:dyDescent="0.3">
      <c r="A896">
        <v>10</v>
      </c>
      <c r="B896" t="s">
        <v>67</v>
      </c>
      <c r="C896">
        <v>4</v>
      </c>
      <c r="D896">
        <f>COUNTIF(WeeklyPicks!$D$92:$F$101,C896)</f>
        <v>0</v>
      </c>
    </row>
    <row r="897" spans="1:4" x14ac:dyDescent="0.3">
      <c r="A897">
        <v>10</v>
      </c>
      <c r="B897" t="s">
        <v>67</v>
      </c>
      <c r="C897">
        <v>5</v>
      </c>
      <c r="D897">
        <f>COUNTIF(WeeklyPicks!$D$92:$F$101,C897)</f>
        <v>6</v>
      </c>
    </row>
    <row r="898" spans="1:4" x14ac:dyDescent="0.3">
      <c r="A898">
        <v>10</v>
      </c>
      <c r="B898" t="s">
        <v>67</v>
      </c>
      <c r="C898">
        <v>6</v>
      </c>
      <c r="D898">
        <f>COUNTIF(WeeklyPicks!$D$92:$F$101,C898)</f>
        <v>1</v>
      </c>
    </row>
    <row r="899" spans="1:4" x14ac:dyDescent="0.3">
      <c r="A899">
        <v>10</v>
      </c>
      <c r="B899" t="s">
        <v>67</v>
      </c>
      <c r="C899">
        <v>7</v>
      </c>
      <c r="D899">
        <f>COUNTIF(WeeklyPicks!$D$92:$F$101,C899)</f>
        <v>0</v>
      </c>
    </row>
    <row r="900" spans="1:4" x14ac:dyDescent="0.3">
      <c r="A900">
        <v>10</v>
      </c>
      <c r="B900" t="s">
        <v>67</v>
      </c>
      <c r="C900">
        <v>8</v>
      </c>
      <c r="D900">
        <f>COUNTIF(WeeklyPicks!$D$92:$F$101,C900)</f>
        <v>0</v>
      </c>
    </row>
    <row r="901" spans="1:4" x14ac:dyDescent="0.3">
      <c r="A901">
        <v>10</v>
      </c>
      <c r="B901" t="s">
        <v>67</v>
      </c>
      <c r="C901">
        <v>9</v>
      </c>
      <c r="D901">
        <f>COUNTIF(WeeklyPicks!$D$92:$F$101,C901)</f>
        <v>1</v>
      </c>
    </row>
    <row r="902" spans="1:4" x14ac:dyDescent="0.3">
      <c r="A902">
        <v>10</v>
      </c>
      <c r="B902" t="s">
        <v>67</v>
      </c>
      <c r="C902">
        <v>10</v>
      </c>
      <c r="D902">
        <f>COUNTIF(WeeklyPicks!$D$92:$F$101,C902)</f>
        <v>0</v>
      </c>
    </row>
    <row r="903" spans="1:4" x14ac:dyDescent="0.3">
      <c r="A903">
        <v>10</v>
      </c>
      <c r="B903" t="s">
        <v>67</v>
      </c>
      <c r="C903">
        <v>11</v>
      </c>
      <c r="D903">
        <f>COUNTIF(WeeklyPicks!$D$92:$F$101,C903)</f>
        <v>1</v>
      </c>
    </row>
    <row r="904" spans="1:4" x14ac:dyDescent="0.3">
      <c r="A904">
        <v>10</v>
      </c>
      <c r="B904" t="s">
        <v>67</v>
      </c>
      <c r="C904">
        <v>12</v>
      </c>
      <c r="D904">
        <f>COUNTIF(WeeklyPicks!$D$92:$F$101,C904)</f>
        <v>4</v>
      </c>
    </row>
    <row r="905" spans="1:4" x14ac:dyDescent="0.3">
      <c r="A905">
        <v>10</v>
      </c>
      <c r="B905" t="s">
        <v>67</v>
      </c>
      <c r="C905">
        <v>13</v>
      </c>
      <c r="D905">
        <f>COUNTIF(WeeklyPicks!$D$92:$F$101,C905)</f>
        <v>0</v>
      </c>
    </row>
    <row r="906" spans="1:4" x14ac:dyDescent="0.3">
      <c r="A906">
        <v>10</v>
      </c>
      <c r="B906" t="s">
        <v>67</v>
      </c>
      <c r="C906">
        <v>14</v>
      </c>
      <c r="D906">
        <f>COUNTIF(WeeklyPicks!$D$92:$F$101,C906)</f>
        <v>0</v>
      </c>
    </row>
    <row r="907" spans="1:4" x14ac:dyDescent="0.3">
      <c r="A907">
        <v>10</v>
      </c>
      <c r="B907" t="s">
        <v>67</v>
      </c>
      <c r="C907">
        <v>15</v>
      </c>
      <c r="D907">
        <f>COUNTIF(WeeklyPicks!$D$92:$F$101,C907)</f>
        <v>0</v>
      </c>
    </row>
    <row r="908" spans="1:4" x14ac:dyDescent="0.3">
      <c r="A908">
        <v>10</v>
      </c>
      <c r="B908" t="s">
        <v>67</v>
      </c>
      <c r="C908">
        <v>16</v>
      </c>
      <c r="D908">
        <f>COUNTIF(WeeklyPicks!$D$92:$F$101,C908)</f>
        <v>0</v>
      </c>
    </row>
    <row r="909" spans="1:4" x14ac:dyDescent="0.3">
      <c r="A909">
        <v>10</v>
      </c>
      <c r="B909" t="s">
        <v>67</v>
      </c>
      <c r="C909">
        <v>17</v>
      </c>
      <c r="D909">
        <f>COUNTIF(WeeklyPicks!$D$92:$F$101,C909)</f>
        <v>0</v>
      </c>
    </row>
    <row r="910" spans="1:4" x14ac:dyDescent="0.3">
      <c r="A910">
        <v>10</v>
      </c>
      <c r="B910" t="s">
        <v>67</v>
      </c>
      <c r="C910">
        <v>18</v>
      </c>
      <c r="D910">
        <f>COUNTIF(WeeklyPicks!$D$92:$F$101,C910)</f>
        <v>0</v>
      </c>
    </row>
    <row r="911" spans="1:4" x14ac:dyDescent="0.3">
      <c r="A911">
        <v>10</v>
      </c>
      <c r="B911" t="s">
        <v>67</v>
      </c>
      <c r="C911">
        <v>19</v>
      </c>
      <c r="D911">
        <f>COUNTIF(WeeklyPicks!$D$92:$F$101,C911)</f>
        <v>0</v>
      </c>
    </row>
    <row r="912" spans="1:4" x14ac:dyDescent="0.3">
      <c r="A912">
        <v>10</v>
      </c>
      <c r="B912" t="s">
        <v>67</v>
      </c>
      <c r="C912">
        <v>20</v>
      </c>
      <c r="D912">
        <f>COUNTIF(WeeklyPicks!$D$92:$F$101,C912)</f>
        <v>0</v>
      </c>
    </row>
    <row r="913" spans="1:4" x14ac:dyDescent="0.3">
      <c r="A913">
        <v>10</v>
      </c>
      <c r="B913" t="s">
        <v>67</v>
      </c>
      <c r="C913">
        <v>21</v>
      </c>
      <c r="D913">
        <f>COUNTIF(WeeklyPicks!$D$92:$F$101,C913)</f>
        <v>0</v>
      </c>
    </row>
    <row r="914" spans="1:4" x14ac:dyDescent="0.3">
      <c r="A914">
        <v>10</v>
      </c>
      <c r="B914" t="s">
        <v>67</v>
      </c>
      <c r="C914">
        <v>22</v>
      </c>
      <c r="D914">
        <f>COUNTIF(WeeklyPicks!$D$92:$F$101,C914)</f>
        <v>2</v>
      </c>
    </row>
    <row r="915" spans="1:4" x14ac:dyDescent="0.3">
      <c r="A915">
        <v>10</v>
      </c>
      <c r="B915" t="s">
        <v>67</v>
      </c>
      <c r="C915">
        <v>23</v>
      </c>
      <c r="D915">
        <f>COUNTIF(WeeklyPicks!$D$92:$F$101,C915)</f>
        <v>3</v>
      </c>
    </row>
    <row r="916" spans="1:4" x14ac:dyDescent="0.3">
      <c r="A916">
        <v>10</v>
      </c>
      <c r="B916" t="s">
        <v>67</v>
      </c>
      <c r="C916">
        <v>24</v>
      </c>
      <c r="D916">
        <f>COUNTIF(WeeklyPicks!$D$92:$F$101,C916)</f>
        <v>4</v>
      </c>
    </row>
    <row r="917" spans="1:4" x14ac:dyDescent="0.3">
      <c r="A917">
        <v>10</v>
      </c>
      <c r="B917" t="s">
        <v>67</v>
      </c>
      <c r="C917">
        <v>25</v>
      </c>
      <c r="D917">
        <f>COUNTIF(WeeklyPicks!$D$92:$F$101,C917)</f>
        <v>0</v>
      </c>
    </row>
    <row r="918" spans="1:4" x14ac:dyDescent="0.3">
      <c r="A918">
        <v>10</v>
      </c>
      <c r="B918" t="s">
        <v>67</v>
      </c>
      <c r="C918">
        <v>26</v>
      </c>
      <c r="D918">
        <f>COUNTIF(WeeklyPicks!$D$92:$F$101,C918)</f>
        <v>0</v>
      </c>
    </row>
    <row r="919" spans="1:4" x14ac:dyDescent="0.3">
      <c r="A919">
        <v>10</v>
      </c>
      <c r="B919" t="s">
        <v>67</v>
      </c>
      <c r="C919">
        <v>27</v>
      </c>
      <c r="D919">
        <f>COUNTIF(WeeklyPicks!$D$92:$F$101,C919)</f>
        <v>0</v>
      </c>
    </row>
    <row r="920" spans="1:4" x14ac:dyDescent="0.3">
      <c r="A920">
        <v>10</v>
      </c>
      <c r="B920" t="s">
        <v>67</v>
      </c>
      <c r="C920">
        <v>28</v>
      </c>
      <c r="D920">
        <f>COUNTIF(WeeklyPicks!$D$92:$F$101,C920)</f>
        <v>0</v>
      </c>
    </row>
    <row r="921" spans="1:4" x14ac:dyDescent="0.3">
      <c r="A921">
        <v>10</v>
      </c>
      <c r="B921" t="s">
        <v>67</v>
      </c>
      <c r="C921">
        <v>29</v>
      </c>
      <c r="D921">
        <f>COUNTIF(WeeklyPicks!$D$92:$F$101,C921)</f>
        <v>0</v>
      </c>
    </row>
    <row r="922" spans="1:4" x14ac:dyDescent="0.3">
      <c r="A922">
        <v>10</v>
      </c>
      <c r="B922" t="s">
        <v>67</v>
      </c>
      <c r="C922">
        <v>30</v>
      </c>
      <c r="D922">
        <f>COUNTIF(WeeklyPicks!$D$92:$F$101,C922)</f>
        <v>0</v>
      </c>
    </row>
    <row r="923" spans="1:4" x14ac:dyDescent="0.3">
      <c r="A923">
        <v>10</v>
      </c>
      <c r="B923" t="s">
        <v>67</v>
      </c>
      <c r="C923">
        <v>31</v>
      </c>
      <c r="D923">
        <f>COUNTIF(WeeklyPicks!$D$92:$F$101,C923)</f>
        <v>0</v>
      </c>
    </row>
    <row r="924" spans="1:4" x14ac:dyDescent="0.3">
      <c r="A924">
        <v>10</v>
      </c>
      <c r="B924" t="s">
        <v>67</v>
      </c>
      <c r="C924">
        <v>32</v>
      </c>
      <c r="D924">
        <f>COUNTIF(WeeklyPicks!$D$92:$F$101,C924)</f>
        <v>0</v>
      </c>
    </row>
    <row r="925" spans="1:4" x14ac:dyDescent="0.3">
      <c r="A925">
        <v>10</v>
      </c>
      <c r="B925" t="s">
        <v>67</v>
      </c>
      <c r="C925">
        <v>33</v>
      </c>
      <c r="D925">
        <f>COUNTIF(WeeklyPicks!$D$92:$F$101,C925)</f>
        <v>0</v>
      </c>
    </row>
    <row r="926" spans="1:4" x14ac:dyDescent="0.3">
      <c r="A926">
        <v>10</v>
      </c>
      <c r="B926" t="s">
        <v>67</v>
      </c>
      <c r="C926">
        <v>34</v>
      </c>
      <c r="D926">
        <f>COUNTIF(WeeklyPicks!$D$92:$F$101,C926)</f>
        <v>0</v>
      </c>
    </row>
    <row r="927" spans="1:4" x14ac:dyDescent="0.3">
      <c r="A927">
        <v>10</v>
      </c>
      <c r="B927" t="s">
        <v>67</v>
      </c>
      <c r="C927">
        <v>35</v>
      </c>
      <c r="D927">
        <f>COUNTIF(WeeklyPicks!$D$92:$F$101,C927)</f>
        <v>0</v>
      </c>
    </row>
    <row r="928" spans="1:4" x14ac:dyDescent="0.3">
      <c r="A928">
        <v>10</v>
      </c>
      <c r="B928" t="s">
        <v>67</v>
      </c>
      <c r="C928">
        <v>36</v>
      </c>
      <c r="D928">
        <f>COUNTIF(WeeklyPicks!$D$92:$F$101,C928)</f>
        <v>0</v>
      </c>
    </row>
    <row r="929" spans="1:4" x14ac:dyDescent="0.3">
      <c r="A929">
        <v>10</v>
      </c>
      <c r="B929" t="s">
        <v>67</v>
      </c>
      <c r="C929">
        <v>37</v>
      </c>
      <c r="D929">
        <f>COUNTIF(WeeklyPicks!$D$92:$F$101,C929)</f>
        <v>0</v>
      </c>
    </row>
    <row r="930" spans="1:4" x14ac:dyDescent="0.3">
      <c r="A930">
        <v>10</v>
      </c>
      <c r="B930" t="s">
        <v>67</v>
      </c>
      <c r="C930">
        <v>38</v>
      </c>
      <c r="D930">
        <f>COUNTIF(WeeklyPicks!$D$92:$F$101,C930)</f>
        <v>0</v>
      </c>
    </row>
    <row r="931" spans="1:4" x14ac:dyDescent="0.3">
      <c r="A931">
        <v>10</v>
      </c>
      <c r="B931" t="s">
        <v>67</v>
      </c>
      <c r="C931">
        <v>39</v>
      </c>
      <c r="D931">
        <f>COUNTIF(WeeklyPicks!$D$92:$F$101,C931)</f>
        <v>0</v>
      </c>
    </row>
    <row r="932" spans="1:4" x14ac:dyDescent="0.3">
      <c r="A932">
        <v>10</v>
      </c>
      <c r="B932" t="s">
        <v>67</v>
      </c>
      <c r="C932">
        <v>40</v>
      </c>
      <c r="D932">
        <f>COUNTIF(WeeklyPicks!$D$92:$F$101,C932)</f>
        <v>0</v>
      </c>
    </row>
    <row r="933" spans="1:4" x14ac:dyDescent="0.3">
      <c r="A933">
        <v>10</v>
      </c>
      <c r="B933" t="s">
        <v>67</v>
      </c>
      <c r="C933">
        <v>41</v>
      </c>
      <c r="D933">
        <f>COUNTIF(WeeklyPicks!$D$92:$F$101,C933)</f>
        <v>0</v>
      </c>
    </row>
    <row r="934" spans="1:4" x14ac:dyDescent="0.3">
      <c r="A934">
        <v>10</v>
      </c>
      <c r="B934" t="s">
        <v>67</v>
      </c>
      <c r="C934">
        <v>42</v>
      </c>
      <c r="D934">
        <f>COUNTIF(WeeklyPicks!$D$92:$F$101,C934)</f>
        <v>0</v>
      </c>
    </row>
    <row r="935" spans="1:4" x14ac:dyDescent="0.3">
      <c r="A935">
        <v>10</v>
      </c>
      <c r="B935" t="s">
        <v>67</v>
      </c>
      <c r="C935">
        <v>43</v>
      </c>
      <c r="D935">
        <f>COUNTIF(WeeklyPicks!$D$92:$F$101,C935)</f>
        <v>0</v>
      </c>
    </row>
    <row r="936" spans="1:4" x14ac:dyDescent="0.3">
      <c r="A936">
        <v>10</v>
      </c>
      <c r="B936" t="s">
        <v>67</v>
      </c>
      <c r="C936">
        <v>44</v>
      </c>
      <c r="D936">
        <f>COUNTIF(WeeklyPicks!$D$92:$F$101,C936)</f>
        <v>0</v>
      </c>
    </row>
    <row r="937" spans="1:4" x14ac:dyDescent="0.3">
      <c r="A937">
        <v>10</v>
      </c>
      <c r="B937" t="s">
        <v>67</v>
      </c>
      <c r="C937">
        <v>45</v>
      </c>
      <c r="D937">
        <f>COUNTIF(WeeklyPicks!$D$92:$F$101,C937)</f>
        <v>4</v>
      </c>
    </row>
    <row r="938" spans="1:4" x14ac:dyDescent="0.3">
      <c r="A938">
        <v>10</v>
      </c>
      <c r="B938" t="s">
        <v>67</v>
      </c>
      <c r="C938">
        <v>46</v>
      </c>
      <c r="D938">
        <f>COUNTIF(WeeklyPicks!$D$92:$F$101,C938)</f>
        <v>0</v>
      </c>
    </row>
    <row r="939" spans="1:4" x14ac:dyDescent="0.3">
      <c r="A939">
        <v>10</v>
      </c>
      <c r="B939" t="s">
        <v>67</v>
      </c>
      <c r="C939">
        <v>47</v>
      </c>
      <c r="D939">
        <f>COUNTIF(WeeklyPicks!$D$92:$F$101,C939)</f>
        <v>0</v>
      </c>
    </row>
    <row r="940" spans="1:4" x14ac:dyDescent="0.3">
      <c r="A940">
        <v>10</v>
      </c>
      <c r="B940" t="s">
        <v>67</v>
      </c>
      <c r="C940">
        <v>48</v>
      </c>
      <c r="D940">
        <f>COUNTIF(WeeklyPicks!$D$92:$F$101,C940)</f>
        <v>0</v>
      </c>
    </row>
    <row r="941" spans="1:4" x14ac:dyDescent="0.3">
      <c r="A941">
        <v>10</v>
      </c>
      <c r="B941" t="s">
        <v>67</v>
      </c>
      <c r="C941">
        <v>49</v>
      </c>
      <c r="D941">
        <f>COUNTIF(WeeklyPicks!$D$92:$F$101,C941)</f>
        <v>0</v>
      </c>
    </row>
    <row r="942" spans="1:4" x14ac:dyDescent="0.3">
      <c r="A942">
        <v>10</v>
      </c>
      <c r="B942" t="s">
        <v>67</v>
      </c>
      <c r="C942">
        <v>50</v>
      </c>
      <c r="D942">
        <f>COUNTIF(WeeklyPicks!$D$92:$F$101,C942)</f>
        <v>0</v>
      </c>
    </row>
    <row r="943" spans="1:4" x14ac:dyDescent="0.3">
      <c r="A943">
        <v>10</v>
      </c>
      <c r="B943" t="s">
        <v>67</v>
      </c>
      <c r="C943">
        <v>51</v>
      </c>
      <c r="D943">
        <f>COUNTIF(WeeklyPicks!$D$92:$F$101,C943)</f>
        <v>0</v>
      </c>
    </row>
    <row r="944" spans="1:4" x14ac:dyDescent="0.3">
      <c r="A944">
        <v>10</v>
      </c>
      <c r="B944" t="s">
        <v>67</v>
      </c>
      <c r="C944">
        <v>52</v>
      </c>
      <c r="D944">
        <f>COUNTIF(WeeklyPicks!$D$92:$F$101,C944)</f>
        <v>0</v>
      </c>
    </row>
    <row r="945" spans="1:4" x14ac:dyDescent="0.3">
      <c r="A945">
        <v>10</v>
      </c>
      <c r="B945" t="s">
        <v>67</v>
      </c>
      <c r="C945">
        <v>53</v>
      </c>
      <c r="D945">
        <f>COUNTIF(WeeklyPicks!$D$92:$F$101,C945)</f>
        <v>0</v>
      </c>
    </row>
    <row r="946" spans="1:4" x14ac:dyDescent="0.3">
      <c r="A946">
        <v>10</v>
      </c>
      <c r="B946" t="s">
        <v>67</v>
      </c>
      <c r="C946">
        <v>54</v>
      </c>
      <c r="D946">
        <f>COUNTIF(WeeklyPicks!$D$92:$F$101,C946)</f>
        <v>1</v>
      </c>
    </row>
    <row r="947" spans="1:4" x14ac:dyDescent="0.3">
      <c r="A947">
        <v>10</v>
      </c>
      <c r="B947" t="s">
        <v>67</v>
      </c>
      <c r="C947">
        <v>55</v>
      </c>
      <c r="D947">
        <f>COUNTIF(WeeklyPicks!$D$92:$F$101,C947)</f>
        <v>0</v>
      </c>
    </row>
    <row r="948" spans="1:4" x14ac:dyDescent="0.3">
      <c r="A948">
        <v>10</v>
      </c>
      <c r="B948" t="s">
        <v>67</v>
      </c>
      <c r="C948">
        <v>56</v>
      </c>
      <c r="D948">
        <f>COUNTIF(WeeklyPicks!$D$92:$F$101,C948)</f>
        <v>0</v>
      </c>
    </row>
    <row r="949" spans="1:4" x14ac:dyDescent="0.3">
      <c r="A949">
        <v>10</v>
      </c>
      <c r="B949" t="s">
        <v>67</v>
      </c>
      <c r="C949">
        <v>57</v>
      </c>
      <c r="D949">
        <f>COUNTIF(WeeklyPicks!$D$92:$F$101,C949)</f>
        <v>0</v>
      </c>
    </row>
    <row r="950" spans="1:4" x14ac:dyDescent="0.3">
      <c r="A950">
        <v>10</v>
      </c>
      <c r="B950" t="s">
        <v>67</v>
      </c>
      <c r="C950">
        <v>58</v>
      </c>
      <c r="D950">
        <f>COUNTIF(WeeklyPicks!$D$92:$F$101,C950)</f>
        <v>0</v>
      </c>
    </row>
    <row r="951" spans="1:4" x14ac:dyDescent="0.3">
      <c r="A951">
        <v>10</v>
      </c>
      <c r="B951" t="s">
        <v>67</v>
      </c>
      <c r="C951">
        <v>59</v>
      </c>
      <c r="D951">
        <f>COUNTIF(WeeklyPicks!$D$92:$F$101,C951)</f>
        <v>0</v>
      </c>
    </row>
    <row r="952" spans="1:4" x14ac:dyDescent="0.3">
      <c r="A952">
        <v>10</v>
      </c>
      <c r="B952" t="s">
        <v>67</v>
      </c>
      <c r="C952">
        <v>60</v>
      </c>
      <c r="D952">
        <f>COUNTIF(WeeklyPicks!$D$92:$F$101,C952)</f>
        <v>0</v>
      </c>
    </row>
    <row r="953" spans="1:4" x14ac:dyDescent="0.3">
      <c r="A953">
        <v>10</v>
      </c>
      <c r="B953" t="s">
        <v>67</v>
      </c>
      <c r="C953">
        <v>61</v>
      </c>
      <c r="D953">
        <f>COUNTIF(WeeklyPicks!$D$92:$F$101,C953)</f>
        <v>0</v>
      </c>
    </row>
    <row r="954" spans="1:4" x14ac:dyDescent="0.3">
      <c r="A954">
        <v>10</v>
      </c>
      <c r="B954" t="s">
        <v>67</v>
      </c>
      <c r="C954">
        <v>62</v>
      </c>
      <c r="D954">
        <f>COUNTIF(WeeklyPicks!$D$92:$F$101,C954)</f>
        <v>0</v>
      </c>
    </row>
    <row r="955" spans="1:4" x14ac:dyDescent="0.3">
      <c r="A955">
        <v>10</v>
      </c>
      <c r="B955" t="s">
        <v>67</v>
      </c>
      <c r="C955">
        <v>63</v>
      </c>
      <c r="D955">
        <f>COUNTIF(WeeklyPicks!$D$92:$F$101,C955)</f>
        <v>0</v>
      </c>
    </row>
    <row r="956" spans="1:4" x14ac:dyDescent="0.3">
      <c r="A956">
        <v>10</v>
      </c>
      <c r="B956" t="s">
        <v>67</v>
      </c>
      <c r="C956">
        <v>64</v>
      </c>
      <c r="D956">
        <f>COUNTIF(WeeklyPicks!$D$92:$F$101,C956)</f>
        <v>0</v>
      </c>
    </row>
    <row r="957" spans="1:4" x14ac:dyDescent="0.3">
      <c r="A957">
        <v>10</v>
      </c>
      <c r="B957" t="s">
        <v>67</v>
      </c>
      <c r="C957">
        <v>65</v>
      </c>
      <c r="D957">
        <f>COUNTIF(WeeklyPicks!$D$92:$F$101,C957)</f>
        <v>0</v>
      </c>
    </row>
    <row r="958" spans="1:4" x14ac:dyDescent="0.3">
      <c r="A958">
        <v>10</v>
      </c>
      <c r="B958" t="s">
        <v>67</v>
      </c>
      <c r="C958">
        <v>66</v>
      </c>
      <c r="D958">
        <f>COUNTIF(WeeklyPicks!$D$92:$F$101,C958)</f>
        <v>0</v>
      </c>
    </row>
    <row r="959" spans="1:4" x14ac:dyDescent="0.3">
      <c r="A959">
        <v>10</v>
      </c>
      <c r="B959" t="s">
        <v>67</v>
      </c>
      <c r="C959">
        <v>67</v>
      </c>
      <c r="D959">
        <f>COUNTIF(WeeklyPicks!$D$92:$F$101,C959)</f>
        <v>0</v>
      </c>
    </row>
    <row r="960" spans="1:4" x14ac:dyDescent="0.3">
      <c r="A960">
        <v>10</v>
      </c>
      <c r="B960" t="s">
        <v>67</v>
      </c>
      <c r="C960">
        <v>68</v>
      </c>
      <c r="D960">
        <f>COUNTIF(WeeklyPicks!$D$92:$F$101,C960)</f>
        <v>0</v>
      </c>
    </row>
    <row r="961" spans="1:4" x14ac:dyDescent="0.3">
      <c r="A961">
        <v>10</v>
      </c>
      <c r="B961" t="s">
        <v>67</v>
      </c>
      <c r="C961">
        <v>69</v>
      </c>
      <c r="D961">
        <f>COUNTIF(WeeklyPicks!$D$92:$F$101,C961)</f>
        <v>0</v>
      </c>
    </row>
    <row r="962" spans="1:4" x14ac:dyDescent="0.3">
      <c r="A962">
        <v>10</v>
      </c>
      <c r="B962" t="s">
        <v>67</v>
      </c>
      <c r="C962">
        <v>70</v>
      </c>
      <c r="D962">
        <f>COUNTIF(WeeklyPicks!$D$92:$F$101,C962)</f>
        <v>0</v>
      </c>
    </row>
    <row r="963" spans="1:4" x14ac:dyDescent="0.3">
      <c r="A963">
        <v>10</v>
      </c>
      <c r="B963" t="s">
        <v>67</v>
      </c>
      <c r="C963">
        <v>71</v>
      </c>
      <c r="D963">
        <f>COUNTIF(WeeklyPicks!$D$92:$F$101,C963)</f>
        <v>0</v>
      </c>
    </row>
    <row r="964" spans="1:4" x14ac:dyDescent="0.3">
      <c r="A964">
        <v>10</v>
      </c>
      <c r="B964" t="s">
        <v>67</v>
      </c>
      <c r="C964">
        <v>72</v>
      </c>
      <c r="D964">
        <f>COUNTIF(WeeklyPicks!$D$92:$F$101,C964)</f>
        <v>0</v>
      </c>
    </row>
    <row r="965" spans="1:4" x14ac:dyDescent="0.3">
      <c r="A965">
        <v>10</v>
      </c>
      <c r="B965" t="s">
        <v>67</v>
      </c>
      <c r="C965">
        <v>73</v>
      </c>
      <c r="D965">
        <f>COUNTIF(WeeklyPicks!$D$92:$F$101,C965)</f>
        <v>0</v>
      </c>
    </row>
    <row r="966" spans="1:4" x14ac:dyDescent="0.3">
      <c r="A966">
        <v>10</v>
      </c>
      <c r="B966" t="s">
        <v>67</v>
      </c>
      <c r="C966">
        <v>74</v>
      </c>
      <c r="D966">
        <f>COUNTIF(WeeklyPicks!$D$92:$F$101,C966)</f>
        <v>0</v>
      </c>
    </row>
    <row r="967" spans="1:4" x14ac:dyDescent="0.3">
      <c r="A967">
        <v>10</v>
      </c>
      <c r="B967" t="s">
        <v>67</v>
      </c>
      <c r="C967">
        <v>75</v>
      </c>
      <c r="D967">
        <f>COUNTIF(WeeklyPicks!$D$92:$F$101,C967)</f>
        <v>0</v>
      </c>
    </row>
    <row r="968" spans="1:4" x14ac:dyDescent="0.3">
      <c r="A968">
        <v>10</v>
      </c>
      <c r="B968" t="s">
        <v>67</v>
      </c>
      <c r="C968">
        <v>76</v>
      </c>
      <c r="D968">
        <f>COUNTIF(WeeklyPicks!$D$92:$F$101,C968)</f>
        <v>0</v>
      </c>
    </row>
    <row r="969" spans="1:4" x14ac:dyDescent="0.3">
      <c r="A969">
        <v>10</v>
      </c>
      <c r="B969" t="s">
        <v>67</v>
      </c>
      <c r="C969">
        <v>77</v>
      </c>
      <c r="D969">
        <f>COUNTIF(WeeklyPicks!$D$92:$F$101,C969)</f>
        <v>0</v>
      </c>
    </row>
    <row r="970" spans="1:4" x14ac:dyDescent="0.3">
      <c r="A970">
        <v>10</v>
      </c>
      <c r="B970" t="s">
        <v>67</v>
      </c>
      <c r="C970">
        <v>78</v>
      </c>
      <c r="D970">
        <f>COUNTIF(WeeklyPicks!$D$92:$F$101,C970)</f>
        <v>0</v>
      </c>
    </row>
    <row r="971" spans="1:4" x14ac:dyDescent="0.3">
      <c r="A971">
        <v>10</v>
      </c>
      <c r="B971" t="s">
        <v>67</v>
      </c>
      <c r="C971">
        <v>79</v>
      </c>
      <c r="D971">
        <f>COUNTIF(WeeklyPicks!$D$92:$F$101,C971)</f>
        <v>0</v>
      </c>
    </row>
    <row r="972" spans="1:4" x14ac:dyDescent="0.3">
      <c r="A972">
        <v>10</v>
      </c>
      <c r="B972" t="s">
        <v>67</v>
      </c>
      <c r="C972">
        <v>80</v>
      </c>
      <c r="D972">
        <f>COUNTIF(WeeklyPicks!$D$92:$F$101,C972)</f>
        <v>0</v>
      </c>
    </row>
    <row r="973" spans="1:4" x14ac:dyDescent="0.3">
      <c r="A973">
        <v>10</v>
      </c>
      <c r="B973" t="s">
        <v>67</v>
      </c>
      <c r="C973">
        <v>81</v>
      </c>
      <c r="D973">
        <f>COUNTIF(WeeklyPicks!$D$92:$F$101,C973)</f>
        <v>0</v>
      </c>
    </row>
    <row r="974" spans="1:4" x14ac:dyDescent="0.3">
      <c r="A974">
        <v>10</v>
      </c>
      <c r="B974" t="s">
        <v>67</v>
      </c>
      <c r="C974">
        <v>82</v>
      </c>
      <c r="D974">
        <f>COUNTIF(WeeklyPicks!$D$92:$F$101,C974)</f>
        <v>0</v>
      </c>
    </row>
    <row r="975" spans="1:4" x14ac:dyDescent="0.3">
      <c r="A975">
        <v>10</v>
      </c>
      <c r="B975" t="s">
        <v>67</v>
      </c>
      <c r="C975">
        <v>83</v>
      </c>
      <c r="D975">
        <f>COUNTIF(WeeklyPicks!$D$92:$F$101,C975)</f>
        <v>0</v>
      </c>
    </row>
    <row r="976" spans="1:4" x14ac:dyDescent="0.3">
      <c r="A976">
        <v>10</v>
      </c>
      <c r="B976" t="s">
        <v>67</v>
      </c>
      <c r="C976">
        <v>84</v>
      </c>
      <c r="D976">
        <f>COUNTIF(WeeklyPicks!$D$92:$F$101,C976)</f>
        <v>0</v>
      </c>
    </row>
    <row r="977" spans="1:4" x14ac:dyDescent="0.3">
      <c r="A977">
        <v>10</v>
      </c>
      <c r="B977" t="s">
        <v>67</v>
      </c>
      <c r="C977">
        <v>85</v>
      </c>
      <c r="D977">
        <f>COUNTIF(WeeklyPicks!$D$92:$F$101,C977)</f>
        <v>0</v>
      </c>
    </row>
    <row r="978" spans="1:4" x14ac:dyDescent="0.3">
      <c r="A978">
        <v>10</v>
      </c>
      <c r="B978" t="s">
        <v>67</v>
      </c>
      <c r="C978">
        <v>86</v>
      </c>
      <c r="D978">
        <f>COUNTIF(WeeklyPicks!$D$92:$F$101,C978)</f>
        <v>0</v>
      </c>
    </row>
    <row r="979" spans="1:4" x14ac:dyDescent="0.3">
      <c r="A979">
        <v>10</v>
      </c>
      <c r="B979" t="s">
        <v>67</v>
      </c>
      <c r="C979">
        <v>87</v>
      </c>
      <c r="D979">
        <f>COUNTIF(WeeklyPicks!$D$92:$F$101,C979)</f>
        <v>0</v>
      </c>
    </row>
    <row r="980" spans="1:4" x14ac:dyDescent="0.3">
      <c r="A980">
        <v>10</v>
      </c>
      <c r="B980" t="s">
        <v>67</v>
      </c>
      <c r="C980">
        <v>88</v>
      </c>
      <c r="D980">
        <f>COUNTIF(WeeklyPicks!$D$92:$F$101,C980)</f>
        <v>0</v>
      </c>
    </row>
    <row r="981" spans="1:4" x14ac:dyDescent="0.3">
      <c r="A981">
        <v>10</v>
      </c>
      <c r="B981" t="s">
        <v>67</v>
      </c>
      <c r="C981">
        <v>89</v>
      </c>
      <c r="D981">
        <f>COUNTIF(WeeklyPicks!$D$92:$F$101,C981)</f>
        <v>0</v>
      </c>
    </row>
    <row r="982" spans="1:4" x14ac:dyDescent="0.3">
      <c r="A982">
        <v>10</v>
      </c>
      <c r="B982" t="s">
        <v>67</v>
      </c>
      <c r="C982">
        <v>90</v>
      </c>
      <c r="D982">
        <f>COUNTIF(WeeklyPicks!$D$92:$F$101,C982)</f>
        <v>0</v>
      </c>
    </row>
    <row r="983" spans="1:4" x14ac:dyDescent="0.3">
      <c r="A983">
        <v>10</v>
      </c>
      <c r="B983" t="s">
        <v>67</v>
      </c>
      <c r="C983">
        <v>91</v>
      </c>
      <c r="D983">
        <f>COUNTIF(WeeklyPicks!$D$92:$F$101,C983)</f>
        <v>0</v>
      </c>
    </row>
    <row r="984" spans="1:4" x14ac:dyDescent="0.3">
      <c r="A984">
        <v>10</v>
      </c>
      <c r="B984" t="s">
        <v>67</v>
      </c>
      <c r="C984">
        <v>92</v>
      </c>
      <c r="D984">
        <f>COUNTIF(WeeklyPicks!$D$92:$F$101,C984)</f>
        <v>0</v>
      </c>
    </row>
    <row r="985" spans="1:4" x14ac:dyDescent="0.3">
      <c r="A985">
        <v>10</v>
      </c>
      <c r="B985" t="s">
        <v>67</v>
      </c>
      <c r="C985">
        <v>93</v>
      </c>
      <c r="D985">
        <f>COUNTIF(WeeklyPicks!$D$92:$F$101,C985)</f>
        <v>0</v>
      </c>
    </row>
    <row r="986" spans="1:4" x14ac:dyDescent="0.3">
      <c r="A986">
        <v>10</v>
      </c>
      <c r="B986" t="s">
        <v>67</v>
      </c>
      <c r="C986">
        <v>94</v>
      </c>
      <c r="D986">
        <f>COUNTIF(WeeklyPicks!$D$92:$F$101,C986)</f>
        <v>0</v>
      </c>
    </row>
    <row r="987" spans="1:4" x14ac:dyDescent="0.3">
      <c r="A987">
        <v>10</v>
      </c>
      <c r="B987" t="s">
        <v>67</v>
      </c>
      <c r="C987">
        <v>95</v>
      </c>
      <c r="D987">
        <f>COUNTIF(WeeklyPicks!$D$92:$F$101,C987)</f>
        <v>0</v>
      </c>
    </row>
    <row r="988" spans="1:4" x14ac:dyDescent="0.3">
      <c r="A988">
        <v>10</v>
      </c>
      <c r="B988" t="s">
        <v>67</v>
      </c>
      <c r="C988">
        <v>96</v>
      </c>
      <c r="D988">
        <f>COUNTIF(WeeklyPicks!$D$92:$F$101,C988)</f>
        <v>0</v>
      </c>
    </row>
    <row r="989" spans="1:4" x14ac:dyDescent="0.3">
      <c r="A989">
        <v>10</v>
      </c>
      <c r="B989" t="s">
        <v>67</v>
      </c>
      <c r="C989">
        <v>97</v>
      </c>
      <c r="D989">
        <f>COUNTIF(WeeklyPicks!$D$92:$F$101,C989)</f>
        <v>0</v>
      </c>
    </row>
    <row r="990" spans="1:4" x14ac:dyDescent="0.3">
      <c r="A990">
        <v>10</v>
      </c>
      <c r="B990" t="s">
        <v>67</v>
      </c>
      <c r="C990">
        <v>98</v>
      </c>
      <c r="D990">
        <f>COUNTIF(WeeklyPicks!$D$92:$F$101,C990)</f>
        <v>0</v>
      </c>
    </row>
    <row r="991" spans="1:4" x14ac:dyDescent="0.3">
      <c r="A991">
        <v>10</v>
      </c>
      <c r="B991" t="s">
        <v>67</v>
      </c>
      <c r="C991">
        <v>99</v>
      </c>
      <c r="D991">
        <f>COUNTIF(WeeklyPicks!$D$92:$F$101,C991)</f>
        <v>0</v>
      </c>
    </row>
    <row r="992" spans="1:4" x14ac:dyDescent="0.3">
      <c r="A992">
        <v>11</v>
      </c>
      <c r="B992" t="s">
        <v>69</v>
      </c>
      <c r="C992">
        <v>1</v>
      </c>
      <c r="D992">
        <f>COUNTIF(WeeklyPicks!$D$102:$F$111,C992)</f>
        <v>0</v>
      </c>
    </row>
    <row r="993" spans="1:4" x14ac:dyDescent="0.3">
      <c r="A993">
        <v>11</v>
      </c>
      <c r="B993" t="s">
        <v>69</v>
      </c>
      <c r="C993">
        <v>2</v>
      </c>
      <c r="D993">
        <f>COUNTIF(WeeklyPicks!$D$102:$F$111,C993)</f>
        <v>0</v>
      </c>
    </row>
    <row r="994" spans="1:4" x14ac:dyDescent="0.3">
      <c r="A994">
        <v>11</v>
      </c>
      <c r="B994" t="s">
        <v>69</v>
      </c>
      <c r="C994">
        <v>3</v>
      </c>
      <c r="D994">
        <f>COUNTIF(WeeklyPicks!$D$102:$F$111,C994)</f>
        <v>0</v>
      </c>
    </row>
    <row r="995" spans="1:4" x14ac:dyDescent="0.3">
      <c r="A995">
        <v>11</v>
      </c>
      <c r="B995" t="s">
        <v>69</v>
      </c>
      <c r="C995">
        <v>4</v>
      </c>
      <c r="D995">
        <f>COUNTIF(WeeklyPicks!$D$102:$F$111,C995)</f>
        <v>0</v>
      </c>
    </row>
    <row r="996" spans="1:4" x14ac:dyDescent="0.3">
      <c r="A996">
        <v>11</v>
      </c>
      <c r="B996" t="s">
        <v>69</v>
      </c>
      <c r="C996">
        <v>5</v>
      </c>
      <c r="D996">
        <f>COUNTIF(WeeklyPicks!$D$102:$F$111,C996)</f>
        <v>3</v>
      </c>
    </row>
    <row r="997" spans="1:4" x14ac:dyDescent="0.3">
      <c r="A997">
        <v>11</v>
      </c>
      <c r="B997" t="s">
        <v>69</v>
      </c>
      <c r="C997">
        <v>6</v>
      </c>
      <c r="D997">
        <f>COUNTIF(WeeklyPicks!$D$102:$F$111,C997)</f>
        <v>0</v>
      </c>
    </row>
    <row r="998" spans="1:4" x14ac:dyDescent="0.3">
      <c r="A998">
        <v>11</v>
      </c>
      <c r="B998" t="s">
        <v>69</v>
      </c>
      <c r="C998">
        <v>7</v>
      </c>
      <c r="D998">
        <f>COUNTIF(WeeklyPicks!$D$102:$F$111,C998)</f>
        <v>1</v>
      </c>
    </row>
    <row r="999" spans="1:4" x14ac:dyDescent="0.3">
      <c r="A999">
        <v>11</v>
      </c>
      <c r="B999" t="s">
        <v>69</v>
      </c>
      <c r="C999">
        <v>8</v>
      </c>
      <c r="D999">
        <f>COUNTIF(WeeklyPicks!$D$102:$F$111,C999)</f>
        <v>1</v>
      </c>
    </row>
    <row r="1000" spans="1:4" x14ac:dyDescent="0.3">
      <c r="A1000">
        <v>11</v>
      </c>
      <c r="B1000" t="s">
        <v>69</v>
      </c>
      <c r="C1000">
        <v>9</v>
      </c>
      <c r="D1000">
        <f>COUNTIF(WeeklyPicks!$D$102:$F$111,C1000)</f>
        <v>1</v>
      </c>
    </row>
    <row r="1001" spans="1:4" x14ac:dyDescent="0.3">
      <c r="A1001">
        <v>11</v>
      </c>
      <c r="B1001" t="s">
        <v>69</v>
      </c>
      <c r="C1001">
        <v>10</v>
      </c>
      <c r="D1001">
        <f>COUNTIF(WeeklyPicks!$D$102:$F$111,C1001)</f>
        <v>0</v>
      </c>
    </row>
    <row r="1002" spans="1:4" x14ac:dyDescent="0.3">
      <c r="A1002">
        <v>11</v>
      </c>
      <c r="B1002" t="s">
        <v>69</v>
      </c>
      <c r="C1002">
        <v>11</v>
      </c>
      <c r="D1002">
        <f>COUNTIF(WeeklyPicks!$D$102:$F$111,C1002)</f>
        <v>6</v>
      </c>
    </row>
    <row r="1003" spans="1:4" x14ac:dyDescent="0.3">
      <c r="A1003">
        <v>11</v>
      </c>
      <c r="B1003" t="s">
        <v>69</v>
      </c>
      <c r="C1003">
        <v>12</v>
      </c>
      <c r="D1003">
        <f>COUNTIF(WeeklyPicks!$D$102:$F$111,C1003)</f>
        <v>1</v>
      </c>
    </row>
    <row r="1004" spans="1:4" x14ac:dyDescent="0.3">
      <c r="A1004">
        <v>11</v>
      </c>
      <c r="B1004" t="s">
        <v>69</v>
      </c>
      <c r="C1004">
        <v>13</v>
      </c>
      <c r="D1004">
        <f>COUNTIF(WeeklyPicks!$D$102:$F$111,C1004)</f>
        <v>0</v>
      </c>
    </row>
    <row r="1005" spans="1:4" x14ac:dyDescent="0.3">
      <c r="A1005">
        <v>11</v>
      </c>
      <c r="B1005" t="s">
        <v>69</v>
      </c>
      <c r="C1005">
        <v>14</v>
      </c>
      <c r="D1005">
        <f>COUNTIF(WeeklyPicks!$D$102:$F$111,C1005)</f>
        <v>0</v>
      </c>
    </row>
    <row r="1006" spans="1:4" x14ac:dyDescent="0.3">
      <c r="A1006">
        <v>11</v>
      </c>
      <c r="B1006" t="s">
        <v>69</v>
      </c>
      <c r="C1006">
        <v>15</v>
      </c>
      <c r="D1006">
        <f>COUNTIF(WeeklyPicks!$D$102:$F$111,C1006)</f>
        <v>0</v>
      </c>
    </row>
    <row r="1007" spans="1:4" x14ac:dyDescent="0.3">
      <c r="A1007">
        <v>11</v>
      </c>
      <c r="B1007" t="s">
        <v>69</v>
      </c>
      <c r="C1007">
        <v>16</v>
      </c>
      <c r="D1007">
        <f>COUNTIF(WeeklyPicks!$D$102:$F$111,C1007)</f>
        <v>0</v>
      </c>
    </row>
    <row r="1008" spans="1:4" x14ac:dyDescent="0.3">
      <c r="A1008">
        <v>11</v>
      </c>
      <c r="B1008" t="s">
        <v>69</v>
      </c>
      <c r="C1008">
        <v>17</v>
      </c>
      <c r="D1008">
        <f>COUNTIF(WeeklyPicks!$D$102:$F$111,C1008)</f>
        <v>1</v>
      </c>
    </row>
    <row r="1009" spans="1:4" x14ac:dyDescent="0.3">
      <c r="A1009">
        <v>11</v>
      </c>
      <c r="B1009" t="s">
        <v>69</v>
      </c>
      <c r="C1009">
        <v>18</v>
      </c>
      <c r="D1009">
        <f>COUNTIF(WeeklyPicks!$D$102:$F$111,C1009)</f>
        <v>0</v>
      </c>
    </row>
    <row r="1010" spans="1:4" x14ac:dyDescent="0.3">
      <c r="A1010">
        <v>11</v>
      </c>
      <c r="B1010" t="s">
        <v>69</v>
      </c>
      <c r="C1010">
        <v>19</v>
      </c>
      <c r="D1010">
        <f>COUNTIF(WeeklyPicks!$D$102:$F$111,C1010)</f>
        <v>2</v>
      </c>
    </row>
    <row r="1011" spans="1:4" x14ac:dyDescent="0.3">
      <c r="A1011">
        <v>11</v>
      </c>
      <c r="B1011" t="s">
        <v>69</v>
      </c>
      <c r="C1011">
        <v>20</v>
      </c>
      <c r="D1011">
        <f>COUNTIF(WeeklyPicks!$D$102:$F$111,C1011)</f>
        <v>2</v>
      </c>
    </row>
    <row r="1012" spans="1:4" x14ac:dyDescent="0.3">
      <c r="A1012">
        <v>11</v>
      </c>
      <c r="B1012" t="s">
        <v>69</v>
      </c>
      <c r="C1012">
        <v>21</v>
      </c>
      <c r="D1012">
        <f>COUNTIF(WeeklyPicks!$D$102:$F$111,C1012)</f>
        <v>0</v>
      </c>
    </row>
    <row r="1013" spans="1:4" x14ac:dyDescent="0.3">
      <c r="A1013">
        <v>11</v>
      </c>
      <c r="B1013" t="s">
        <v>69</v>
      </c>
      <c r="C1013">
        <v>22</v>
      </c>
      <c r="D1013">
        <f>COUNTIF(WeeklyPicks!$D$102:$F$111,C1013)</f>
        <v>1</v>
      </c>
    </row>
    <row r="1014" spans="1:4" x14ac:dyDescent="0.3">
      <c r="A1014">
        <v>11</v>
      </c>
      <c r="B1014" t="s">
        <v>69</v>
      </c>
      <c r="C1014">
        <v>23</v>
      </c>
      <c r="D1014">
        <f>COUNTIF(WeeklyPicks!$D$102:$F$111,C1014)</f>
        <v>0</v>
      </c>
    </row>
    <row r="1015" spans="1:4" x14ac:dyDescent="0.3">
      <c r="A1015">
        <v>11</v>
      </c>
      <c r="B1015" t="s">
        <v>69</v>
      </c>
      <c r="C1015">
        <v>24</v>
      </c>
      <c r="D1015">
        <f>COUNTIF(WeeklyPicks!$D$102:$F$111,C1015)</f>
        <v>0</v>
      </c>
    </row>
    <row r="1016" spans="1:4" x14ac:dyDescent="0.3">
      <c r="A1016">
        <v>11</v>
      </c>
      <c r="B1016" t="s">
        <v>69</v>
      </c>
      <c r="C1016">
        <v>25</v>
      </c>
      <c r="D1016">
        <f>COUNTIF(WeeklyPicks!$D$102:$F$111,C1016)</f>
        <v>0</v>
      </c>
    </row>
    <row r="1017" spans="1:4" x14ac:dyDescent="0.3">
      <c r="A1017">
        <v>11</v>
      </c>
      <c r="B1017" t="s">
        <v>69</v>
      </c>
      <c r="C1017">
        <v>26</v>
      </c>
      <c r="D1017">
        <f>COUNTIF(WeeklyPicks!$D$102:$F$111,C1017)</f>
        <v>0</v>
      </c>
    </row>
    <row r="1018" spans="1:4" x14ac:dyDescent="0.3">
      <c r="A1018">
        <v>11</v>
      </c>
      <c r="B1018" t="s">
        <v>69</v>
      </c>
      <c r="C1018">
        <v>27</v>
      </c>
      <c r="D1018">
        <f>COUNTIF(WeeklyPicks!$D$102:$F$111,C1018)</f>
        <v>0</v>
      </c>
    </row>
    <row r="1019" spans="1:4" x14ac:dyDescent="0.3">
      <c r="A1019">
        <v>11</v>
      </c>
      <c r="B1019" t="s">
        <v>69</v>
      </c>
      <c r="C1019">
        <v>28</v>
      </c>
      <c r="D1019">
        <f>COUNTIF(WeeklyPicks!$D$102:$F$111,C1019)</f>
        <v>0</v>
      </c>
    </row>
    <row r="1020" spans="1:4" x14ac:dyDescent="0.3">
      <c r="A1020">
        <v>11</v>
      </c>
      <c r="B1020" t="s">
        <v>69</v>
      </c>
      <c r="C1020">
        <v>29</v>
      </c>
      <c r="D1020">
        <f>COUNTIF(WeeklyPicks!$D$102:$F$111,C1020)</f>
        <v>0</v>
      </c>
    </row>
    <row r="1021" spans="1:4" x14ac:dyDescent="0.3">
      <c r="A1021">
        <v>11</v>
      </c>
      <c r="B1021" t="s">
        <v>69</v>
      </c>
      <c r="C1021">
        <v>30</v>
      </c>
      <c r="D1021">
        <f>COUNTIF(WeeklyPicks!$D$102:$F$111,C1021)</f>
        <v>0</v>
      </c>
    </row>
    <row r="1022" spans="1:4" x14ac:dyDescent="0.3">
      <c r="A1022">
        <v>11</v>
      </c>
      <c r="B1022" t="s">
        <v>69</v>
      </c>
      <c r="C1022">
        <v>31</v>
      </c>
      <c r="D1022">
        <f>COUNTIF(WeeklyPicks!$D$102:$F$111,C1022)</f>
        <v>0</v>
      </c>
    </row>
    <row r="1023" spans="1:4" x14ac:dyDescent="0.3">
      <c r="A1023">
        <v>11</v>
      </c>
      <c r="B1023" t="s">
        <v>69</v>
      </c>
      <c r="C1023">
        <v>32</v>
      </c>
      <c r="D1023">
        <f>COUNTIF(WeeklyPicks!$D$102:$F$111,C1023)</f>
        <v>0</v>
      </c>
    </row>
    <row r="1024" spans="1:4" x14ac:dyDescent="0.3">
      <c r="A1024">
        <v>11</v>
      </c>
      <c r="B1024" t="s">
        <v>69</v>
      </c>
      <c r="C1024">
        <v>33</v>
      </c>
      <c r="D1024">
        <f>COUNTIF(WeeklyPicks!$D$102:$F$111,C1024)</f>
        <v>0</v>
      </c>
    </row>
    <row r="1025" spans="1:4" x14ac:dyDescent="0.3">
      <c r="A1025">
        <v>11</v>
      </c>
      <c r="B1025" t="s">
        <v>69</v>
      </c>
      <c r="C1025">
        <v>34</v>
      </c>
      <c r="D1025">
        <f>COUNTIF(WeeklyPicks!$D$102:$F$111,C1025)</f>
        <v>0</v>
      </c>
    </row>
    <row r="1026" spans="1:4" x14ac:dyDescent="0.3">
      <c r="A1026">
        <v>11</v>
      </c>
      <c r="B1026" t="s">
        <v>69</v>
      </c>
      <c r="C1026">
        <v>35</v>
      </c>
      <c r="D1026">
        <f>COUNTIF(WeeklyPicks!$D$102:$F$111,C1026)</f>
        <v>0</v>
      </c>
    </row>
    <row r="1027" spans="1:4" x14ac:dyDescent="0.3">
      <c r="A1027">
        <v>11</v>
      </c>
      <c r="B1027" t="s">
        <v>69</v>
      </c>
      <c r="C1027">
        <v>36</v>
      </c>
      <c r="D1027">
        <f>COUNTIF(WeeklyPicks!$D$102:$F$111,C1027)</f>
        <v>0</v>
      </c>
    </row>
    <row r="1028" spans="1:4" x14ac:dyDescent="0.3">
      <c r="A1028">
        <v>11</v>
      </c>
      <c r="B1028" t="s">
        <v>69</v>
      </c>
      <c r="C1028">
        <v>37</v>
      </c>
      <c r="D1028">
        <f>COUNTIF(WeeklyPicks!$D$102:$F$111,C1028)</f>
        <v>0</v>
      </c>
    </row>
    <row r="1029" spans="1:4" x14ac:dyDescent="0.3">
      <c r="A1029">
        <v>11</v>
      </c>
      <c r="B1029" t="s">
        <v>69</v>
      </c>
      <c r="C1029">
        <v>38</v>
      </c>
      <c r="D1029">
        <f>COUNTIF(WeeklyPicks!$D$102:$F$111,C1029)</f>
        <v>0</v>
      </c>
    </row>
    <row r="1030" spans="1:4" x14ac:dyDescent="0.3">
      <c r="A1030">
        <v>11</v>
      </c>
      <c r="B1030" t="s">
        <v>69</v>
      </c>
      <c r="C1030">
        <v>39</v>
      </c>
      <c r="D1030">
        <f>COUNTIF(WeeklyPicks!$D$102:$F$111,C1030)</f>
        <v>0</v>
      </c>
    </row>
    <row r="1031" spans="1:4" x14ac:dyDescent="0.3">
      <c r="A1031">
        <v>11</v>
      </c>
      <c r="B1031" t="s">
        <v>69</v>
      </c>
      <c r="C1031">
        <v>40</v>
      </c>
      <c r="D1031">
        <f>COUNTIF(WeeklyPicks!$D$102:$F$111,C1031)</f>
        <v>0</v>
      </c>
    </row>
    <row r="1032" spans="1:4" x14ac:dyDescent="0.3">
      <c r="A1032">
        <v>11</v>
      </c>
      <c r="B1032" t="s">
        <v>69</v>
      </c>
      <c r="C1032">
        <v>41</v>
      </c>
      <c r="D1032">
        <f>COUNTIF(WeeklyPicks!$D$102:$F$111,C1032)</f>
        <v>0</v>
      </c>
    </row>
    <row r="1033" spans="1:4" x14ac:dyDescent="0.3">
      <c r="A1033">
        <v>11</v>
      </c>
      <c r="B1033" t="s">
        <v>69</v>
      </c>
      <c r="C1033">
        <v>42</v>
      </c>
      <c r="D1033">
        <f>COUNTIF(WeeklyPicks!$D$102:$F$111,C1033)</f>
        <v>0</v>
      </c>
    </row>
    <row r="1034" spans="1:4" x14ac:dyDescent="0.3">
      <c r="A1034">
        <v>11</v>
      </c>
      <c r="B1034" t="s">
        <v>69</v>
      </c>
      <c r="C1034">
        <v>43</v>
      </c>
      <c r="D1034">
        <f>COUNTIF(WeeklyPicks!$D$102:$F$111,C1034)</f>
        <v>0</v>
      </c>
    </row>
    <row r="1035" spans="1:4" x14ac:dyDescent="0.3">
      <c r="A1035">
        <v>11</v>
      </c>
      <c r="B1035" t="s">
        <v>69</v>
      </c>
      <c r="C1035">
        <v>44</v>
      </c>
      <c r="D1035">
        <f>COUNTIF(WeeklyPicks!$D$102:$F$111,C1035)</f>
        <v>0</v>
      </c>
    </row>
    <row r="1036" spans="1:4" x14ac:dyDescent="0.3">
      <c r="A1036">
        <v>11</v>
      </c>
      <c r="B1036" t="s">
        <v>69</v>
      </c>
      <c r="C1036">
        <v>45</v>
      </c>
      <c r="D1036">
        <f>COUNTIF(WeeklyPicks!$D$102:$F$111,C1036)</f>
        <v>2</v>
      </c>
    </row>
    <row r="1037" spans="1:4" x14ac:dyDescent="0.3">
      <c r="A1037">
        <v>11</v>
      </c>
      <c r="B1037" t="s">
        <v>69</v>
      </c>
      <c r="C1037">
        <v>46</v>
      </c>
      <c r="D1037">
        <f>COUNTIF(WeeklyPicks!$D$102:$F$111,C1037)</f>
        <v>0</v>
      </c>
    </row>
    <row r="1038" spans="1:4" x14ac:dyDescent="0.3">
      <c r="A1038">
        <v>11</v>
      </c>
      <c r="B1038" t="s">
        <v>69</v>
      </c>
      <c r="C1038">
        <v>47</v>
      </c>
      <c r="D1038">
        <f>COUNTIF(WeeklyPicks!$D$102:$F$111,C1038)</f>
        <v>0</v>
      </c>
    </row>
    <row r="1039" spans="1:4" x14ac:dyDescent="0.3">
      <c r="A1039">
        <v>11</v>
      </c>
      <c r="B1039" t="s">
        <v>69</v>
      </c>
      <c r="C1039">
        <v>48</v>
      </c>
      <c r="D1039">
        <f>COUNTIF(WeeklyPicks!$D$102:$F$111,C1039)</f>
        <v>1</v>
      </c>
    </row>
    <row r="1040" spans="1:4" x14ac:dyDescent="0.3">
      <c r="A1040">
        <v>11</v>
      </c>
      <c r="B1040" t="s">
        <v>69</v>
      </c>
      <c r="C1040">
        <v>49</v>
      </c>
      <c r="D1040">
        <f>COUNTIF(WeeklyPicks!$D$102:$F$111,C1040)</f>
        <v>0</v>
      </c>
    </row>
    <row r="1041" spans="1:4" x14ac:dyDescent="0.3">
      <c r="A1041">
        <v>11</v>
      </c>
      <c r="B1041" t="s">
        <v>69</v>
      </c>
      <c r="C1041">
        <v>50</v>
      </c>
      <c r="D1041">
        <f>COUNTIF(WeeklyPicks!$D$102:$F$111,C1041)</f>
        <v>0</v>
      </c>
    </row>
    <row r="1042" spans="1:4" x14ac:dyDescent="0.3">
      <c r="A1042">
        <v>11</v>
      </c>
      <c r="B1042" t="s">
        <v>69</v>
      </c>
      <c r="C1042">
        <v>51</v>
      </c>
      <c r="D1042">
        <f>COUNTIF(WeeklyPicks!$D$102:$F$111,C1042)</f>
        <v>0</v>
      </c>
    </row>
    <row r="1043" spans="1:4" x14ac:dyDescent="0.3">
      <c r="A1043">
        <v>11</v>
      </c>
      <c r="B1043" t="s">
        <v>69</v>
      </c>
      <c r="C1043">
        <v>52</v>
      </c>
      <c r="D1043">
        <f>COUNTIF(WeeklyPicks!$D$102:$F$111,C1043)</f>
        <v>0</v>
      </c>
    </row>
    <row r="1044" spans="1:4" x14ac:dyDescent="0.3">
      <c r="A1044">
        <v>11</v>
      </c>
      <c r="B1044" t="s">
        <v>69</v>
      </c>
      <c r="C1044">
        <v>53</v>
      </c>
      <c r="D1044">
        <f>COUNTIF(WeeklyPicks!$D$102:$F$111,C1044)</f>
        <v>0</v>
      </c>
    </row>
    <row r="1045" spans="1:4" x14ac:dyDescent="0.3">
      <c r="A1045">
        <v>11</v>
      </c>
      <c r="B1045" t="s">
        <v>69</v>
      </c>
      <c r="C1045">
        <v>54</v>
      </c>
      <c r="D1045">
        <f>COUNTIF(WeeklyPicks!$D$102:$F$111,C1045)</f>
        <v>1</v>
      </c>
    </row>
    <row r="1046" spans="1:4" x14ac:dyDescent="0.3">
      <c r="A1046">
        <v>11</v>
      </c>
      <c r="B1046" t="s">
        <v>69</v>
      </c>
      <c r="C1046">
        <v>55</v>
      </c>
      <c r="D1046">
        <f>COUNTIF(WeeklyPicks!$D$102:$F$111,C1046)</f>
        <v>0</v>
      </c>
    </row>
    <row r="1047" spans="1:4" x14ac:dyDescent="0.3">
      <c r="A1047">
        <v>11</v>
      </c>
      <c r="B1047" t="s">
        <v>69</v>
      </c>
      <c r="C1047">
        <v>56</v>
      </c>
      <c r="D1047">
        <f>COUNTIF(WeeklyPicks!$D$102:$F$111,C1047)</f>
        <v>0</v>
      </c>
    </row>
    <row r="1048" spans="1:4" x14ac:dyDescent="0.3">
      <c r="A1048">
        <v>11</v>
      </c>
      <c r="B1048" t="s">
        <v>69</v>
      </c>
      <c r="C1048">
        <v>57</v>
      </c>
      <c r="D1048">
        <f>COUNTIF(WeeklyPicks!$D$102:$F$111,C1048)</f>
        <v>0</v>
      </c>
    </row>
    <row r="1049" spans="1:4" x14ac:dyDescent="0.3">
      <c r="A1049">
        <v>11</v>
      </c>
      <c r="B1049" t="s">
        <v>69</v>
      </c>
      <c r="C1049">
        <v>58</v>
      </c>
      <c r="D1049">
        <f>COUNTIF(WeeklyPicks!$D$102:$F$111,C1049)</f>
        <v>0</v>
      </c>
    </row>
    <row r="1050" spans="1:4" x14ac:dyDescent="0.3">
      <c r="A1050">
        <v>11</v>
      </c>
      <c r="B1050" t="s">
        <v>69</v>
      </c>
      <c r="C1050">
        <v>59</v>
      </c>
      <c r="D1050">
        <f>COUNTIF(WeeklyPicks!$D$102:$F$111,C1050)</f>
        <v>0</v>
      </c>
    </row>
    <row r="1051" spans="1:4" x14ac:dyDescent="0.3">
      <c r="A1051">
        <v>11</v>
      </c>
      <c r="B1051" t="s">
        <v>69</v>
      </c>
      <c r="C1051">
        <v>60</v>
      </c>
      <c r="D1051">
        <f>COUNTIF(WeeklyPicks!$D$102:$F$111,C1051)</f>
        <v>0</v>
      </c>
    </row>
    <row r="1052" spans="1:4" x14ac:dyDescent="0.3">
      <c r="A1052">
        <v>11</v>
      </c>
      <c r="B1052" t="s">
        <v>69</v>
      </c>
      <c r="C1052">
        <v>61</v>
      </c>
      <c r="D1052">
        <f>COUNTIF(WeeklyPicks!$D$102:$F$111,C1052)</f>
        <v>0</v>
      </c>
    </row>
    <row r="1053" spans="1:4" x14ac:dyDescent="0.3">
      <c r="A1053">
        <v>11</v>
      </c>
      <c r="B1053" t="s">
        <v>69</v>
      </c>
      <c r="C1053">
        <v>62</v>
      </c>
      <c r="D1053">
        <f>COUNTIF(WeeklyPicks!$D$102:$F$111,C1053)</f>
        <v>0</v>
      </c>
    </row>
    <row r="1054" spans="1:4" x14ac:dyDescent="0.3">
      <c r="A1054">
        <v>11</v>
      </c>
      <c r="B1054" t="s">
        <v>69</v>
      </c>
      <c r="C1054">
        <v>63</v>
      </c>
      <c r="D1054">
        <f>COUNTIF(WeeklyPicks!$D$102:$F$111,C1054)</f>
        <v>0</v>
      </c>
    </row>
    <row r="1055" spans="1:4" x14ac:dyDescent="0.3">
      <c r="A1055">
        <v>11</v>
      </c>
      <c r="B1055" t="s">
        <v>69</v>
      </c>
      <c r="C1055">
        <v>64</v>
      </c>
      <c r="D1055">
        <f>COUNTIF(WeeklyPicks!$D$102:$F$111,C1055)</f>
        <v>0</v>
      </c>
    </row>
    <row r="1056" spans="1:4" x14ac:dyDescent="0.3">
      <c r="A1056">
        <v>11</v>
      </c>
      <c r="B1056" t="s">
        <v>69</v>
      </c>
      <c r="C1056">
        <v>65</v>
      </c>
      <c r="D1056">
        <f>COUNTIF(WeeklyPicks!$D$102:$F$111,C1056)</f>
        <v>0</v>
      </c>
    </row>
    <row r="1057" spans="1:4" x14ac:dyDescent="0.3">
      <c r="A1057">
        <v>11</v>
      </c>
      <c r="B1057" t="s">
        <v>69</v>
      </c>
      <c r="C1057">
        <v>66</v>
      </c>
      <c r="D1057">
        <f>COUNTIF(WeeklyPicks!$D$102:$F$111,C1057)</f>
        <v>0</v>
      </c>
    </row>
    <row r="1058" spans="1:4" x14ac:dyDescent="0.3">
      <c r="A1058">
        <v>11</v>
      </c>
      <c r="B1058" t="s">
        <v>69</v>
      </c>
      <c r="C1058">
        <v>67</v>
      </c>
      <c r="D1058">
        <f>COUNTIF(WeeklyPicks!$D$102:$F$111,C1058)</f>
        <v>0</v>
      </c>
    </row>
    <row r="1059" spans="1:4" x14ac:dyDescent="0.3">
      <c r="A1059">
        <v>11</v>
      </c>
      <c r="B1059" t="s">
        <v>69</v>
      </c>
      <c r="C1059">
        <v>68</v>
      </c>
      <c r="D1059">
        <f>COUNTIF(WeeklyPicks!$D$102:$F$111,C1059)</f>
        <v>0</v>
      </c>
    </row>
    <row r="1060" spans="1:4" x14ac:dyDescent="0.3">
      <c r="A1060">
        <v>11</v>
      </c>
      <c r="B1060" t="s">
        <v>69</v>
      </c>
      <c r="C1060">
        <v>69</v>
      </c>
      <c r="D1060">
        <f>COUNTIF(WeeklyPicks!$D$102:$F$111,C1060)</f>
        <v>0</v>
      </c>
    </row>
    <row r="1061" spans="1:4" x14ac:dyDescent="0.3">
      <c r="A1061">
        <v>11</v>
      </c>
      <c r="B1061" t="s">
        <v>69</v>
      </c>
      <c r="C1061">
        <v>70</v>
      </c>
      <c r="D1061">
        <f>COUNTIF(WeeklyPicks!$D$102:$F$111,C1061)</f>
        <v>0</v>
      </c>
    </row>
    <row r="1062" spans="1:4" x14ac:dyDescent="0.3">
      <c r="A1062">
        <v>11</v>
      </c>
      <c r="B1062" t="s">
        <v>69</v>
      </c>
      <c r="C1062">
        <v>71</v>
      </c>
      <c r="D1062">
        <f>COUNTIF(WeeklyPicks!$D$102:$F$111,C1062)</f>
        <v>0</v>
      </c>
    </row>
    <row r="1063" spans="1:4" x14ac:dyDescent="0.3">
      <c r="A1063">
        <v>11</v>
      </c>
      <c r="B1063" t="s">
        <v>69</v>
      </c>
      <c r="C1063">
        <v>72</v>
      </c>
      <c r="D1063">
        <f>COUNTIF(WeeklyPicks!$D$102:$F$111,C1063)</f>
        <v>0</v>
      </c>
    </row>
    <row r="1064" spans="1:4" x14ac:dyDescent="0.3">
      <c r="A1064">
        <v>11</v>
      </c>
      <c r="B1064" t="s">
        <v>69</v>
      </c>
      <c r="C1064">
        <v>73</v>
      </c>
      <c r="D1064">
        <f>COUNTIF(WeeklyPicks!$D$102:$F$111,C1064)</f>
        <v>0</v>
      </c>
    </row>
    <row r="1065" spans="1:4" x14ac:dyDescent="0.3">
      <c r="A1065">
        <v>11</v>
      </c>
      <c r="B1065" t="s">
        <v>69</v>
      </c>
      <c r="C1065">
        <v>74</v>
      </c>
      <c r="D1065">
        <f>COUNTIF(WeeklyPicks!$D$102:$F$111,C1065)</f>
        <v>0</v>
      </c>
    </row>
    <row r="1066" spans="1:4" x14ac:dyDescent="0.3">
      <c r="A1066">
        <v>11</v>
      </c>
      <c r="B1066" t="s">
        <v>69</v>
      </c>
      <c r="C1066">
        <v>75</v>
      </c>
      <c r="D1066">
        <f>COUNTIF(WeeklyPicks!$D$102:$F$111,C1066)</f>
        <v>0</v>
      </c>
    </row>
    <row r="1067" spans="1:4" x14ac:dyDescent="0.3">
      <c r="A1067">
        <v>11</v>
      </c>
      <c r="B1067" t="s">
        <v>69</v>
      </c>
      <c r="C1067">
        <v>76</v>
      </c>
      <c r="D1067">
        <f>COUNTIF(WeeklyPicks!$D$102:$F$111,C1067)</f>
        <v>0</v>
      </c>
    </row>
    <row r="1068" spans="1:4" x14ac:dyDescent="0.3">
      <c r="A1068">
        <v>11</v>
      </c>
      <c r="B1068" t="s">
        <v>69</v>
      </c>
      <c r="C1068">
        <v>77</v>
      </c>
      <c r="D1068">
        <f>COUNTIF(WeeklyPicks!$D$102:$F$111,C1068)</f>
        <v>4</v>
      </c>
    </row>
    <row r="1069" spans="1:4" x14ac:dyDescent="0.3">
      <c r="A1069">
        <v>11</v>
      </c>
      <c r="B1069" t="s">
        <v>69</v>
      </c>
      <c r="C1069">
        <v>78</v>
      </c>
      <c r="D1069">
        <f>COUNTIF(WeeklyPicks!$D$102:$F$111,C1069)</f>
        <v>0</v>
      </c>
    </row>
    <row r="1070" spans="1:4" x14ac:dyDescent="0.3">
      <c r="A1070">
        <v>11</v>
      </c>
      <c r="B1070" t="s">
        <v>69</v>
      </c>
      <c r="C1070">
        <v>79</v>
      </c>
      <c r="D1070">
        <f>COUNTIF(WeeklyPicks!$D$102:$F$111,C1070)</f>
        <v>0</v>
      </c>
    </row>
    <row r="1071" spans="1:4" x14ac:dyDescent="0.3">
      <c r="A1071">
        <v>11</v>
      </c>
      <c r="B1071" t="s">
        <v>69</v>
      </c>
      <c r="C1071">
        <v>80</v>
      </c>
      <c r="D1071">
        <f>COUNTIF(WeeklyPicks!$D$102:$F$111,C1071)</f>
        <v>0</v>
      </c>
    </row>
    <row r="1072" spans="1:4" x14ac:dyDescent="0.3">
      <c r="A1072">
        <v>11</v>
      </c>
      <c r="B1072" t="s">
        <v>69</v>
      </c>
      <c r="C1072">
        <v>81</v>
      </c>
      <c r="D1072">
        <f>COUNTIF(WeeklyPicks!$D$102:$F$111,C1072)</f>
        <v>0</v>
      </c>
    </row>
    <row r="1073" spans="1:4" x14ac:dyDescent="0.3">
      <c r="A1073">
        <v>11</v>
      </c>
      <c r="B1073" t="s">
        <v>69</v>
      </c>
      <c r="C1073">
        <v>82</v>
      </c>
      <c r="D1073">
        <f>COUNTIF(WeeklyPicks!$D$102:$F$111,C1073)</f>
        <v>0</v>
      </c>
    </row>
    <row r="1074" spans="1:4" x14ac:dyDescent="0.3">
      <c r="A1074">
        <v>11</v>
      </c>
      <c r="B1074" t="s">
        <v>69</v>
      </c>
      <c r="C1074">
        <v>83</v>
      </c>
      <c r="D1074">
        <f>COUNTIF(WeeklyPicks!$D$102:$F$111,C1074)</f>
        <v>0</v>
      </c>
    </row>
    <row r="1075" spans="1:4" x14ac:dyDescent="0.3">
      <c r="A1075">
        <v>11</v>
      </c>
      <c r="B1075" t="s">
        <v>69</v>
      </c>
      <c r="C1075">
        <v>84</v>
      </c>
      <c r="D1075">
        <f>COUNTIF(WeeklyPicks!$D$102:$F$111,C1075)</f>
        <v>0</v>
      </c>
    </row>
    <row r="1076" spans="1:4" x14ac:dyDescent="0.3">
      <c r="A1076">
        <v>11</v>
      </c>
      <c r="B1076" t="s">
        <v>69</v>
      </c>
      <c r="C1076">
        <v>85</v>
      </c>
      <c r="D1076">
        <f>COUNTIF(WeeklyPicks!$D$102:$F$111,C1076)</f>
        <v>0</v>
      </c>
    </row>
    <row r="1077" spans="1:4" x14ac:dyDescent="0.3">
      <c r="A1077">
        <v>11</v>
      </c>
      <c r="B1077" t="s">
        <v>69</v>
      </c>
      <c r="C1077">
        <v>86</v>
      </c>
      <c r="D1077">
        <f>COUNTIF(WeeklyPicks!$D$102:$F$111,C1077)</f>
        <v>0</v>
      </c>
    </row>
    <row r="1078" spans="1:4" x14ac:dyDescent="0.3">
      <c r="A1078">
        <v>11</v>
      </c>
      <c r="B1078" t="s">
        <v>69</v>
      </c>
      <c r="C1078">
        <v>87</v>
      </c>
      <c r="D1078">
        <f>COUNTIF(WeeklyPicks!$D$102:$F$111,C1078)</f>
        <v>0</v>
      </c>
    </row>
    <row r="1079" spans="1:4" x14ac:dyDescent="0.3">
      <c r="A1079">
        <v>11</v>
      </c>
      <c r="B1079" t="s">
        <v>69</v>
      </c>
      <c r="C1079">
        <v>88</v>
      </c>
      <c r="D1079">
        <f>COUNTIF(WeeklyPicks!$D$102:$F$111,C1079)</f>
        <v>0</v>
      </c>
    </row>
    <row r="1080" spans="1:4" x14ac:dyDescent="0.3">
      <c r="A1080">
        <v>11</v>
      </c>
      <c r="B1080" t="s">
        <v>69</v>
      </c>
      <c r="C1080">
        <v>89</v>
      </c>
      <c r="D1080">
        <f>COUNTIF(WeeklyPicks!$D$102:$F$111,C1080)</f>
        <v>0</v>
      </c>
    </row>
    <row r="1081" spans="1:4" x14ac:dyDescent="0.3">
      <c r="A1081">
        <v>11</v>
      </c>
      <c r="B1081" t="s">
        <v>69</v>
      </c>
      <c r="C1081">
        <v>90</v>
      </c>
      <c r="D1081">
        <f>COUNTIF(WeeklyPicks!$D$102:$F$111,C1081)</f>
        <v>0</v>
      </c>
    </row>
    <row r="1082" spans="1:4" x14ac:dyDescent="0.3">
      <c r="A1082">
        <v>11</v>
      </c>
      <c r="B1082" t="s">
        <v>69</v>
      </c>
      <c r="C1082">
        <v>91</v>
      </c>
      <c r="D1082">
        <f>COUNTIF(WeeklyPicks!$D$102:$F$111,C1082)</f>
        <v>0</v>
      </c>
    </row>
    <row r="1083" spans="1:4" x14ac:dyDescent="0.3">
      <c r="A1083">
        <v>11</v>
      </c>
      <c r="B1083" t="s">
        <v>69</v>
      </c>
      <c r="C1083">
        <v>92</v>
      </c>
      <c r="D1083">
        <f>COUNTIF(WeeklyPicks!$D$102:$F$111,C1083)</f>
        <v>0</v>
      </c>
    </row>
    <row r="1084" spans="1:4" x14ac:dyDescent="0.3">
      <c r="A1084">
        <v>11</v>
      </c>
      <c r="B1084" t="s">
        <v>69</v>
      </c>
      <c r="C1084">
        <v>93</v>
      </c>
      <c r="D1084">
        <f>COUNTIF(WeeklyPicks!$D$102:$F$111,C1084)</f>
        <v>0</v>
      </c>
    </row>
    <row r="1085" spans="1:4" x14ac:dyDescent="0.3">
      <c r="A1085">
        <v>11</v>
      </c>
      <c r="B1085" t="s">
        <v>69</v>
      </c>
      <c r="C1085">
        <v>94</v>
      </c>
      <c r="D1085">
        <f>COUNTIF(WeeklyPicks!$D$102:$F$111,C1085)</f>
        <v>0</v>
      </c>
    </row>
    <row r="1086" spans="1:4" x14ac:dyDescent="0.3">
      <c r="A1086">
        <v>11</v>
      </c>
      <c r="B1086" t="s">
        <v>69</v>
      </c>
      <c r="C1086">
        <v>95</v>
      </c>
      <c r="D1086">
        <f>COUNTIF(WeeklyPicks!$D$102:$F$111,C1086)</f>
        <v>0</v>
      </c>
    </row>
    <row r="1087" spans="1:4" x14ac:dyDescent="0.3">
      <c r="A1087">
        <v>11</v>
      </c>
      <c r="B1087" t="s">
        <v>69</v>
      </c>
      <c r="C1087">
        <v>96</v>
      </c>
      <c r="D1087">
        <f>COUNTIF(WeeklyPicks!$D$102:$F$111,C1087)</f>
        <v>0</v>
      </c>
    </row>
    <row r="1088" spans="1:4" x14ac:dyDescent="0.3">
      <c r="A1088">
        <v>11</v>
      </c>
      <c r="B1088" t="s">
        <v>69</v>
      </c>
      <c r="C1088">
        <v>97</v>
      </c>
      <c r="D1088">
        <f>COUNTIF(WeeklyPicks!$D$102:$F$111,C1088)</f>
        <v>0</v>
      </c>
    </row>
    <row r="1089" spans="1:4" x14ac:dyDescent="0.3">
      <c r="A1089">
        <v>11</v>
      </c>
      <c r="B1089" t="s">
        <v>69</v>
      </c>
      <c r="C1089">
        <v>98</v>
      </c>
      <c r="D1089">
        <f>COUNTIF(WeeklyPicks!$D$102:$F$111,C1089)</f>
        <v>0</v>
      </c>
    </row>
    <row r="1090" spans="1:4" x14ac:dyDescent="0.3">
      <c r="A1090">
        <v>11</v>
      </c>
      <c r="B1090" t="s">
        <v>69</v>
      </c>
      <c r="C1090">
        <v>99</v>
      </c>
      <c r="D1090">
        <f>COUNTIF(WeeklyPicks!$D$102:$F$111,C1090)</f>
        <v>0</v>
      </c>
    </row>
    <row r="1091" spans="1:4" x14ac:dyDescent="0.3">
      <c r="A1091">
        <v>12</v>
      </c>
      <c r="B1091" t="s">
        <v>71</v>
      </c>
      <c r="C1091">
        <v>1</v>
      </c>
      <c r="D1091">
        <f>COUNTIF(WeeklyPicks!$D$112:$F$121,C1091)</f>
        <v>2</v>
      </c>
    </row>
    <row r="1092" spans="1:4" x14ac:dyDescent="0.3">
      <c r="A1092">
        <v>12</v>
      </c>
      <c r="B1092" t="s">
        <v>71</v>
      </c>
      <c r="C1092">
        <v>2</v>
      </c>
      <c r="D1092">
        <f>COUNTIF(WeeklyPicks!$D$112:$F$121,C1092)</f>
        <v>2</v>
      </c>
    </row>
    <row r="1093" spans="1:4" x14ac:dyDescent="0.3">
      <c r="A1093">
        <v>12</v>
      </c>
      <c r="B1093" t="s">
        <v>71</v>
      </c>
      <c r="C1093">
        <v>3</v>
      </c>
      <c r="D1093">
        <f>COUNTIF(WeeklyPicks!$D$112:$F$121,C1093)</f>
        <v>0</v>
      </c>
    </row>
    <row r="1094" spans="1:4" x14ac:dyDescent="0.3">
      <c r="A1094">
        <v>12</v>
      </c>
      <c r="B1094" t="s">
        <v>71</v>
      </c>
      <c r="C1094">
        <v>4</v>
      </c>
      <c r="D1094">
        <f>COUNTIF(WeeklyPicks!$D$112:$F$121,C1094)</f>
        <v>0</v>
      </c>
    </row>
    <row r="1095" spans="1:4" x14ac:dyDescent="0.3">
      <c r="A1095">
        <v>12</v>
      </c>
      <c r="B1095" t="s">
        <v>71</v>
      </c>
      <c r="C1095">
        <v>5</v>
      </c>
      <c r="D1095">
        <f>COUNTIF(WeeklyPicks!$D$112:$F$121,C1095)</f>
        <v>2</v>
      </c>
    </row>
    <row r="1096" spans="1:4" x14ac:dyDescent="0.3">
      <c r="A1096">
        <v>12</v>
      </c>
      <c r="B1096" t="s">
        <v>71</v>
      </c>
      <c r="C1096">
        <v>6</v>
      </c>
      <c r="D1096">
        <f>COUNTIF(WeeklyPicks!$D$112:$F$121,C1096)</f>
        <v>0</v>
      </c>
    </row>
    <row r="1097" spans="1:4" x14ac:dyDescent="0.3">
      <c r="A1097">
        <v>12</v>
      </c>
      <c r="B1097" t="s">
        <v>71</v>
      </c>
      <c r="C1097">
        <v>7</v>
      </c>
      <c r="D1097">
        <f>COUNTIF(WeeklyPicks!$D$112:$F$121,C1097)</f>
        <v>0</v>
      </c>
    </row>
    <row r="1098" spans="1:4" x14ac:dyDescent="0.3">
      <c r="A1098">
        <v>12</v>
      </c>
      <c r="B1098" t="s">
        <v>71</v>
      </c>
      <c r="C1098">
        <v>8</v>
      </c>
      <c r="D1098">
        <f>COUNTIF(WeeklyPicks!$D$112:$F$121,C1098)</f>
        <v>0</v>
      </c>
    </row>
    <row r="1099" spans="1:4" x14ac:dyDescent="0.3">
      <c r="A1099">
        <v>12</v>
      </c>
      <c r="B1099" t="s">
        <v>71</v>
      </c>
      <c r="C1099">
        <v>9</v>
      </c>
      <c r="D1099">
        <f>COUNTIF(WeeklyPicks!$D$112:$F$121,C1099)</f>
        <v>2</v>
      </c>
    </row>
    <row r="1100" spans="1:4" x14ac:dyDescent="0.3">
      <c r="A1100">
        <v>12</v>
      </c>
      <c r="B1100" t="s">
        <v>71</v>
      </c>
      <c r="C1100">
        <v>10</v>
      </c>
      <c r="D1100">
        <f>COUNTIF(WeeklyPicks!$D$112:$F$121,C1100)</f>
        <v>0</v>
      </c>
    </row>
    <row r="1101" spans="1:4" x14ac:dyDescent="0.3">
      <c r="A1101">
        <v>12</v>
      </c>
      <c r="B1101" t="s">
        <v>71</v>
      </c>
      <c r="C1101">
        <v>11</v>
      </c>
      <c r="D1101">
        <f>COUNTIF(WeeklyPicks!$D$112:$F$121,C1101)</f>
        <v>0</v>
      </c>
    </row>
    <row r="1102" spans="1:4" x14ac:dyDescent="0.3">
      <c r="A1102">
        <v>12</v>
      </c>
      <c r="B1102" t="s">
        <v>71</v>
      </c>
      <c r="C1102">
        <v>12</v>
      </c>
      <c r="D1102">
        <f>COUNTIF(WeeklyPicks!$D$112:$F$121,C1102)</f>
        <v>3</v>
      </c>
    </row>
    <row r="1103" spans="1:4" x14ac:dyDescent="0.3">
      <c r="A1103">
        <v>12</v>
      </c>
      <c r="B1103" t="s">
        <v>71</v>
      </c>
      <c r="C1103">
        <v>13</v>
      </c>
      <c r="D1103">
        <f>COUNTIF(WeeklyPicks!$D$112:$F$121,C1103)</f>
        <v>0</v>
      </c>
    </row>
    <row r="1104" spans="1:4" x14ac:dyDescent="0.3">
      <c r="A1104">
        <v>12</v>
      </c>
      <c r="B1104" t="s">
        <v>71</v>
      </c>
      <c r="C1104">
        <v>14</v>
      </c>
      <c r="D1104">
        <f>COUNTIF(WeeklyPicks!$D$112:$F$121,C1104)</f>
        <v>0</v>
      </c>
    </row>
    <row r="1105" spans="1:4" x14ac:dyDescent="0.3">
      <c r="A1105">
        <v>12</v>
      </c>
      <c r="B1105" t="s">
        <v>71</v>
      </c>
      <c r="C1105">
        <v>15</v>
      </c>
      <c r="D1105">
        <f>COUNTIF(WeeklyPicks!$D$112:$F$121,C1105)</f>
        <v>0</v>
      </c>
    </row>
    <row r="1106" spans="1:4" x14ac:dyDescent="0.3">
      <c r="A1106">
        <v>12</v>
      </c>
      <c r="B1106" t="s">
        <v>71</v>
      </c>
      <c r="C1106">
        <v>16</v>
      </c>
      <c r="D1106">
        <f>COUNTIF(WeeklyPicks!$D$112:$F$121,C1106)</f>
        <v>0</v>
      </c>
    </row>
    <row r="1107" spans="1:4" x14ac:dyDescent="0.3">
      <c r="A1107">
        <v>12</v>
      </c>
      <c r="B1107" t="s">
        <v>71</v>
      </c>
      <c r="C1107">
        <v>17</v>
      </c>
      <c r="D1107">
        <f>COUNTIF(WeeklyPicks!$D$112:$F$121,C1107)</f>
        <v>1</v>
      </c>
    </row>
    <row r="1108" spans="1:4" x14ac:dyDescent="0.3">
      <c r="A1108">
        <v>12</v>
      </c>
      <c r="B1108" t="s">
        <v>71</v>
      </c>
      <c r="C1108">
        <v>18</v>
      </c>
      <c r="D1108">
        <f>COUNTIF(WeeklyPicks!$D$112:$F$121,C1108)</f>
        <v>0</v>
      </c>
    </row>
    <row r="1109" spans="1:4" x14ac:dyDescent="0.3">
      <c r="A1109">
        <v>12</v>
      </c>
      <c r="B1109" t="s">
        <v>71</v>
      </c>
      <c r="C1109">
        <v>19</v>
      </c>
      <c r="D1109">
        <f>COUNTIF(WeeklyPicks!$D$112:$F$121,C1109)</f>
        <v>0</v>
      </c>
    </row>
    <row r="1110" spans="1:4" x14ac:dyDescent="0.3">
      <c r="A1110">
        <v>12</v>
      </c>
      <c r="B1110" t="s">
        <v>71</v>
      </c>
      <c r="C1110">
        <v>20</v>
      </c>
      <c r="D1110">
        <f>COUNTIF(WeeklyPicks!$D$112:$F$121,C1110)</f>
        <v>5</v>
      </c>
    </row>
    <row r="1111" spans="1:4" x14ac:dyDescent="0.3">
      <c r="A1111">
        <v>12</v>
      </c>
      <c r="B1111" t="s">
        <v>71</v>
      </c>
      <c r="C1111">
        <v>21</v>
      </c>
      <c r="D1111">
        <f>COUNTIF(WeeklyPicks!$D$112:$F$121,C1111)</f>
        <v>0</v>
      </c>
    </row>
    <row r="1112" spans="1:4" x14ac:dyDescent="0.3">
      <c r="A1112">
        <v>12</v>
      </c>
      <c r="B1112" t="s">
        <v>71</v>
      </c>
      <c r="C1112">
        <v>22</v>
      </c>
      <c r="D1112">
        <f>COUNTIF(WeeklyPicks!$D$112:$F$121,C1112)</f>
        <v>2</v>
      </c>
    </row>
    <row r="1113" spans="1:4" x14ac:dyDescent="0.3">
      <c r="A1113">
        <v>12</v>
      </c>
      <c r="B1113" t="s">
        <v>71</v>
      </c>
      <c r="C1113">
        <v>23</v>
      </c>
      <c r="D1113">
        <f>COUNTIF(WeeklyPicks!$D$112:$F$121,C1113)</f>
        <v>0</v>
      </c>
    </row>
    <row r="1114" spans="1:4" x14ac:dyDescent="0.3">
      <c r="A1114">
        <v>12</v>
      </c>
      <c r="B1114" t="s">
        <v>71</v>
      </c>
      <c r="C1114">
        <v>24</v>
      </c>
      <c r="D1114">
        <f>COUNTIF(WeeklyPicks!$D$112:$F$121,C1114)</f>
        <v>1</v>
      </c>
    </row>
    <row r="1115" spans="1:4" x14ac:dyDescent="0.3">
      <c r="A1115">
        <v>12</v>
      </c>
      <c r="B1115" t="s">
        <v>71</v>
      </c>
      <c r="C1115">
        <v>25</v>
      </c>
      <c r="D1115">
        <f>COUNTIF(WeeklyPicks!$D$112:$F$121,C1115)</f>
        <v>0</v>
      </c>
    </row>
    <row r="1116" spans="1:4" x14ac:dyDescent="0.3">
      <c r="A1116">
        <v>12</v>
      </c>
      <c r="B1116" t="s">
        <v>71</v>
      </c>
      <c r="C1116">
        <v>26</v>
      </c>
      <c r="D1116">
        <f>COUNTIF(WeeklyPicks!$D$112:$F$121,C1116)</f>
        <v>0</v>
      </c>
    </row>
    <row r="1117" spans="1:4" x14ac:dyDescent="0.3">
      <c r="A1117">
        <v>12</v>
      </c>
      <c r="B1117" t="s">
        <v>71</v>
      </c>
      <c r="C1117">
        <v>27</v>
      </c>
      <c r="D1117">
        <f>COUNTIF(WeeklyPicks!$D$112:$F$121,C1117)</f>
        <v>0</v>
      </c>
    </row>
    <row r="1118" spans="1:4" x14ac:dyDescent="0.3">
      <c r="A1118">
        <v>12</v>
      </c>
      <c r="B1118" t="s">
        <v>71</v>
      </c>
      <c r="C1118">
        <v>28</v>
      </c>
      <c r="D1118">
        <f>COUNTIF(WeeklyPicks!$D$112:$F$121,C1118)</f>
        <v>0</v>
      </c>
    </row>
    <row r="1119" spans="1:4" x14ac:dyDescent="0.3">
      <c r="A1119">
        <v>12</v>
      </c>
      <c r="B1119" t="s">
        <v>71</v>
      </c>
      <c r="C1119">
        <v>29</v>
      </c>
      <c r="D1119">
        <f>COUNTIF(WeeklyPicks!$D$112:$F$121,C1119)</f>
        <v>0</v>
      </c>
    </row>
    <row r="1120" spans="1:4" x14ac:dyDescent="0.3">
      <c r="A1120">
        <v>12</v>
      </c>
      <c r="B1120" t="s">
        <v>71</v>
      </c>
      <c r="C1120">
        <v>30</v>
      </c>
      <c r="D1120">
        <f>COUNTIF(WeeklyPicks!$D$112:$F$121,C1120)</f>
        <v>0</v>
      </c>
    </row>
    <row r="1121" spans="1:4" x14ac:dyDescent="0.3">
      <c r="A1121">
        <v>12</v>
      </c>
      <c r="B1121" t="s">
        <v>71</v>
      </c>
      <c r="C1121">
        <v>31</v>
      </c>
      <c r="D1121">
        <f>COUNTIF(WeeklyPicks!$D$112:$F$121,C1121)</f>
        <v>0</v>
      </c>
    </row>
    <row r="1122" spans="1:4" x14ac:dyDescent="0.3">
      <c r="A1122">
        <v>12</v>
      </c>
      <c r="B1122" t="s">
        <v>71</v>
      </c>
      <c r="C1122">
        <v>32</v>
      </c>
      <c r="D1122">
        <f>COUNTIF(WeeklyPicks!$D$112:$F$121,C1122)</f>
        <v>0</v>
      </c>
    </row>
    <row r="1123" spans="1:4" x14ac:dyDescent="0.3">
      <c r="A1123">
        <v>12</v>
      </c>
      <c r="B1123" t="s">
        <v>71</v>
      </c>
      <c r="C1123">
        <v>33</v>
      </c>
      <c r="D1123">
        <f>COUNTIF(WeeklyPicks!$D$112:$F$121,C1123)</f>
        <v>0</v>
      </c>
    </row>
    <row r="1124" spans="1:4" x14ac:dyDescent="0.3">
      <c r="A1124">
        <v>12</v>
      </c>
      <c r="B1124" t="s">
        <v>71</v>
      </c>
      <c r="C1124">
        <v>34</v>
      </c>
      <c r="D1124">
        <f>COUNTIF(WeeklyPicks!$D$112:$F$121,C1124)</f>
        <v>0</v>
      </c>
    </row>
    <row r="1125" spans="1:4" x14ac:dyDescent="0.3">
      <c r="A1125">
        <v>12</v>
      </c>
      <c r="B1125" t="s">
        <v>71</v>
      </c>
      <c r="C1125">
        <v>35</v>
      </c>
      <c r="D1125">
        <f>COUNTIF(WeeklyPicks!$D$112:$F$121,C1125)</f>
        <v>0</v>
      </c>
    </row>
    <row r="1126" spans="1:4" x14ac:dyDescent="0.3">
      <c r="A1126">
        <v>12</v>
      </c>
      <c r="B1126" t="s">
        <v>71</v>
      </c>
      <c r="C1126">
        <v>36</v>
      </c>
      <c r="D1126">
        <f>COUNTIF(WeeklyPicks!$D$112:$F$121,C1126)</f>
        <v>0</v>
      </c>
    </row>
    <row r="1127" spans="1:4" x14ac:dyDescent="0.3">
      <c r="A1127">
        <v>12</v>
      </c>
      <c r="B1127" t="s">
        <v>71</v>
      </c>
      <c r="C1127">
        <v>37</v>
      </c>
      <c r="D1127">
        <f>COUNTIF(WeeklyPicks!$D$112:$F$121,C1127)</f>
        <v>0</v>
      </c>
    </row>
    <row r="1128" spans="1:4" x14ac:dyDescent="0.3">
      <c r="A1128">
        <v>12</v>
      </c>
      <c r="B1128" t="s">
        <v>71</v>
      </c>
      <c r="C1128">
        <v>38</v>
      </c>
      <c r="D1128">
        <f>COUNTIF(WeeklyPicks!$D$112:$F$121,C1128)</f>
        <v>0</v>
      </c>
    </row>
    <row r="1129" spans="1:4" x14ac:dyDescent="0.3">
      <c r="A1129">
        <v>12</v>
      </c>
      <c r="B1129" t="s">
        <v>71</v>
      </c>
      <c r="C1129">
        <v>39</v>
      </c>
      <c r="D1129">
        <f>COUNTIF(WeeklyPicks!$D$112:$F$121,C1129)</f>
        <v>0</v>
      </c>
    </row>
    <row r="1130" spans="1:4" x14ac:dyDescent="0.3">
      <c r="A1130">
        <v>12</v>
      </c>
      <c r="B1130" t="s">
        <v>71</v>
      </c>
      <c r="C1130">
        <v>40</v>
      </c>
      <c r="D1130">
        <f>COUNTIF(WeeklyPicks!$D$112:$F$121,C1130)</f>
        <v>0</v>
      </c>
    </row>
    <row r="1131" spans="1:4" x14ac:dyDescent="0.3">
      <c r="A1131">
        <v>12</v>
      </c>
      <c r="B1131" t="s">
        <v>71</v>
      </c>
      <c r="C1131">
        <v>41</v>
      </c>
      <c r="D1131">
        <f>COUNTIF(WeeklyPicks!$D$112:$F$121,C1131)</f>
        <v>0</v>
      </c>
    </row>
    <row r="1132" spans="1:4" x14ac:dyDescent="0.3">
      <c r="A1132">
        <v>12</v>
      </c>
      <c r="B1132" t="s">
        <v>71</v>
      </c>
      <c r="C1132">
        <v>42</v>
      </c>
      <c r="D1132">
        <f>COUNTIF(WeeklyPicks!$D$112:$F$121,C1132)</f>
        <v>0</v>
      </c>
    </row>
    <row r="1133" spans="1:4" x14ac:dyDescent="0.3">
      <c r="A1133">
        <v>12</v>
      </c>
      <c r="B1133" t="s">
        <v>71</v>
      </c>
      <c r="C1133">
        <v>43</v>
      </c>
      <c r="D1133">
        <f>COUNTIF(WeeklyPicks!$D$112:$F$121,C1133)</f>
        <v>0</v>
      </c>
    </row>
    <row r="1134" spans="1:4" x14ac:dyDescent="0.3">
      <c r="A1134">
        <v>12</v>
      </c>
      <c r="B1134" t="s">
        <v>71</v>
      </c>
      <c r="C1134">
        <v>44</v>
      </c>
      <c r="D1134">
        <f>COUNTIF(WeeklyPicks!$D$112:$F$121,C1134)</f>
        <v>0</v>
      </c>
    </row>
    <row r="1135" spans="1:4" x14ac:dyDescent="0.3">
      <c r="A1135">
        <v>12</v>
      </c>
      <c r="B1135" t="s">
        <v>71</v>
      </c>
      <c r="C1135">
        <v>45</v>
      </c>
      <c r="D1135">
        <f>COUNTIF(WeeklyPicks!$D$112:$F$121,C1135)</f>
        <v>1</v>
      </c>
    </row>
    <row r="1136" spans="1:4" x14ac:dyDescent="0.3">
      <c r="A1136">
        <v>12</v>
      </c>
      <c r="B1136" t="s">
        <v>71</v>
      </c>
      <c r="C1136">
        <v>46</v>
      </c>
      <c r="D1136">
        <f>COUNTIF(WeeklyPicks!$D$112:$F$121,C1136)</f>
        <v>0</v>
      </c>
    </row>
    <row r="1137" spans="1:4" x14ac:dyDescent="0.3">
      <c r="A1137">
        <v>12</v>
      </c>
      <c r="B1137" t="s">
        <v>71</v>
      </c>
      <c r="C1137">
        <v>47</v>
      </c>
      <c r="D1137">
        <f>COUNTIF(WeeklyPicks!$D$112:$F$121,C1137)</f>
        <v>0</v>
      </c>
    </row>
    <row r="1138" spans="1:4" x14ac:dyDescent="0.3">
      <c r="A1138">
        <v>12</v>
      </c>
      <c r="B1138" t="s">
        <v>71</v>
      </c>
      <c r="C1138">
        <v>48</v>
      </c>
      <c r="D1138">
        <f>COUNTIF(WeeklyPicks!$D$112:$F$121,C1138)</f>
        <v>0</v>
      </c>
    </row>
    <row r="1139" spans="1:4" x14ac:dyDescent="0.3">
      <c r="A1139">
        <v>12</v>
      </c>
      <c r="B1139" t="s">
        <v>71</v>
      </c>
      <c r="C1139">
        <v>49</v>
      </c>
      <c r="D1139">
        <f>COUNTIF(WeeklyPicks!$D$112:$F$121,C1139)</f>
        <v>0</v>
      </c>
    </row>
    <row r="1140" spans="1:4" x14ac:dyDescent="0.3">
      <c r="A1140">
        <v>12</v>
      </c>
      <c r="B1140" t="s">
        <v>71</v>
      </c>
      <c r="C1140">
        <v>50</v>
      </c>
      <c r="D1140">
        <f>COUNTIF(WeeklyPicks!$D$112:$F$121,C1140)</f>
        <v>0</v>
      </c>
    </row>
    <row r="1141" spans="1:4" x14ac:dyDescent="0.3">
      <c r="A1141">
        <v>12</v>
      </c>
      <c r="B1141" t="s">
        <v>71</v>
      </c>
      <c r="C1141">
        <v>51</v>
      </c>
      <c r="D1141">
        <f>COUNTIF(WeeklyPicks!$D$112:$F$121,C1141)</f>
        <v>0</v>
      </c>
    </row>
    <row r="1142" spans="1:4" x14ac:dyDescent="0.3">
      <c r="A1142">
        <v>12</v>
      </c>
      <c r="B1142" t="s">
        <v>71</v>
      </c>
      <c r="C1142">
        <v>52</v>
      </c>
      <c r="D1142">
        <f>COUNTIF(WeeklyPicks!$D$112:$F$121,C1142)</f>
        <v>0</v>
      </c>
    </row>
    <row r="1143" spans="1:4" x14ac:dyDescent="0.3">
      <c r="A1143">
        <v>12</v>
      </c>
      <c r="B1143" t="s">
        <v>71</v>
      </c>
      <c r="C1143">
        <v>53</v>
      </c>
      <c r="D1143">
        <f>COUNTIF(WeeklyPicks!$D$112:$F$121,C1143)</f>
        <v>0</v>
      </c>
    </row>
    <row r="1144" spans="1:4" x14ac:dyDescent="0.3">
      <c r="A1144">
        <v>12</v>
      </c>
      <c r="B1144" t="s">
        <v>71</v>
      </c>
      <c r="C1144">
        <v>54</v>
      </c>
      <c r="D1144">
        <f>COUNTIF(WeeklyPicks!$D$112:$F$121,C1144)</f>
        <v>0</v>
      </c>
    </row>
    <row r="1145" spans="1:4" x14ac:dyDescent="0.3">
      <c r="A1145">
        <v>12</v>
      </c>
      <c r="B1145" t="s">
        <v>71</v>
      </c>
      <c r="C1145">
        <v>55</v>
      </c>
      <c r="D1145">
        <f>COUNTIF(WeeklyPicks!$D$112:$F$121,C1145)</f>
        <v>0</v>
      </c>
    </row>
    <row r="1146" spans="1:4" x14ac:dyDescent="0.3">
      <c r="A1146">
        <v>12</v>
      </c>
      <c r="B1146" t="s">
        <v>71</v>
      </c>
      <c r="C1146">
        <v>56</v>
      </c>
      <c r="D1146">
        <f>COUNTIF(WeeklyPicks!$D$112:$F$121,C1146)</f>
        <v>0</v>
      </c>
    </row>
    <row r="1147" spans="1:4" x14ac:dyDescent="0.3">
      <c r="A1147">
        <v>12</v>
      </c>
      <c r="B1147" t="s">
        <v>71</v>
      </c>
      <c r="C1147">
        <v>57</v>
      </c>
      <c r="D1147">
        <f>COUNTIF(WeeklyPicks!$D$112:$F$121,C1147)</f>
        <v>0</v>
      </c>
    </row>
    <row r="1148" spans="1:4" x14ac:dyDescent="0.3">
      <c r="A1148">
        <v>12</v>
      </c>
      <c r="B1148" t="s">
        <v>71</v>
      </c>
      <c r="C1148">
        <v>58</v>
      </c>
      <c r="D1148">
        <f>COUNTIF(WeeklyPicks!$D$112:$F$121,C1148)</f>
        <v>0</v>
      </c>
    </row>
    <row r="1149" spans="1:4" x14ac:dyDescent="0.3">
      <c r="A1149">
        <v>12</v>
      </c>
      <c r="B1149" t="s">
        <v>71</v>
      </c>
      <c r="C1149">
        <v>59</v>
      </c>
      <c r="D1149">
        <f>COUNTIF(WeeklyPicks!$D$112:$F$121,C1149)</f>
        <v>0</v>
      </c>
    </row>
    <row r="1150" spans="1:4" x14ac:dyDescent="0.3">
      <c r="A1150">
        <v>12</v>
      </c>
      <c r="B1150" t="s">
        <v>71</v>
      </c>
      <c r="C1150">
        <v>60</v>
      </c>
      <c r="D1150">
        <f>COUNTIF(WeeklyPicks!$D$112:$F$121,C1150)</f>
        <v>0</v>
      </c>
    </row>
    <row r="1151" spans="1:4" x14ac:dyDescent="0.3">
      <c r="A1151">
        <v>12</v>
      </c>
      <c r="B1151" t="s">
        <v>71</v>
      </c>
      <c r="C1151">
        <v>61</v>
      </c>
      <c r="D1151">
        <f>COUNTIF(WeeklyPicks!$D$112:$F$121,C1151)</f>
        <v>0</v>
      </c>
    </row>
    <row r="1152" spans="1:4" x14ac:dyDescent="0.3">
      <c r="A1152">
        <v>12</v>
      </c>
      <c r="B1152" t="s">
        <v>71</v>
      </c>
      <c r="C1152">
        <v>62</v>
      </c>
      <c r="D1152">
        <f>COUNTIF(WeeklyPicks!$D$112:$F$121,C1152)</f>
        <v>0</v>
      </c>
    </row>
    <row r="1153" spans="1:4" x14ac:dyDescent="0.3">
      <c r="A1153">
        <v>12</v>
      </c>
      <c r="B1153" t="s">
        <v>71</v>
      </c>
      <c r="C1153">
        <v>63</v>
      </c>
      <c r="D1153">
        <f>COUNTIF(WeeklyPicks!$D$112:$F$121,C1153)</f>
        <v>0</v>
      </c>
    </row>
    <row r="1154" spans="1:4" x14ac:dyDescent="0.3">
      <c r="A1154">
        <v>12</v>
      </c>
      <c r="B1154" t="s">
        <v>71</v>
      </c>
      <c r="C1154">
        <v>64</v>
      </c>
      <c r="D1154">
        <f>COUNTIF(WeeklyPicks!$D$112:$F$121,C1154)</f>
        <v>0</v>
      </c>
    </row>
    <row r="1155" spans="1:4" x14ac:dyDescent="0.3">
      <c r="A1155">
        <v>12</v>
      </c>
      <c r="B1155" t="s">
        <v>71</v>
      </c>
      <c r="C1155">
        <v>65</v>
      </c>
      <c r="D1155">
        <f>COUNTIF(WeeklyPicks!$D$112:$F$121,C1155)</f>
        <v>0</v>
      </c>
    </row>
    <row r="1156" spans="1:4" x14ac:dyDescent="0.3">
      <c r="A1156">
        <v>12</v>
      </c>
      <c r="B1156" t="s">
        <v>71</v>
      </c>
      <c r="C1156">
        <v>66</v>
      </c>
      <c r="D1156">
        <f>COUNTIF(WeeklyPicks!$D$112:$F$121,C1156)</f>
        <v>0</v>
      </c>
    </row>
    <row r="1157" spans="1:4" x14ac:dyDescent="0.3">
      <c r="A1157">
        <v>12</v>
      </c>
      <c r="B1157" t="s">
        <v>71</v>
      </c>
      <c r="C1157">
        <v>67</v>
      </c>
      <c r="D1157">
        <f>COUNTIF(WeeklyPicks!$D$112:$F$121,C1157)</f>
        <v>0</v>
      </c>
    </row>
    <row r="1158" spans="1:4" x14ac:dyDescent="0.3">
      <c r="A1158">
        <v>12</v>
      </c>
      <c r="B1158" t="s">
        <v>71</v>
      </c>
      <c r="C1158">
        <v>68</v>
      </c>
      <c r="D1158">
        <f>COUNTIF(WeeklyPicks!$D$112:$F$121,C1158)</f>
        <v>0</v>
      </c>
    </row>
    <row r="1159" spans="1:4" x14ac:dyDescent="0.3">
      <c r="A1159">
        <v>12</v>
      </c>
      <c r="B1159" t="s">
        <v>71</v>
      </c>
      <c r="C1159">
        <v>69</v>
      </c>
      <c r="D1159">
        <f>COUNTIF(WeeklyPicks!$D$112:$F$121,C1159)</f>
        <v>0</v>
      </c>
    </row>
    <row r="1160" spans="1:4" x14ac:dyDescent="0.3">
      <c r="A1160">
        <v>12</v>
      </c>
      <c r="B1160" t="s">
        <v>71</v>
      </c>
      <c r="C1160">
        <v>70</v>
      </c>
      <c r="D1160">
        <f>COUNTIF(WeeklyPicks!$D$112:$F$121,C1160)</f>
        <v>0</v>
      </c>
    </row>
    <row r="1161" spans="1:4" x14ac:dyDescent="0.3">
      <c r="A1161">
        <v>12</v>
      </c>
      <c r="B1161" t="s">
        <v>71</v>
      </c>
      <c r="C1161">
        <v>71</v>
      </c>
      <c r="D1161">
        <f>COUNTIF(WeeklyPicks!$D$112:$F$121,C1161)</f>
        <v>0</v>
      </c>
    </row>
    <row r="1162" spans="1:4" x14ac:dyDescent="0.3">
      <c r="A1162">
        <v>12</v>
      </c>
      <c r="B1162" t="s">
        <v>71</v>
      </c>
      <c r="C1162">
        <v>72</v>
      </c>
      <c r="D1162">
        <f>COUNTIF(WeeklyPicks!$D$112:$F$121,C1162)</f>
        <v>0</v>
      </c>
    </row>
    <row r="1163" spans="1:4" x14ac:dyDescent="0.3">
      <c r="A1163">
        <v>12</v>
      </c>
      <c r="B1163" t="s">
        <v>71</v>
      </c>
      <c r="C1163">
        <v>73</v>
      </c>
      <c r="D1163">
        <f>COUNTIF(WeeklyPicks!$D$112:$F$121,C1163)</f>
        <v>0</v>
      </c>
    </row>
    <row r="1164" spans="1:4" x14ac:dyDescent="0.3">
      <c r="A1164">
        <v>12</v>
      </c>
      <c r="B1164" t="s">
        <v>71</v>
      </c>
      <c r="C1164">
        <v>74</v>
      </c>
      <c r="D1164">
        <f>COUNTIF(WeeklyPicks!$D$112:$F$121,C1164)</f>
        <v>0</v>
      </c>
    </row>
    <row r="1165" spans="1:4" x14ac:dyDescent="0.3">
      <c r="A1165">
        <v>12</v>
      </c>
      <c r="B1165" t="s">
        <v>71</v>
      </c>
      <c r="C1165">
        <v>75</v>
      </c>
      <c r="D1165">
        <f>COUNTIF(WeeklyPicks!$D$112:$F$121,C1165)</f>
        <v>0</v>
      </c>
    </row>
    <row r="1166" spans="1:4" x14ac:dyDescent="0.3">
      <c r="A1166">
        <v>12</v>
      </c>
      <c r="B1166" t="s">
        <v>71</v>
      </c>
      <c r="C1166">
        <v>76</v>
      </c>
      <c r="D1166">
        <f>COUNTIF(WeeklyPicks!$D$112:$F$121,C1166)</f>
        <v>0</v>
      </c>
    </row>
    <row r="1167" spans="1:4" x14ac:dyDescent="0.3">
      <c r="A1167">
        <v>12</v>
      </c>
      <c r="B1167" t="s">
        <v>71</v>
      </c>
      <c r="C1167">
        <v>77</v>
      </c>
      <c r="D1167">
        <f>COUNTIF(WeeklyPicks!$D$112:$F$121,C1167)</f>
        <v>0</v>
      </c>
    </row>
    <row r="1168" spans="1:4" x14ac:dyDescent="0.3">
      <c r="A1168">
        <v>12</v>
      </c>
      <c r="B1168" t="s">
        <v>71</v>
      </c>
      <c r="C1168">
        <v>78</v>
      </c>
      <c r="D1168">
        <f>COUNTIF(WeeklyPicks!$D$112:$F$121,C1168)</f>
        <v>0</v>
      </c>
    </row>
    <row r="1169" spans="1:4" x14ac:dyDescent="0.3">
      <c r="A1169">
        <v>12</v>
      </c>
      <c r="B1169" t="s">
        <v>71</v>
      </c>
      <c r="C1169">
        <v>79</v>
      </c>
      <c r="D1169">
        <f>COUNTIF(WeeklyPicks!$D$112:$F$121,C1169)</f>
        <v>0</v>
      </c>
    </row>
    <row r="1170" spans="1:4" x14ac:dyDescent="0.3">
      <c r="A1170">
        <v>12</v>
      </c>
      <c r="B1170" t="s">
        <v>71</v>
      </c>
      <c r="C1170">
        <v>80</v>
      </c>
      <c r="D1170">
        <f>COUNTIF(WeeklyPicks!$D$112:$F$121,C1170)</f>
        <v>0</v>
      </c>
    </row>
    <row r="1171" spans="1:4" x14ac:dyDescent="0.3">
      <c r="A1171">
        <v>12</v>
      </c>
      <c r="B1171" t="s">
        <v>71</v>
      </c>
      <c r="C1171">
        <v>81</v>
      </c>
      <c r="D1171">
        <f>COUNTIF(WeeklyPicks!$D$112:$F$121,C1171)</f>
        <v>0</v>
      </c>
    </row>
    <row r="1172" spans="1:4" x14ac:dyDescent="0.3">
      <c r="A1172">
        <v>12</v>
      </c>
      <c r="B1172" t="s">
        <v>71</v>
      </c>
      <c r="C1172">
        <v>82</v>
      </c>
      <c r="D1172">
        <f>COUNTIF(WeeklyPicks!$D$112:$F$121,C1172)</f>
        <v>0</v>
      </c>
    </row>
    <row r="1173" spans="1:4" x14ac:dyDescent="0.3">
      <c r="A1173">
        <v>12</v>
      </c>
      <c r="B1173" t="s">
        <v>71</v>
      </c>
      <c r="C1173">
        <v>83</v>
      </c>
      <c r="D1173">
        <f>COUNTIF(WeeklyPicks!$D$112:$F$121,C1173)</f>
        <v>0</v>
      </c>
    </row>
    <row r="1174" spans="1:4" x14ac:dyDescent="0.3">
      <c r="A1174">
        <v>12</v>
      </c>
      <c r="B1174" t="s">
        <v>71</v>
      </c>
      <c r="C1174">
        <v>84</v>
      </c>
      <c r="D1174">
        <f>COUNTIF(WeeklyPicks!$D$112:$F$121,C1174)</f>
        <v>0</v>
      </c>
    </row>
    <row r="1175" spans="1:4" x14ac:dyDescent="0.3">
      <c r="A1175">
        <v>12</v>
      </c>
      <c r="B1175" t="s">
        <v>71</v>
      </c>
      <c r="C1175">
        <v>85</v>
      </c>
      <c r="D1175">
        <f>COUNTIF(WeeklyPicks!$D$112:$F$121,C1175)</f>
        <v>0</v>
      </c>
    </row>
    <row r="1176" spans="1:4" x14ac:dyDescent="0.3">
      <c r="A1176">
        <v>12</v>
      </c>
      <c r="B1176" t="s">
        <v>71</v>
      </c>
      <c r="C1176">
        <v>86</v>
      </c>
      <c r="D1176">
        <f>COUNTIF(WeeklyPicks!$D$112:$F$121,C1176)</f>
        <v>0</v>
      </c>
    </row>
    <row r="1177" spans="1:4" x14ac:dyDescent="0.3">
      <c r="A1177">
        <v>12</v>
      </c>
      <c r="B1177" t="s">
        <v>71</v>
      </c>
      <c r="C1177">
        <v>87</v>
      </c>
      <c r="D1177">
        <f>COUNTIF(WeeklyPicks!$D$112:$F$121,C1177)</f>
        <v>0</v>
      </c>
    </row>
    <row r="1178" spans="1:4" x14ac:dyDescent="0.3">
      <c r="A1178">
        <v>12</v>
      </c>
      <c r="B1178" t="s">
        <v>71</v>
      </c>
      <c r="C1178">
        <v>88</v>
      </c>
      <c r="D1178">
        <f>COUNTIF(WeeklyPicks!$D$112:$F$121,C1178)</f>
        <v>0</v>
      </c>
    </row>
    <row r="1179" spans="1:4" x14ac:dyDescent="0.3">
      <c r="A1179">
        <v>12</v>
      </c>
      <c r="B1179" t="s">
        <v>71</v>
      </c>
      <c r="C1179">
        <v>89</v>
      </c>
      <c r="D1179">
        <f>COUNTIF(WeeklyPicks!$D$112:$F$121,C1179)</f>
        <v>0</v>
      </c>
    </row>
    <row r="1180" spans="1:4" x14ac:dyDescent="0.3">
      <c r="A1180">
        <v>12</v>
      </c>
      <c r="B1180" t="s">
        <v>71</v>
      </c>
      <c r="C1180">
        <v>90</v>
      </c>
      <c r="D1180">
        <f>COUNTIF(WeeklyPicks!$D$112:$F$121,C1180)</f>
        <v>0</v>
      </c>
    </row>
    <row r="1181" spans="1:4" x14ac:dyDescent="0.3">
      <c r="A1181">
        <v>12</v>
      </c>
      <c r="B1181" t="s">
        <v>71</v>
      </c>
      <c r="C1181">
        <v>91</v>
      </c>
      <c r="D1181">
        <f>COUNTIF(WeeklyPicks!$D$112:$F$121,C1181)</f>
        <v>0</v>
      </c>
    </row>
    <row r="1182" spans="1:4" x14ac:dyDescent="0.3">
      <c r="A1182">
        <v>12</v>
      </c>
      <c r="B1182" t="s">
        <v>71</v>
      </c>
      <c r="C1182">
        <v>92</v>
      </c>
      <c r="D1182">
        <f>COUNTIF(WeeklyPicks!$D$112:$F$121,C1182)</f>
        <v>0</v>
      </c>
    </row>
    <row r="1183" spans="1:4" x14ac:dyDescent="0.3">
      <c r="A1183">
        <v>12</v>
      </c>
      <c r="B1183" t="s">
        <v>71</v>
      </c>
      <c r="C1183">
        <v>93</v>
      </c>
      <c r="D1183">
        <f>COUNTIF(WeeklyPicks!$D$112:$F$121,C1183)</f>
        <v>0</v>
      </c>
    </row>
    <row r="1184" spans="1:4" x14ac:dyDescent="0.3">
      <c r="A1184">
        <v>12</v>
      </c>
      <c r="B1184" t="s">
        <v>71</v>
      </c>
      <c r="C1184">
        <v>94</v>
      </c>
      <c r="D1184">
        <f>COUNTIF(WeeklyPicks!$D$112:$F$121,C1184)</f>
        <v>0</v>
      </c>
    </row>
    <row r="1185" spans="1:4" x14ac:dyDescent="0.3">
      <c r="A1185">
        <v>12</v>
      </c>
      <c r="B1185" t="s">
        <v>71</v>
      </c>
      <c r="C1185">
        <v>95</v>
      </c>
      <c r="D1185">
        <f>COUNTIF(WeeklyPicks!$D$112:$F$121,C1185)</f>
        <v>0</v>
      </c>
    </row>
    <row r="1186" spans="1:4" x14ac:dyDescent="0.3">
      <c r="A1186">
        <v>12</v>
      </c>
      <c r="B1186" t="s">
        <v>71</v>
      </c>
      <c r="C1186">
        <v>96</v>
      </c>
      <c r="D1186">
        <f>COUNTIF(WeeklyPicks!$D$112:$F$121,C1186)</f>
        <v>0</v>
      </c>
    </row>
    <row r="1187" spans="1:4" x14ac:dyDescent="0.3">
      <c r="A1187">
        <v>12</v>
      </c>
      <c r="B1187" t="s">
        <v>71</v>
      </c>
      <c r="C1187">
        <v>97</v>
      </c>
      <c r="D1187">
        <f>COUNTIF(WeeklyPicks!$D$112:$F$121,C1187)</f>
        <v>6</v>
      </c>
    </row>
    <row r="1188" spans="1:4" x14ac:dyDescent="0.3">
      <c r="A1188">
        <v>12</v>
      </c>
      <c r="B1188" t="s">
        <v>71</v>
      </c>
      <c r="C1188">
        <v>98</v>
      </c>
      <c r="D1188">
        <f>COUNTIF(WeeklyPicks!$D$112:$F$121,C1188)</f>
        <v>0</v>
      </c>
    </row>
    <row r="1189" spans="1:4" x14ac:dyDescent="0.3">
      <c r="A1189">
        <v>12</v>
      </c>
      <c r="B1189" t="s">
        <v>71</v>
      </c>
      <c r="C1189">
        <v>99</v>
      </c>
      <c r="D1189">
        <f>COUNTIF(WeeklyPicks!$D$112:$F$121,C1189)</f>
        <v>0</v>
      </c>
    </row>
    <row r="1190" spans="1:4" x14ac:dyDescent="0.3">
      <c r="A1190">
        <v>13</v>
      </c>
      <c r="B1190" t="s">
        <v>73</v>
      </c>
      <c r="C1190">
        <v>1</v>
      </c>
      <c r="D1190">
        <f>COUNTIF(WeeklyPicks!$D$122:$F$131,C1190)</f>
        <v>2</v>
      </c>
    </row>
    <row r="1191" spans="1:4" x14ac:dyDescent="0.3">
      <c r="A1191">
        <v>13</v>
      </c>
      <c r="B1191" t="s">
        <v>73</v>
      </c>
      <c r="C1191">
        <v>2</v>
      </c>
      <c r="D1191">
        <f>COUNTIF(WeeklyPicks!$D$122:$F$131,C1191)</f>
        <v>1</v>
      </c>
    </row>
    <row r="1192" spans="1:4" x14ac:dyDescent="0.3">
      <c r="A1192">
        <v>13</v>
      </c>
      <c r="B1192" t="s">
        <v>73</v>
      </c>
      <c r="C1192">
        <v>3</v>
      </c>
      <c r="D1192">
        <f>COUNTIF(WeeklyPicks!$D$122:$F$131,C1192)</f>
        <v>0</v>
      </c>
    </row>
    <row r="1193" spans="1:4" x14ac:dyDescent="0.3">
      <c r="A1193">
        <v>13</v>
      </c>
      <c r="B1193" t="s">
        <v>73</v>
      </c>
      <c r="C1193">
        <v>4</v>
      </c>
      <c r="D1193">
        <f>COUNTIF(WeeklyPicks!$D$122:$F$131,C1193)</f>
        <v>0</v>
      </c>
    </row>
    <row r="1194" spans="1:4" x14ac:dyDescent="0.3">
      <c r="A1194">
        <v>13</v>
      </c>
      <c r="B1194" t="s">
        <v>73</v>
      </c>
      <c r="C1194">
        <v>5</v>
      </c>
      <c r="D1194">
        <f>COUNTIF(WeeklyPicks!$D$122:$F$131,C1194)</f>
        <v>4</v>
      </c>
    </row>
    <row r="1195" spans="1:4" x14ac:dyDescent="0.3">
      <c r="A1195">
        <v>13</v>
      </c>
      <c r="B1195" t="s">
        <v>73</v>
      </c>
      <c r="C1195">
        <v>6</v>
      </c>
      <c r="D1195">
        <f>COUNTIF(WeeklyPicks!$D$122:$F$131,C1195)</f>
        <v>0</v>
      </c>
    </row>
    <row r="1196" spans="1:4" x14ac:dyDescent="0.3">
      <c r="A1196">
        <v>13</v>
      </c>
      <c r="B1196" t="s">
        <v>73</v>
      </c>
      <c r="C1196">
        <v>7</v>
      </c>
      <c r="D1196">
        <f>COUNTIF(WeeklyPicks!$D$122:$F$131,C1196)</f>
        <v>0</v>
      </c>
    </row>
    <row r="1197" spans="1:4" x14ac:dyDescent="0.3">
      <c r="A1197">
        <v>13</v>
      </c>
      <c r="B1197" t="s">
        <v>73</v>
      </c>
      <c r="C1197">
        <v>8</v>
      </c>
      <c r="D1197">
        <f>COUNTIF(WeeklyPicks!$D$122:$F$131,C1197)</f>
        <v>0</v>
      </c>
    </row>
    <row r="1198" spans="1:4" x14ac:dyDescent="0.3">
      <c r="A1198">
        <v>13</v>
      </c>
      <c r="B1198" t="s">
        <v>73</v>
      </c>
      <c r="C1198">
        <v>9</v>
      </c>
      <c r="D1198">
        <f>COUNTIF(WeeklyPicks!$D$122:$F$131,C1198)</f>
        <v>1</v>
      </c>
    </row>
    <row r="1199" spans="1:4" x14ac:dyDescent="0.3">
      <c r="A1199">
        <v>13</v>
      </c>
      <c r="B1199" t="s">
        <v>73</v>
      </c>
      <c r="C1199">
        <v>10</v>
      </c>
      <c r="D1199">
        <f>COUNTIF(WeeklyPicks!$D$122:$F$131,C1199)</f>
        <v>0</v>
      </c>
    </row>
    <row r="1200" spans="1:4" x14ac:dyDescent="0.3">
      <c r="A1200">
        <v>13</v>
      </c>
      <c r="B1200" t="s">
        <v>73</v>
      </c>
      <c r="C1200">
        <v>11</v>
      </c>
      <c r="D1200">
        <f>COUNTIF(WeeklyPicks!$D$122:$F$131,C1200)</f>
        <v>5</v>
      </c>
    </row>
    <row r="1201" spans="1:4" x14ac:dyDescent="0.3">
      <c r="A1201">
        <v>13</v>
      </c>
      <c r="B1201" t="s">
        <v>73</v>
      </c>
      <c r="C1201">
        <v>12</v>
      </c>
      <c r="D1201">
        <f>COUNTIF(WeeklyPicks!$D$122:$F$131,C1201)</f>
        <v>4</v>
      </c>
    </row>
    <row r="1202" spans="1:4" x14ac:dyDescent="0.3">
      <c r="A1202">
        <v>13</v>
      </c>
      <c r="B1202" t="s">
        <v>73</v>
      </c>
      <c r="C1202">
        <v>13</v>
      </c>
      <c r="D1202">
        <f>COUNTIF(WeeklyPicks!$D$122:$F$131,C1202)</f>
        <v>0</v>
      </c>
    </row>
    <row r="1203" spans="1:4" x14ac:dyDescent="0.3">
      <c r="A1203">
        <v>13</v>
      </c>
      <c r="B1203" t="s">
        <v>73</v>
      </c>
      <c r="C1203">
        <v>14</v>
      </c>
      <c r="D1203">
        <f>COUNTIF(WeeklyPicks!$D$122:$F$131,C1203)</f>
        <v>0</v>
      </c>
    </row>
    <row r="1204" spans="1:4" x14ac:dyDescent="0.3">
      <c r="A1204">
        <v>13</v>
      </c>
      <c r="B1204" t="s">
        <v>73</v>
      </c>
      <c r="C1204">
        <v>15</v>
      </c>
      <c r="D1204">
        <f>COUNTIF(WeeklyPicks!$D$122:$F$131,C1204)</f>
        <v>0</v>
      </c>
    </row>
    <row r="1205" spans="1:4" x14ac:dyDescent="0.3">
      <c r="A1205">
        <v>13</v>
      </c>
      <c r="B1205" t="s">
        <v>73</v>
      </c>
      <c r="C1205">
        <v>16</v>
      </c>
      <c r="D1205">
        <f>COUNTIF(WeeklyPicks!$D$122:$F$131,C1205)</f>
        <v>0</v>
      </c>
    </row>
    <row r="1206" spans="1:4" x14ac:dyDescent="0.3">
      <c r="A1206">
        <v>13</v>
      </c>
      <c r="B1206" t="s">
        <v>73</v>
      </c>
      <c r="C1206">
        <v>17</v>
      </c>
      <c r="D1206">
        <f>COUNTIF(WeeklyPicks!$D$122:$F$131,C1206)</f>
        <v>0</v>
      </c>
    </row>
    <row r="1207" spans="1:4" x14ac:dyDescent="0.3">
      <c r="A1207">
        <v>13</v>
      </c>
      <c r="B1207" t="s">
        <v>73</v>
      </c>
      <c r="C1207">
        <v>18</v>
      </c>
      <c r="D1207">
        <f>COUNTIF(WeeklyPicks!$D$122:$F$131,C1207)</f>
        <v>0</v>
      </c>
    </row>
    <row r="1208" spans="1:4" x14ac:dyDescent="0.3">
      <c r="A1208">
        <v>13</v>
      </c>
      <c r="B1208" t="s">
        <v>73</v>
      </c>
      <c r="C1208">
        <v>19</v>
      </c>
      <c r="D1208">
        <f>COUNTIF(WeeklyPicks!$D$122:$F$131,C1208)</f>
        <v>1</v>
      </c>
    </row>
    <row r="1209" spans="1:4" x14ac:dyDescent="0.3">
      <c r="A1209">
        <v>13</v>
      </c>
      <c r="B1209" t="s">
        <v>73</v>
      </c>
      <c r="C1209">
        <v>20</v>
      </c>
      <c r="D1209">
        <f>COUNTIF(WeeklyPicks!$D$122:$F$131,C1209)</f>
        <v>0</v>
      </c>
    </row>
    <row r="1210" spans="1:4" x14ac:dyDescent="0.3">
      <c r="A1210">
        <v>13</v>
      </c>
      <c r="B1210" t="s">
        <v>73</v>
      </c>
      <c r="C1210">
        <v>21</v>
      </c>
      <c r="D1210">
        <f>COUNTIF(WeeklyPicks!$D$122:$F$131,C1210)</f>
        <v>0</v>
      </c>
    </row>
    <row r="1211" spans="1:4" x14ac:dyDescent="0.3">
      <c r="A1211">
        <v>13</v>
      </c>
      <c r="B1211" t="s">
        <v>73</v>
      </c>
      <c r="C1211">
        <v>22</v>
      </c>
      <c r="D1211">
        <f>COUNTIF(WeeklyPicks!$D$122:$F$131,C1211)</f>
        <v>0</v>
      </c>
    </row>
    <row r="1212" spans="1:4" x14ac:dyDescent="0.3">
      <c r="A1212">
        <v>13</v>
      </c>
      <c r="B1212" t="s">
        <v>73</v>
      </c>
      <c r="C1212">
        <v>23</v>
      </c>
      <c r="D1212">
        <f>COUNTIF(WeeklyPicks!$D$122:$F$131,C1212)</f>
        <v>1</v>
      </c>
    </row>
    <row r="1213" spans="1:4" x14ac:dyDescent="0.3">
      <c r="A1213">
        <v>13</v>
      </c>
      <c r="B1213" t="s">
        <v>73</v>
      </c>
      <c r="C1213">
        <v>24</v>
      </c>
      <c r="D1213">
        <f>COUNTIF(WeeklyPicks!$D$122:$F$131,C1213)</f>
        <v>1</v>
      </c>
    </row>
    <row r="1214" spans="1:4" x14ac:dyDescent="0.3">
      <c r="A1214">
        <v>13</v>
      </c>
      <c r="B1214" t="s">
        <v>73</v>
      </c>
      <c r="C1214">
        <v>25</v>
      </c>
      <c r="D1214">
        <f>COUNTIF(WeeklyPicks!$D$122:$F$131,C1214)</f>
        <v>0</v>
      </c>
    </row>
    <row r="1215" spans="1:4" x14ac:dyDescent="0.3">
      <c r="A1215">
        <v>13</v>
      </c>
      <c r="B1215" t="s">
        <v>73</v>
      </c>
      <c r="C1215">
        <v>26</v>
      </c>
      <c r="D1215">
        <f>COUNTIF(WeeklyPicks!$D$122:$F$131,C1215)</f>
        <v>0</v>
      </c>
    </row>
    <row r="1216" spans="1:4" x14ac:dyDescent="0.3">
      <c r="A1216">
        <v>13</v>
      </c>
      <c r="B1216" t="s">
        <v>73</v>
      </c>
      <c r="C1216">
        <v>27</v>
      </c>
      <c r="D1216">
        <f>COUNTIF(WeeklyPicks!$D$122:$F$131,C1216)</f>
        <v>0</v>
      </c>
    </row>
    <row r="1217" spans="1:4" x14ac:dyDescent="0.3">
      <c r="A1217">
        <v>13</v>
      </c>
      <c r="B1217" t="s">
        <v>73</v>
      </c>
      <c r="C1217">
        <v>28</v>
      </c>
      <c r="D1217">
        <f>COUNTIF(WeeklyPicks!$D$122:$F$131,C1217)</f>
        <v>0</v>
      </c>
    </row>
    <row r="1218" spans="1:4" x14ac:dyDescent="0.3">
      <c r="A1218">
        <v>13</v>
      </c>
      <c r="B1218" t="s">
        <v>73</v>
      </c>
      <c r="C1218">
        <v>29</v>
      </c>
      <c r="D1218">
        <f>COUNTIF(WeeklyPicks!$D$122:$F$131,C1218)</f>
        <v>0</v>
      </c>
    </row>
    <row r="1219" spans="1:4" x14ac:dyDescent="0.3">
      <c r="A1219">
        <v>13</v>
      </c>
      <c r="B1219" t="s">
        <v>73</v>
      </c>
      <c r="C1219">
        <v>30</v>
      </c>
      <c r="D1219">
        <f>COUNTIF(WeeklyPicks!$D$122:$F$131,C1219)</f>
        <v>0</v>
      </c>
    </row>
    <row r="1220" spans="1:4" x14ac:dyDescent="0.3">
      <c r="A1220">
        <v>13</v>
      </c>
      <c r="B1220" t="s">
        <v>73</v>
      </c>
      <c r="C1220">
        <v>31</v>
      </c>
      <c r="D1220">
        <f>COUNTIF(WeeklyPicks!$D$122:$F$131,C1220)</f>
        <v>0</v>
      </c>
    </row>
    <row r="1221" spans="1:4" x14ac:dyDescent="0.3">
      <c r="A1221">
        <v>13</v>
      </c>
      <c r="B1221" t="s">
        <v>73</v>
      </c>
      <c r="C1221">
        <v>32</v>
      </c>
      <c r="D1221">
        <f>COUNTIF(WeeklyPicks!$D$122:$F$131,C1221)</f>
        <v>0</v>
      </c>
    </row>
    <row r="1222" spans="1:4" x14ac:dyDescent="0.3">
      <c r="A1222">
        <v>13</v>
      </c>
      <c r="B1222" t="s">
        <v>73</v>
      </c>
      <c r="C1222">
        <v>33</v>
      </c>
      <c r="D1222">
        <f>COUNTIF(WeeklyPicks!$D$122:$F$131,C1222)</f>
        <v>0</v>
      </c>
    </row>
    <row r="1223" spans="1:4" x14ac:dyDescent="0.3">
      <c r="A1223">
        <v>13</v>
      </c>
      <c r="B1223" t="s">
        <v>73</v>
      </c>
      <c r="C1223">
        <v>34</v>
      </c>
      <c r="D1223">
        <f>COUNTIF(WeeklyPicks!$D$122:$F$131,C1223)</f>
        <v>0</v>
      </c>
    </row>
    <row r="1224" spans="1:4" x14ac:dyDescent="0.3">
      <c r="A1224">
        <v>13</v>
      </c>
      <c r="B1224" t="s">
        <v>73</v>
      </c>
      <c r="C1224">
        <v>35</v>
      </c>
      <c r="D1224">
        <f>COUNTIF(WeeklyPicks!$D$122:$F$131,C1224)</f>
        <v>0</v>
      </c>
    </row>
    <row r="1225" spans="1:4" x14ac:dyDescent="0.3">
      <c r="A1225">
        <v>13</v>
      </c>
      <c r="B1225" t="s">
        <v>73</v>
      </c>
      <c r="C1225">
        <v>36</v>
      </c>
      <c r="D1225">
        <f>COUNTIF(WeeklyPicks!$D$122:$F$131,C1225)</f>
        <v>0</v>
      </c>
    </row>
    <row r="1226" spans="1:4" x14ac:dyDescent="0.3">
      <c r="A1226">
        <v>13</v>
      </c>
      <c r="B1226" t="s">
        <v>73</v>
      </c>
      <c r="C1226">
        <v>37</v>
      </c>
      <c r="D1226">
        <f>COUNTIF(WeeklyPicks!$D$122:$F$131,C1226)</f>
        <v>0</v>
      </c>
    </row>
    <row r="1227" spans="1:4" x14ac:dyDescent="0.3">
      <c r="A1227">
        <v>13</v>
      </c>
      <c r="B1227" t="s">
        <v>73</v>
      </c>
      <c r="C1227">
        <v>38</v>
      </c>
      <c r="D1227">
        <f>COUNTIF(WeeklyPicks!$D$122:$F$131,C1227)</f>
        <v>0</v>
      </c>
    </row>
    <row r="1228" spans="1:4" x14ac:dyDescent="0.3">
      <c r="A1228">
        <v>13</v>
      </c>
      <c r="B1228" t="s">
        <v>73</v>
      </c>
      <c r="C1228">
        <v>39</v>
      </c>
      <c r="D1228">
        <f>COUNTIF(WeeklyPicks!$D$122:$F$131,C1228)</f>
        <v>0</v>
      </c>
    </row>
    <row r="1229" spans="1:4" x14ac:dyDescent="0.3">
      <c r="A1229">
        <v>13</v>
      </c>
      <c r="B1229" t="s">
        <v>73</v>
      </c>
      <c r="C1229">
        <v>40</v>
      </c>
      <c r="D1229">
        <f>COUNTIF(WeeklyPicks!$D$122:$F$131,C1229)</f>
        <v>0</v>
      </c>
    </row>
    <row r="1230" spans="1:4" x14ac:dyDescent="0.3">
      <c r="A1230">
        <v>13</v>
      </c>
      <c r="B1230" t="s">
        <v>73</v>
      </c>
      <c r="C1230">
        <v>41</v>
      </c>
      <c r="D1230">
        <f>COUNTIF(WeeklyPicks!$D$122:$F$131,C1230)</f>
        <v>0</v>
      </c>
    </row>
    <row r="1231" spans="1:4" x14ac:dyDescent="0.3">
      <c r="A1231">
        <v>13</v>
      </c>
      <c r="B1231" t="s">
        <v>73</v>
      </c>
      <c r="C1231">
        <v>42</v>
      </c>
      <c r="D1231">
        <f>COUNTIF(WeeklyPicks!$D$122:$F$131,C1231)</f>
        <v>0</v>
      </c>
    </row>
    <row r="1232" spans="1:4" x14ac:dyDescent="0.3">
      <c r="A1232">
        <v>13</v>
      </c>
      <c r="B1232" t="s">
        <v>73</v>
      </c>
      <c r="C1232">
        <v>43</v>
      </c>
      <c r="D1232">
        <f>COUNTIF(WeeklyPicks!$D$122:$F$131,C1232)</f>
        <v>0</v>
      </c>
    </row>
    <row r="1233" spans="1:4" x14ac:dyDescent="0.3">
      <c r="A1233">
        <v>13</v>
      </c>
      <c r="B1233" t="s">
        <v>73</v>
      </c>
      <c r="C1233">
        <v>44</v>
      </c>
      <c r="D1233">
        <f>COUNTIF(WeeklyPicks!$D$122:$F$131,C1233)</f>
        <v>0</v>
      </c>
    </row>
    <row r="1234" spans="1:4" x14ac:dyDescent="0.3">
      <c r="A1234">
        <v>13</v>
      </c>
      <c r="B1234" t="s">
        <v>73</v>
      </c>
      <c r="C1234">
        <v>45</v>
      </c>
      <c r="D1234">
        <f>COUNTIF(WeeklyPicks!$D$122:$F$131,C1234)</f>
        <v>5</v>
      </c>
    </row>
    <row r="1235" spans="1:4" x14ac:dyDescent="0.3">
      <c r="A1235">
        <v>13</v>
      </c>
      <c r="B1235" t="s">
        <v>73</v>
      </c>
      <c r="C1235">
        <v>46</v>
      </c>
      <c r="D1235">
        <f>COUNTIF(WeeklyPicks!$D$122:$F$131,C1235)</f>
        <v>0</v>
      </c>
    </row>
    <row r="1236" spans="1:4" x14ac:dyDescent="0.3">
      <c r="A1236">
        <v>13</v>
      </c>
      <c r="B1236" t="s">
        <v>73</v>
      </c>
      <c r="C1236">
        <v>47</v>
      </c>
      <c r="D1236">
        <f>COUNTIF(WeeklyPicks!$D$122:$F$131,C1236)</f>
        <v>0</v>
      </c>
    </row>
    <row r="1237" spans="1:4" x14ac:dyDescent="0.3">
      <c r="A1237">
        <v>13</v>
      </c>
      <c r="B1237" t="s">
        <v>73</v>
      </c>
      <c r="C1237">
        <v>48</v>
      </c>
      <c r="D1237">
        <f>COUNTIF(WeeklyPicks!$D$122:$F$131,C1237)</f>
        <v>1</v>
      </c>
    </row>
    <row r="1238" spans="1:4" x14ac:dyDescent="0.3">
      <c r="A1238">
        <v>13</v>
      </c>
      <c r="B1238" t="s">
        <v>73</v>
      </c>
      <c r="C1238">
        <v>49</v>
      </c>
      <c r="D1238">
        <f>COUNTIF(WeeklyPicks!$D$122:$F$131,C1238)</f>
        <v>0</v>
      </c>
    </row>
    <row r="1239" spans="1:4" x14ac:dyDescent="0.3">
      <c r="A1239">
        <v>13</v>
      </c>
      <c r="B1239" t="s">
        <v>73</v>
      </c>
      <c r="C1239">
        <v>50</v>
      </c>
      <c r="D1239">
        <f>COUNTIF(WeeklyPicks!$D$122:$F$131,C1239)</f>
        <v>0</v>
      </c>
    </row>
    <row r="1240" spans="1:4" x14ac:dyDescent="0.3">
      <c r="A1240">
        <v>13</v>
      </c>
      <c r="B1240" t="s">
        <v>73</v>
      </c>
      <c r="C1240">
        <v>51</v>
      </c>
      <c r="D1240">
        <f>COUNTIF(WeeklyPicks!$D$122:$F$131,C1240)</f>
        <v>0</v>
      </c>
    </row>
    <row r="1241" spans="1:4" x14ac:dyDescent="0.3">
      <c r="A1241">
        <v>13</v>
      </c>
      <c r="B1241" t="s">
        <v>73</v>
      </c>
      <c r="C1241">
        <v>52</v>
      </c>
      <c r="D1241">
        <f>COUNTIF(WeeklyPicks!$D$122:$F$131,C1241)</f>
        <v>0</v>
      </c>
    </row>
    <row r="1242" spans="1:4" x14ac:dyDescent="0.3">
      <c r="A1242">
        <v>13</v>
      </c>
      <c r="B1242" t="s">
        <v>73</v>
      </c>
      <c r="C1242">
        <v>53</v>
      </c>
      <c r="D1242">
        <f>COUNTIF(WeeklyPicks!$D$122:$F$131,C1242)</f>
        <v>0</v>
      </c>
    </row>
    <row r="1243" spans="1:4" x14ac:dyDescent="0.3">
      <c r="A1243">
        <v>13</v>
      </c>
      <c r="B1243" t="s">
        <v>73</v>
      </c>
      <c r="C1243">
        <v>54</v>
      </c>
      <c r="D1243">
        <f>COUNTIF(WeeklyPicks!$D$122:$F$131,C1243)</f>
        <v>1</v>
      </c>
    </row>
    <row r="1244" spans="1:4" x14ac:dyDescent="0.3">
      <c r="A1244">
        <v>13</v>
      </c>
      <c r="B1244" t="s">
        <v>73</v>
      </c>
      <c r="C1244">
        <v>55</v>
      </c>
      <c r="D1244">
        <f>COUNTIF(WeeklyPicks!$D$122:$F$131,C1244)</f>
        <v>0</v>
      </c>
    </row>
    <row r="1245" spans="1:4" x14ac:dyDescent="0.3">
      <c r="A1245">
        <v>13</v>
      </c>
      <c r="B1245" t="s">
        <v>73</v>
      </c>
      <c r="C1245">
        <v>56</v>
      </c>
      <c r="D1245">
        <f>COUNTIF(WeeklyPicks!$D$122:$F$131,C1245)</f>
        <v>0</v>
      </c>
    </row>
    <row r="1246" spans="1:4" x14ac:dyDescent="0.3">
      <c r="A1246">
        <v>13</v>
      </c>
      <c r="B1246" t="s">
        <v>73</v>
      </c>
      <c r="C1246">
        <v>57</v>
      </c>
      <c r="D1246">
        <f>COUNTIF(WeeklyPicks!$D$122:$F$131,C1246)</f>
        <v>0</v>
      </c>
    </row>
    <row r="1247" spans="1:4" x14ac:dyDescent="0.3">
      <c r="A1247">
        <v>13</v>
      </c>
      <c r="B1247" t="s">
        <v>73</v>
      </c>
      <c r="C1247">
        <v>58</v>
      </c>
      <c r="D1247">
        <f>COUNTIF(WeeklyPicks!$D$122:$F$131,C1247)</f>
        <v>0</v>
      </c>
    </row>
    <row r="1248" spans="1:4" x14ac:dyDescent="0.3">
      <c r="A1248">
        <v>13</v>
      </c>
      <c r="B1248" t="s">
        <v>73</v>
      </c>
      <c r="C1248">
        <v>59</v>
      </c>
      <c r="D1248">
        <f>COUNTIF(WeeklyPicks!$D$122:$F$131,C1248)</f>
        <v>0</v>
      </c>
    </row>
    <row r="1249" spans="1:4" x14ac:dyDescent="0.3">
      <c r="A1249">
        <v>13</v>
      </c>
      <c r="B1249" t="s">
        <v>73</v>
      </c>
      <c r="C1249">
        <v>60</v>
      </c>
      <c r="D1249">
        <f>COUNTIF(WeeklyPicks!$D$122:$F$131,C1249)</f>
        <v>0</v>
      </c>
    </row>
    <row r="1250" spans="1:4" x14ac:dyDescent="0.3">
      <c r="A1250">
        <v>13</v>
      </c>
      <c r="B1250" t="s">
        <v>73</v>
      </c>
      <c r="C1250">
        <v>61</v>
      </c>
      <c r="D1250">
        <f>COUNTIF(WeeklyPicks!$D$122:$F$131,C1250)</f>
        <v>0</v>
      </c>
    </row>
    <row r="1251" spans="1:4" x14ac:dyDescent="0.3">
      <c r="A1251">
        <v>13</v>
      </c>
      <c r="B1251" t="s">
        <v>73</v>
      </c>
      <c r="C1251">
        <v>62</v>
      </c>
      <c r="D1251">
        <f>COUNTIF(WeeklyPicks!$D$122:$F$131,C1251)</f>
        <v>0</v>
      </c>
    </row>
    <row r="1252" spans="1:4" x14ac:dyDescent="0.3">
      <c r="A1252">
        <v>13</v>
      </c>
      <c r="B1252" t="s">
        <v>73</v>
      </c>
      <c r="C1252">
        <v>63</v>
      </c>
      <c r="D1252">
        <f>COUNTIF(WeeklyPicks!$D$122:$F$131,C1252)</f>
        <v>0</v>
      </c>
    </row>
    <row r="1253" spans="1:4" x14ac:dyDescent="0.3">
      <c r="A1253">
        <v>13</v>
      </c>
      <c r="B1253" t="s">
        <v>73</v>
      </c>
      <c r="C1253">
        <v>64</v>
      </c>
      <c r="D1253">
        <f>COUNTIF(WeeklyPicks!$D$122:$F$131,C1253)</f>
        <v>0</v>
      </c>
    </row>
    <row r="1254" spans="1:4" x14ac:dyDescent="0.3">
      <c r="A1254">
        <v>13</v>
      </c>
      <c r="B1254" t="s">
        <v>73</v>
      </c>
      <c r="C1254">
        <v>65</v>
      </c>
      <c r="D1254">
        <f>COUNTIF(WeeklyPicks!$D$122:$F$131,C1254)</f>
        <v>0</v>
      </c>
    </row>
    <row r="1255" spans="1:4" x14ac:dyDescent="0.3">
      <c r="A1255">
        <v>13</v>
      </c>
      <c r="B1255" t="s">
        <v>73</v>
      </c>
      <c r="C1255">
        <v>66</v>
      </c>
      <c r="D1255">
        <f>COUNTIF(WeeklyPicks!$D$122:$F$131,C1255)</f>
        <v>0</v>
      </c>
    </row>
    <row r="1256" spans="1:4" x14ac:dyDescent="0.3">
      <c r="A1256">
        <v>13</v>
      </c>
      <c r="B1256" t="s">
        <v>73</v>
      </c>
      <c r="C1256">
        <v>67</v>
      </c>
      <c r="D1256">
        <f>COUNTIF(WeeklyPicks!$D$122:$F$131,C1256)</f>
        <v>0</v>
      </c>
    </row>
    <row r="1257" spans="1:4" x14ac:dyDescent="0.3">
      <c r="A1257">
        <v>13</v>
      </c>
      <c r="B1257" t="s">
        <v>73</v>
      </c>
      <c r="C1257">
        <v>68</v>
      </c>
      <c r="D1257">
        <f>COUNTIF(WeeklyPicks!$D$122:$F$131,C1257)</f>
        <v>0</v>
      </c>
    </row>
    <row r="1258" spans="1:4" x14ac:dyDescent="0.3">
      <c r="A1258">
        <v>13</v>
      </c>
      <c r="B1258" t="s">
        <v>73</v>
      </c>
      <c r="C1258">
        <v>69</v>
      </c>
      <c r="D1258">
        <f>COUNTIF(WeeklyPicks!$D$122:$F$131,C1258)</f>
        <v>0</v>
      </c>
    </row>
    <row r="1259" spans="1:4" x14ac:dyDescent="0.3">
      <c r="A1259">
        <v>13</v>
      </c>
      <c r="B1259" t="s">
        <v>73</v>
      </c>
      <c r="C1259">
        <v>70</v>
      </c>
      <c r="D1259">
        <f>COUNTIF(WeeklyPicks!$D$122:$F$131,C1259)</f>
        <v>0</v>
      </c>
    </row>
    <row r="1260" spans="1:4" x14ac:dyDescent="0.3">
      <c r="A1260">
        <v>13</v>
      </c>
      <c r="B1260" t="s">
        <v>73</v>
      </c>
      <c r="C1260">
        <v>71</v>
      </c>
      <c r="D1260">
        <f>COUNTIF(WeeklyPicks!$D$122:$F$131,C1260)</f>
        <v>0</v>
      </c>
    </row>
    <row r="1261" spans="1:4" x14ac:dyDescent="0.3">
      <c r="A1261">
        <v>13</v>
      </c>
      <c r="B1261" t="s">
        <v>73</v>
      </c>
      <c r="C1261">
        <v>72</v>
      </c>
      <c r="D1261">
        <f>COUNTIF(WeeklyPicks!$D$122:$F$131,C1261)</f>
        <v>0</v>
      </c>
    </row>
    <row r="1262" spans="1:4" x14ac:dyDescent="0.3">
      <c r="A1262">
        <v>13</v>
      </c>
      <c r="B1262" t="s">
        <v>73</v>
      </c>
      <c r="C1262">
        <v>73</v>
      </c>
      <c r="D1262">
        <f>COUNTIF(WeeklyPicks!$D$122:$F$131,C1262)</f>
        <v>0</v>
      </c>
    </row>
    <row r="1263" spans="1:4" x14ac:dyDescent="0.3">
      <c r="A1263">
        <v>13</v>
      </c>
      <c r="B1263" t="s">
        <v>73</v>
      </c>
      <c r="C1263">
        <v>74</v>
      </c>
      <c r="D1263">
        <f>COUNTIF(WeeklyPicks!$D$122:$F$131,C1263)</f>
        <v>0</v>
      </c>
    </row>
    <row r="1264" spans="1:4" x14ac:dyDescent="0.3">
      <c r="A1264">
        <v>13</v>
      </c>
      <c r="B1264" t="s">
        <v>73</v>
      </c>
      <c r="C1264">
        <v>75</v>
      </c>
      <c r="D1264">
        <f>COUNTIF(WeeklyPicks!$D$122:$F$131,C1264)</f>
        <v>0</v>
      </c>
    </row>
    <row r="1265" spans="1:4" x14ac:dyDescent="0.3">
      <c r="A1265">
        <v>13</v>
      </c>
      <c r="B1265" t="s">
        <v>73</v>
      </c>
      <c r="C1265">
        <v>76</v>
      </c>
      <c r="D1265">
        <f>COUNTIF(WeeklyPicks!$D$122:$F$131,C1265)</f>
        <v>0</v>
      </c>
    </row>
    <row r="1266" spans="1:4" x14ac:dyDescent="0.3">
      <c r="A1266">
        <v>13</v>
      </c>
      <c r="B1266" t="s">
        <v>73</v>
      </c>
      <c r="C1266">
        <v>77</v>
      </c>
      <c r="D1266">
        <f>COUNTIF(WeeklyPicks!$D$122:$F$131,C1266)</f>
        <v>0</v>
      </c>
    </row>
    <row r="1267" spans="1:4" x14ac:dyDescent="0.3">
      <c r="A1267">
        <v>13</v>
      </c>
      <c r="B1267" t="s">
        <v>73</v>
      </c>
      <c r="C1267">
        <v>78</v>
      </c>
      <c r="D1267">
        <f>COUNTIF(WeeklyPicks!$D$122:$F$131,C1267)</f>
        <v>0</v>
      </c>
    </row>
    <row r="1268" spans="1:4" x14ac:dyDescent="0.3">
      <c r="A1268">
        <v>13</v>
      </c>
      <c r="B1268" t="s">
        <v>73</v>
      </c>
      <c r="C1268">
        <v>79</v>
      </c>
      <c r="D1268">
        <f>COUNTIF(WeeklyPicks!$D$122:$F$131,C1268)</f>
        <v>0</v>
      </c>
    </row>
    <row r="1269" spans="1:4" x14ac:dyDescent="0.3">
      <c r="A1269">
        <v>13</v>
      </c>
      <c r="B1269" t="s">
        <v>73</v>
      </c>
      <c r="C1269">
        <v>80</v>
      </c>
      <c r="D1269">
        <f>COUNTIF(WeeklyPicks!$D$122:$F$131,C1269)</f>
        <v>0</v>
      </c>
    </row>
    <row r="1270" spans="1:4" x14ac:dyDescent="0.3">
      <c r="A1270">
        <v>13</v>
      </c>
      <c r="B1270" t="s">
        <v>73</v>
      </c>
      <c r="C1270">
        <v>81</v>
      </c>
      <c r="D1270">
        <f>COUNTIF(WeeklyPicks!$D$122:$F$131,C1270)</f>
        <v>0</v>
      </c>
    </row>
    <row r="1271" spans="1:4" x14ac:dyDescent="0.3">
      <c r="A1271">
        <v>13</v>
      </c>
      <c r="B1271" t="s">
        <v>73</v>
      </c>
      <c r="C1271">
        <v>82</v>
      </c>
      <c r="D1271">
        <f>COUNTIF(WeeklyPicks!$D$122:$F$131,C1271)</f>
        <v>0</v>
      </c>
    </row>
    <row r="1272" spans="1:4" x14ac:dyDescent="0.3">
      <c r="A1272">
        <v>13</v>
      </c>
      <c r="B1272" t="s">
        <v>73</v>
      </c>
      <c r="C1272">
        <v>83</v>
      </c>
      <c r="D1272">
        <f>COUNTIF(WeeklyPicks!$D$122:$F$131,C1272)</f>
        <v>0</v>
      </c>
    </row>
    <row r="1273" spans="1:4" x14ac:dyDescent="0.3">
      <c r="A1273">
        <v>13</v>
      </c>
      <c r="B1273" t="s">
        <v>73</v>
      </c>
      <c r="C1273">
        <v>84</v>
      </c>
      <c r="D1273">
        <f>COUNTIF(WeeklyPicks!$D$122:$F$131,C1273)</f>
        <v>0</v>
      </c>
    </row>
    <row r="1274" spans="1:4" x14ac:dyDescent="0.3">
      <c r="A1274">
        <v>13</v>
      </c>
      <c r="B1274" t="s">
        <v>73</v>
      </c>
      <c r="C1274">
        <v>85</v>
      </c>
      <c r="D1274">
        <f>COUNTIF(WeeklyPicks!$D$122:$F$131,C1274)</f>
        <v>0</v>
      </c>
    </row>
    <row r="1275" spans="1:4" x14ac:dyDescent="0.3">
      <c r="A1275">
        <v>13</v>
      </c>
      <c r="B1275" t="s">
        <v>73</v>
      </c>
      <c r="C1275">
        <v>86</v>
      </c>
      <c r="D1275">
        <f>COUNTIF(WeeklyPicks!$D$122:$F$131,C1275)</f>
        <v>0</v>
      </c>
    </row>
    <row r="1276" spans="1:4" x14ac:dyDescent="0.3">
      <c r="A1276">
        <v>13</v>
      </c>
      <c r="B1276" t="s">
        <v>73</v>
      </c>
      <c r="C1276">
        <v>87</v>
      </c>
      <c r="D1276">
        <f>COUNTIF(WeeklyPicks!$D$122:$F$131,C1276)</f>
        <v>0</v>
      </c>
    </row>
    <row r="1277" spans="1:4" x14ac:dyDescent="0.3">
      <c r="A1277">
        <v>13</v>
      </c>
      <c r="B1277" t="s">
        <v>73</v>
      </c>
      <c r="C1277">
        <v>88</v>
      </c>
      <c r="D1277">
        <f>COUNTIF(WeeklyPicks!$D$122:$F$131,C1277)</f>
        <v>0</v>
      </c>
    </row>
    <row r="1278" spans="1:4" x14ac:dyDescent="0.3">
      <c r="A1278">
        <v>13</v>
      </c>
      <c r="B1278" t="s">
        <v>73</v>
      </c>
      <c r="C1278">
        <v>89</v>
      </c>
      <c r="D1278">
        <f>COUNTIF(WeeklyPicks!$D$122:$F$131,C1278)</f>
        <v>0</v>
      </c>
    </row>
    <row r="1279" spans="1:4" x14ac:dyDescent="0.3">
      <c r="A1279">
        <v>13</v>
      </c>
      <c r="B1279" t="s">
        <v>73</v>
      </c>
      <c r="C1279">
        <v>90</v>
      </c>
      <c r="D1279">
        <f>COUNTIF(WeeklyPicks!$D$122:$F$131,C1279)</f>
        <v>0</v>
      </c>
    </row>
    <row r="1280" spans="1:4" x14ac:dyDescent="0.3">
      <c r="A1280">
        <v>13</v>
      </c>
      <c r="B1280" t="s">
        <v>73</v>
      </c>
      <c r="C1280">
        <v>91</v>
      </c>
      <c r="D1280">
        <f>COUNTIF(WeeklyPicks!$D$122:$F$131,C1280)</f>
        <v>0</v>
      </c>
    </row>
    <row r="1281" spans="1:4" x14ac:dyDescent="0.3">
      <c r="A1281">
        <v>13</v>
      </c>
      <c r="B1281" t="s">
        <v>73</v>
      </c>
      <c r="C1281">
        <v>92</v>
      </c>
      <c r="D1281">
        <f>COUNTIF(WeeklyPicks!$D$122:$F$131,C1281)</f>
        <v>0</v>
      </c>
    </row>
    <row r="1282" spans="1:4" x14ac:dyDescent="0.3">
      <c r="A1282">
        <v>13</v>
      </c>
      <c r="B1282" t="s">
        <v>73</v>
      </c>
      <c r="C1282">
        <v>93</v>
      </c>
      <c r="D1282">
        <f>COUNTIF(WeeklyPicks!$D$122:$F$131,C1282)</f>
        <v>0</v>
      </c>
    </row>
    <row r="1283" spans="1:4" x14ac:dyDescent="0.3">
      <c r="A1283">
        <v>13</v>
      </c>
      <c r="B1283" t="s">
        <v>73</v>
      </c>
      <c r="C1283">
        <v>94</v>
      </c>
      <c r="D1283">
        <f>COUNTIF(WeeklyPicks!$D$122:$F$131,C1283)</f>
        <v>0</v>
      </c>
    </row>
    <row r="1284" spans="1:4" x14ac:dyDescent="0.3">
      <c r="A1284">
        <v>13</v>
      </c>
      <c r="B1284" t="s">
        <v>73</v>
      </c>
      <c r="C1284">
        <v>95</v>
      </c>
      <c r="D1284">
        <f>COUNTIF(WeeklyPicks!$D$122:$F$131,C1284)</f>
        <v>0</v>
      </c>
    </row>
    <row r="1285" spans="1:4" x14ac:dyDescent="0.3">
      <c r="A1285">
        <v>13</v>
      </c>
      <c r="B1285" t="s">
        <v>73</v>
      </c>
      <c r="C1285">
        <v>96</v>
      </c>
      <c r="D1285">
        <f>COUNTIF(WeeklyPicks!$D$122:$F$131,C1285)</f>
        <v>0</v>
      </c>
    </row>
    <row r="1286" spans="1:4" x14ac:dyDescent="0.3">
      <c r="A1286">
        <v>13</v>
      </c>
      <c r="B1286" t="s">
        <v>73</v>
      </c>
      <c r="C1286">
        <v>97</v>
      </c>
      <c r="D1286">
        <f>COUNTIF(WeeklyPicks!$D$122:$F$131,C1286)</f>
        <v>0</v>
      </c>
    </row>
    <row r="1287" spans="1:4" x14ac:dyDescent="0.3">
      <c r="A1287">
        <v>13</v>
      </c>
      <c r="B1287" t="s">
        <v>73</v>
      </c>
      <c r="C1287">
        <v>98</v>
      </c>
      <c r="D1287">
        <f>COUNTIF(WeeklyPicks!$D$122:$F$131,C1287)</f>
        <v>0</v>
      </c>
    </row>
    <row r="1288" spans="1:4" x14ac:dyDescent="0.3">
      <c r="A1288">
        <v>13</v>
      </c>
      <c r="B1288" t="s">
        <v>73</v>
      </c>
      <c r="C1288">
        <v>99</v>
      </c>
      <c r="D1288">
        <f>COUNTIF(WeeklyPicks!$D$122:$F$131,C1288)</f>
        <v>0</v>
      </c>
    </row>
    <row r="1289" spans="1:4" x14ac:dyDescent="0.3">
      <c r="A1289">
        <v>14</v>
      </c>
      <c r="B1289" t="s">
        <v>76</v>
      </c>
      <c r="C1289">
        <v>1</v>
      </c>
      <c r="D1289">
        <f>COUNTIF(WeeklyPicks!$D$132:$F$141,C1289)</f>
        <v>0</v>
      </c>
    </row>
    <row r="1290" spans="1:4" x14ac:dyDescent="0.3">
      <c r="A1290">
        <v>14</v>
      </c>
      <c r="B1290" t="s">
        <v>76</v>
      </c>
      <c r="C1290">
        <v>2</v>
      </c>
      <c r="D1290">
        <f>COUNTIF(WeeklyPicks!$D$132:$F$141,C1290)</f>
        <v>0</v>
      </c>
    </row>
    <row r="1291" spans="1:4" x14ac:dyDescent="0.3">
      <c r="A1291">
        <v>14</v>
      </c>
      <c r="B1291" t="s">
        <v>76</v>
      </c>
      <c r="C1291">
        <v>3</v>
      </c>
      <c r="D1291">
        <f>COUNTIF(WeeklyPicks!$D$132:$F$141,C1291)</f>
        <v>0</v>
      </c>
    </row>
    <row r="1292" spans="1:4" x14ac:dyDescent="0.3">
      <c r="A1292">
        <v>14</v>
      </c>
      <c r="B1292" t="s">
        <v>76</v>
      </c>
      <c r="C1292">
        <v>4</v>
      </c>
      <c r="D1292">
        <f>COUNTIF(WeeklyPicks!$D$132:$F$141,C1292)</f>
        <v>0</v>
      </c>
    </row>
    <row r="1293" spans="1:4" x14ac:dyDescent="0.3">
      <c r="A1293">
        <v>14</v>
      </c>
      <c r="B1293" t="s">
        <v>76</v>
      </c>
      <c r="C1293">
        <v>5</v>
      </c>
      <c r="D1293">
        <f>COUNTIF(WeeklyPicks!$D$132:$F$141,C1293)</f>
        <v>0</v>
      </c>
    </row>
    <row r="1294" spans="1:4" x14ac:dyDescent="0.3">
      <c r="A1294">
        <v>14</v>
      </c>
      <c r="B1294" t="s">
        <v>76</v>
      </c>
      <c r="C1294">
        <v>6</v>
      </c>
      <c r="D1294">
        <f>COUNTIF(WeeklyPicks!$D$132:$F$141,C1294)</f>
        <v>0</v>
      </c>
    </row>
    <row r="1295" spans="1:4" x14ac:dyDescent="0.3">
      <c r="A1295">
        <v>14</v>
      </c>
      <c r="B1295" t="s">
        <v>76</v>
      </c>
      <c r="C1295">
        <v>7</v>
      </c>
      <c r="D1295">
        <f>COUNTIF(WeeklyPicks!$D$132:$F$141,C1295)</f>
        <v>0</v>
      </c>
    </row>
    <row r="1296" spans="1:4" x14ac:dyDescent="0.3">
      <c r="A1296">
        <v>14</v>
      </c>
      <c r="B1296" t="s">
        <v>76</v>
      </c>
      <c r="C1296">
        <v>8</v>
      </c>
      <c r="D1296">
        <f>COUNTIF(WeeklyPicks!$D$132:$F$141,C1296)</f>
        <v>0</v>
      </c>
    </row>
    <row r="1297" spans="1:4" x14ac:dyDescent="0.3">
      <c r="A1297">
        <v>14</v>
      </c>
      <c r="B1297" t="s">
        <v>76</v>
      </c>
      <c r="C1297">
        <v>9</v>
      </c>
      <c r="D1297">
        <f>COUNTIF(WeeklyPicks!$D$132:$F$141,C1297)</f>
        <v>0</v>
      </c>
    </row>
    <row r="1298" spans="1:4" x14ac:dyDescent="0.3">
      <c r="A1298">
        <v>14</v>
      </c>
      <c r="B1298" t="s">
        <v>76</v>
      </c>
      <c r="C1298">
        <v>10</v>
      </c>
      <c r="D1298">
        <f>COUNTIF(WeeklyPicks!$D$132:$F$141,C1298)</f>
        <v>0</v>
      </c>
    </row>
    <row r="1299" spans="1:4" x14ac:dyDescent="0.3">
      <c r="A1299">
        <v>14</v>
      </c>
      <c r="B1299" t="s">
        <v>76</v>
      </c>
      <c r="C1299">
        <v>11</v>
      </c>
      <c r="D1299">
        <f>COUNTIF(WeeklyPicks!$D$132:$F$141,C1299)</f>
        <v>0</v>
      </c>
    </row>
    <row r="1300" spans="1:4" x14ac:dyDescent="0.3">
      <c r="A1300">
        <v>14</v>
      </c>
      <c r="B1300" t="s">
        <v>76</v>
      </c>
      <c r="C1300">
        <v>12</v>
      </c>
      <c r="D1300">
        <f>COUNTIF(WeeklyPicks!$D$132:$F$141,C1300)</f>
        <v>0</v>
      </c>
    </row>
    <row r="1301" spans="1:4" x14ac:dyDescent="0.3">
      <c r="A1301">
        <v>14</v>
      </c>
      <c r="B1301" t="s">
        <v>76</v>
      </c>
      <c r="C1301">
        <v>13</v>
      </c>
      <c r="D1301">
        <f>COUNTIF(WeeklyPicks!$D$132:$F$141,C1301)</f>
        <v>0</v>
      </c>
    </row>
    <row r="1302" spans="1:4" x14ac:dyDescent="0.3">
      <c r="A1302">
        <v>14</v>
      </c>
      <c r="B1302" t="s">
        <v>76</v>
      </c>
      <c r="C1302">
        <v>14</v>
      </c>
      <c r="D1302">
        <f>COUNTIF(WeeklyPicks!$D$132:$F$141,C1302)</f>
        <v>0</v>
      </c>
    </row>
    <row r="1303" spans="1:4" x14ac:dyDescent="0.3">
      <c r="A1303">
        <v>14</v>
      </c>
      <c r="B1303" t="s">
        <v>76</v>
      </c>
      <c r="C1303">
        <v>15</v>
      </c>
      <c r="D1303">
        <f>COUNTIF(WeeklyPicks!$D$132:$F$141,C1303)</f>
        <v>0</v>
      </c>
    </row>
    <row r="1304" spans="1:4" x14ac:dyDescent="0.3">
      <c r="A1304">
        <v>14</v>
      </c>
      <c r="B1304" t="s">
        <v>76</v>
      </c>
      <c r="C1304">
        <v>16</v>
      </c>
      <c r="D1304">
        <f>COUNTIF(WeeklyPicks!$D$132:$F$141,C1304)</f>
        <v>0</v>
      </c>
    </row>
    <row r="1305" spans="1:4" x14ac:dyDescent="0.3">
      <c r="A1305">
        <v>14</v>
      </c>
      <c r="B1305" t="s">
        <v>76</v>
      </c>
      <c r="C1305">
        <v>17</v>
      </c>
      <c r="D1305">
        <f>COUNTIF(WeeklyPicks!$D$132:$F$141,C1305)</f>
        <v>0</v>
      </c>
    </row>
    <row r="1306" spans="1:4" x14ac:dyDescent="0.3">
      <c r="A1306">
        <v>14</v>
      </c>
      <c r="B1306" t="s">
        <v>76</v>
      </c>
      <c r="C1306">
        <v>18</v>
      </c>
      <c r="D1306">
        <f>COUNTIF(WeeklyPicks!$D$132:$F$141,C1306)</f>
        <v>0</v>
      </c>
    </row>
    <row r="1307" spans="1:4" x14ac:dyDescent="0.3">
      <c r="A1307">
        <v>14</v>
      </c>
      <c r="B1307" t="s">
        <v>76</v>
      </c>
      <c r="C1307">
        <v>19</v>
      </c>
      <c r="D1307">
        <f>COUNTIF(WeeklyPicks!$D$132:$F$141,C1307)</f>
        <v>0</v>
      </c>
    </row>
    <row r="1308" spans="1:4" x14ac:dyDescent="0.3">
      <c r="A1308">
        <v>14</v>
      </c>
      <c r="B1308" t="s">
        <v>76</v>
      </c>
      <c r="C1308">
        <v>20</v>
      </c>
      <c r="D1308">
        <f>COUNTIF(WeeklyPicks!$D$132:$F$141,C1308)</f>
        <v>0</v>
      </c>
    </row>
    <row r="1309" spans="1:4" x14ac:dyDescent="0.3">
      <c r="A1309">
        <v>14</v>
      </c>
      <c r="B1309" t="s">
        <v>76</v>
      </c>
      <c r="C1309">
        <v>21</v>
      </c>
      <c r="D1309">
        <f>COUNTIF(WeeklyPicks!$D$132:$F$141,C1309)</f>
        <v>0</v>
      </c>
    </row>
    <row r="1310" spans="1:4" x14ac:dyDescent="0.3">
      <c r="A1310">
        <v>14</v>
      </c>
      <c r="B1310" t="s">
        <v>76</v>
      </c>
      <c r="C1310">
        <v>22</v>
      </c>
      <c r="D1310">
        <f>COUNTIF(WeeklyPicks!$D$132:$F$141,C1310)</f>
        <v>0</v>
      </c>
    </row>
    <row r="1311" spans="1:4" x14ac:dyDescent="0.3">
      <c r="A1311">
        <v>14</v>
      </c>
      <c r="B1311" t="s">
        <v>76</v>
      </c>
      <c r="C1311">
        <v>23</v>
      </c>
      <c r="D1311">
        <f>COUNTIF(WeeklyPicks!$D$132:$F$141,C1311)</f>
        <v>0</v>
      </c>
    </row>
    <row r="1312" spans="1:4" x14ac:dyDescent="0.3">
      <c r="A1312">
        <v>14</v>
      </c>
      <c r="B1312" t="s">
        <v>76</v>
      </c>
      <c r="C1312">
        <v>24</v>
      </c>
      <c r="D1312">
        <f>COUNTIF(WeeklyPicks!$D$132:$F$141,C1312)</f>
        <v>0</v>
      </c>
    </row>
    <row r="1313" spans="1:4" x14ac:dyDescent="0.3">
      <c r="A1313">
        <v>14</v>
      </c>
      <c r="B1313" t="s">
        <v>76</v>
      </c>
      <c r="C1313">
        <v>25</v>
      </c>
      <c r="D1313">
        <f>COUNTIF(WeeklyPicks!$D$132:$F$141,C1313)</f>
        <v>0</v>
      </c>
    </row>
    <row r="1314" spans="1:4" x14ac:dyDescent="0.3">
      <c r="A1314">
        <v>14</v>
      </c>
      <c r="B1314" t="s">
        <v>76</v>
      </c>
      <c r="C1314">
        <v>26</v>
      </c>
      <c r="D1314">
        <f>COUNTIF(WeeklyPicks!$D$132:$F$141,C1314)</f>
        <v>0</v>
      </c>
    </row>
    <row r="1315" spans="1:4" x14ac:dyDescent="0.3">
      <c r="A1315">
        <v>14</v>
      </c>
      <c r="B1315" t="s">
        <v>76</v>
      </c>
      <c r="C1315">
        <v>27</v>
      </c>
      <c r="D1315">
        <f>COUNTIF(WeeklyPicks!$D$132:$F$141,C1315)</f>
        <v>0</v>
      </c>
    </row>
    <row r="1316" spans="1:4" x14ac:dyDescent="0.3">
      <c r="A1316">
        <v>14</v>
      </c>
      <c r="B1316" t="s">
        <v>76</v>
      </c>
      <c r="C1316">
        <v>28</v>
      </c>
      <c r="D1316">
        <f>COUNTIF(WeeklyPicks!$D$132:$F$141,C1316)</f>
        <v>0</v>
      </c>
    </row>
    <row r="1317" spans="1:4" x14ac:dyDescent="0.3">
      <c r="A1317">
        <v>14</v>
      </c>
      <c r="B1317" t="s">
        <v>76</v>
      </c>
      <c r="C1317">
        <v>29</v>
      </c>
      <c r="D1317">
        <f>COUNTIF(WeeklyPicks!$D$132:$F$141,C1317)</f>
        <v>0</v>
      </c>
    </row>
    <row r="1318" spans="1:4" x14ac:dyDescent="0.3">
      <c r="A1318">
        <v>14</v>
      </c>
      <c r="B1318" t="s">
        <v>76</v>
      </c>
      <c r="C1318">
        <v>30</v>
      </c>
      <c r="D1318">
        <f>COUNTIF(WeeklyPicks!$D$132:$F$141,C1318)</f>
        <v>0</v>
      </c>
    </row>
    <row r="1319" spans="1:4" x14ac:dyDescent="0.3">
      <c r="A1319">
        <v>14</v>
      </c>
      <c r="B1319" t="s">
        <v>76</v>
      </c>
      <c r="C1319">
        <v>31</v>
      </c>
      <c r="D1319">
        <f>COUNTIF(WeeklyPicks!$D$132:$F$141,C1319)</f>
        <v>0</v>
      </c>
    </row>
    <row r="1320" spans="1:4" x14ac:dyDescent="0.3">
      <c r="A1320">
        <v>14</v>
      </c>
      <c r="B1320" t="s">
        <v>76</v>
      </c>
      <c r="C1320">
        <v>32</v>
      </c>
      <c r="D1320">
        <f>COUNTIF(WeeklyPicks!$D$132:$F$141,C1320)</f>
        <v>0</v>
      </c>
    </row>
    <row r="1321" spans="1:4" x14ac:dyDescent="0.3">
      <c r="A1321">
        <v>14</v>
      </c>
      <c r="B1321" t="s">
        <v>76</v>
      </c>
      <c r="C1321">
        <v>33</v>
      </c>
      <c r="D1321">
        <f>COUNTIF(WeeklyPicks!$D$132:$F$141,C1321)</f>
        <v>0</v>
      </c>
    </row>
    <row r="1322" spans="1:4" x14ac:dyDescent="0.3">
      <c r="A1322">
        <v>14</v>
      </c>
      <c r="B1322" t="s">
        <v>76</v>
      </c>
      <c r="C1322">
        <v>34</v>
      </c>
      <c r="D1322">
        <f>COUNTIF(WeeklyPicks!$D$132:$F$141,C1322)</f>
        <v>0</v>
      </c>
    </row>
    <row r="1323" spans="1:4" x14ac:dyDescent="0.3">
      <c r="A1323">
        <v>14</v>
      </c>
      <c r="B1323" t="s">
        <v>76</v>
      </c>
      <c r="C1323">
        <v>35</v>
      </c>
      <c r="D1323">
        <f>COUNTIF(WeeklyPicks!$D$132:$F$141,C1323)</f>
        <v>0</v>
      </c>
    </row>
    <row r="1324" spans="1:4" x14ac:dyDescent="0.3">
      <c r="A1324">
        <v>14</v>
      </c>
      <c r="B1324" t="s">
        <v>76</v>
      </c>
      <c r="C1324">
        <v>36</v>
      </c>
      <c r="D1324">
        <f>COUNTIF(WeeklyPicks!$D$132:$F$141,C1324)</f>
        <v>0</v>
      </c>
    </row>
    <row r="1325" spans="1:4" x14ac:dyDescent="0.3">
      <c r="A1325">
        <v>14</v>
      </c>
      <c r="B1325" t="s">
        <v>76</v>
      </c>
      <c r="C1325">
        <v>37</v>
      </c>
      <c r="D1325">
        <f>COUNTIF(WeeklyPicks!$D$132:$F$141,C1325)</f>
        <v>0</v>
      </c>
    </row>
    <row r="1326" spans="1:4" x14ac:dyDescent="0.3">
      <c r="A1326">
        <v>14</v>
      </c>
      <c r="B1326" t="s">
        <v>76</v>
      </c>
      <c r="C1326">
        <v>38</v>
      </c>
      <c r="D1326">
        <f>COUNTIF(WeeklyPicks!$D$132:$F$141,C1326)</f>
        <v>0</v>
      </c>
    </row>
    <row r="1327" spans="1:4" x14ac:dyDescent="0.3">
      <c r="A1327">
        <v>14</v>
      </c>
      <c r="B1327" t="s">
        <v>76</v>
      </c>
      <c r="C1327">
        <v>39</v>
      </c>
      <c r="D1327">
        <f>COUNTIF(WeeklyPicks!$D$132:$F$141,C1327)</f>
        <v>0</v>
      </c>
    </row>
    <row r="1328" spans="1:4" x14ac:dyDescent="0.3">
      <c r="A1328">
        <v>14</v>
      </c>
      <c r="B1328" t="s">
        <v>76</v>
      </c>
      <c r="C1328">
        <v>40</v>
      </c>
      <c r="D1328">
        <f>COUNTIF(WeeklyPicks!$D$132:$F$141,C1328)</f>
        <v>0</v>
      </c>
    </row>
    <row r="1329" spans="1:4" x14ac:dyDescent="0.3">
      <c r="A1329">
        <v>14</v>
      </c>
      <c r="B1329" t="s">
        <v>76</v>
      </c>
      <c r="C1329">
        <v>41</v>
      </c>
      <c r="D1329">
        <f>COUNTIF(WeeklyPicks!$D$132:$F$141,C1329)</f>
        <v>0</v>
      </c>
    </row>
    <row r="1330" spans="1:4" x14ac:dyDescent="0.3">
      <c r="A1330">
        <v>14</v>
      </c>
      <c r="B1330" t="s">
        <v>76</v>
      </c>
      <c r="C1330">
        <v>42</v>
      </c>
      <c r="D1330">
        <f>COUNTIF(WeeklyPicks!$D$132:$F$141,C1330)</f>
        <v>0</v>
      </c>
    </row>
    <row r="1331" spans="1:4" x14ac:dyDescent="0.3">
      <c r="A1331">
        <v>14</v>
      </c>
      <c r="B1331" t="s">
        <v>76</v>
      </c>
      <c r="C1331">
        <v>43</v>
      </c>
      <c r="D1331">
        <f>COUNTIF(WeeklyPicks!$D$132:$F$141,C1331)</f>
        <v>0</v>
      </c>
    </row>
    <row r="1332" spans="1:4" x14ac:dyDescent="0.3">
      <c r="A1332">
        <v>14</v>
      </c>
      <c r="B1332" t="s">
        <v>76</v>
      </c>
      <c r="C1332">
        <v>44</v>
      </c>
      <c r="D1332">
        <f>COUNTIF(WeeklyPicks!$D$132:$F$141,C1332)</f>
        <v>0</v>
      </c>
    </row>
    <row r="1333" spans="1:4" x14ac:dyDescent="0.3">
      <c r="A1333">
        <v>14</v>
      </c>
      <c r="B1333" t="s">
        <v>76</v>
      </c>
      <c r="C1333">
        <v>45</v>
      </c>
      <c r="D1333">
        <f>COUNTIF(WeeklyPicks!$D$132:$F$141,C1333)</f>
        <v>0</v>
      </c>
    </row>
    <row r="1334" spans="1:4" x14ac:dyDescent="0.3">
      <c r="A1334">
        <v>14</v>
      </c>
      <c r="B1334" t="s">
        <v>76</v>
      </c>
      <c r="C1334">
        <v>46</v>
      </c>
      <c r="D1334">
        <f>COUNTIF(WeeklyPicks!$D$132:$F$141,C1334)</f>
        <v>0</v>
      </c>
    </row>
    <row r="1335" spans="1:4" x14ac:dyDescent="0.3">
      <c r="A1335">
        <v>14</v>
      </c>
      <c r="B1335" t="s">
        <v>76</v>
      </c>
      <c r="C1335">
        <v>47</v>
      </c>
      <c r="D1335">
        <f>COUNTIF(WeeklyPicks!$D$132:$F$141,C1335)</f>
        <v>0</v>
      </c>
    </row>
    <row r="1336" spans="1:4" x14ac:dyDescent="0.3">
      <c r="A1336">
        <v>14</v>
      </c>
      <c r="B1336" t="s">
        <v>76</v>
      </c>
      <c r="C1336">
        <v>48</v>
      </c>
      <c r="D1336">
        <f>COUNTIF(WeeklyPicks!$D$132:$F$141,C1336)</f>
        <v>0</v>
      </c>
    </row>
    <row r="1337" spans="1:4" x14ac:dyDescent="0.3">
      <c r="A1337">
        <v>14</v>
      </c>
      <c r="B1337" t="s">
        <v>76</v>
      </c>
      <c r="C1337">
        <v>49</v>
      </c>
      <c r="D1337">
        <f>COUNTIF(WeeklyPicks!$D$132:$F$141,C1337)</f>
        <v>0</v>
      </c>
    </row>
    <row r="1338" spans="1:4" x14ac:dyDescent="0.3">
      <c r="A1338">
        <v>14</v>
      </c>
      <c r="B1338" t="s">
        <v>76</v>
      </c>
      <c r="C1338">
        <v>50</v>
      </c>
      <c r="D1338">
        <f>COUNTIF(WeeklyPicks!$D$132:$F$141,C1338)</f>
        <v>0</v>
      </c>
    </row>
    <row r="1339" spans="1:4" x14ac:dyDescent="0.3">
      <c r="A1339">
        <v>14</v>
      </c>
      <c r="B1339" t="s">
        <v>76</v>
      </c>
      <c r="C1339">
        <v>51</v>
      </c>
      <c r="D1339">
        <f>COUNTIF(WeeklyPicks!$D$132:$F$141,C1339)</f>
        <v>0</v>
      </c>
    </row>
    <row r="1340" spans="1:4" x14ac:dyDescent="0.3">
      <c r="A1340">
        <v>14</v>
      </c>
      <c r="B1340" t="s">
        <v>76</v>
      </c>
      <c r="C1340">
        <v>52</v>
      </c>
      <c r="D1340">
        <f>COUNTIF(WeeklyPicks!$D$132:$F$141,C1340)</f>
        <v>0</v>
      </c>
    </row>
    <row r="1341" spans="1:4" x14ac:dyDescent="0.3">
      <c r="A1341">
        <v>14</v>
      </c>
      <c r="B1341" t="s">
        <v>76</v>
      </c>
      <c r="C1341">
        <v>53</v>
      </c>
      <c r="D1341">
        <f>COUNTIF(WeeklyPicks!$D$132:$F$141,C1341)</f>
        <v>0</v>
      </c>
    </row>
    <row r="1342" spans="1:4" x14ac:dyDescent="0.3">
      <c r="A1342">
        <v>14</v>
      </c>
      <c r="B1342" t="s">
        <v>76</v>
      </c>
      <c r="C1342">
        <v>54</v>
      </c>
      <c r="D1342">
        <f>COUNTIF(WeeklyPicks!$D$132:$F$141,C1342)</f>
        <v>0</v>
      </c>
    </row>
    <row r="1343" spans="1:4" x14ac:dyDescent="0.3">
      <c r="A1343">
        <v>14</v>
      </c>
      <c r="B1343" t="s">
        <v>76</v>
      </c>
      <c r="C1343">
        <v>55</v>
      </c>
      <c r="D1343">
        <f>COUNTIF(WeeklyPicks!$D$132:$F$141,C1343)</f>
        <v>0</v>
      </c>
    </row>
    <row r="1344" spans="1:4" x14ac:dyDescent="0.3">
      <c r="A1344">
        <v>14</v>
      </c>
      <c r="B1344" t="s">
        <v>76</v>
      </c>
      <c r="C1344">
        <v>56</v>
      </c>
      <c r="D1344">
        <f>COUNTIF(WeeklyPicks!$D$132:$F$141,C1344)</f>
        <v>0</v>
      </c>
    </row>
    <row r="1345" spans="1:4" x14ac:dyDescent="0.3">
      <c r="A1345">
        <v>14</v>
      </c>
      <c r="B1345" t="s">
        <v>76</v>
      </c>
      <c r="C1345">
        <v>57</v>
      </c>
      <c r="D1345">
        <f>COUNTIF(WeeklyPicks!$D$132:$F$141,C1345)</f>
        <v>0</v>
      </c>
    </row>
    <row r="1346" spans="1:4" x14ac:dyDescent="0.3">
      <c r="A1346">
        <v>14</v>
      </c>
      <c r="B1346" t="s">
        <v>76</v>
      </c>
      <c r="C1346">
        <v>58</v>
      </c>
      <c r="D1346">
        <f>COUNTIF(WeeklyPicks!$D$132:$F$141,C1346)</f>
        <v>0</v>
      </c>
    </row>
    <row r="1347" spans="1:4" x14ac:dyDescent="0.3">
      <c r="A1347">
        <v>14</v>
      </c>
      <c r="B1347" t="s">
        <v>76</v>
      </c>
      <c r="C1347">
        <v>59</v>
      </c>
      <c r="D1347">
        <f>COUNTIF(WeeklyPicks!$D$132:$F$141,C1347)</f>
        <v>0</v>
      </c>
    </row>
    <row r="1348" spans="1:4" x14ac:dyDescent="0.3">
      <c r="A1348">
        <v>14</v>
      </c>
      <c r="B1348" t="s">
        <v>76</v>
      </c>
      <c r="C1348">
        <v>60</v>
      </c>
      <c r="D1348">
        <f>COUNTIF(WeeklyPicks!$D$132:$F$141,C1348)</f>
        <v>0</v>
      </c>
    </row>
    <row r="1349" spans="1:4" x14ac:dyDescent="0.3">
      <c r="A1349">
        <v>14</v>
      </c>
      <c r="B1349" t="s">
        <v>76</v>
      </c>
      <c r="C1349">
        <v>61</v>
      </c>
      <c r="D1349">
        <f>COUNTIF(WeeklyPicks!$D$132:$F$141,C1349)</f>
        <v>0</v>
      </c>
    </row>
    <row r="1350" spans="1:4" x14ac:dyDescent="0.3">
      <c r="A1350">
        <v>14</v>
      </c>
      <c r="B1350" t="s">
        <v>76</v>
      </c>
      <c r="C1350">
        <v>62</v>
      </c>
      <c r="D1350">
        <f>COUNTIF(WeeklyPicks!$D$132:$F$141,C1350)</f>
        <v>0</v>
      </c>
    </row>
    <row r="1351" spans="1:4" x14ac:dyDescent="0.3">
      <c r="A1351">
        <v>14</v>
      </c>
      <c r="B1351" t="s">
        <v>76</v>
      </c>
      <c r="C1351">
        <v>63</v>
      </c>
      <c r="D1351">
        <f>COUNTIF(WeeklyPicks!$D$132:$F$141,C1351)</f>
        <v>0</v>
      </c>
    </row>
    <row r="1352" spans="1:4" x14ac:dyDescent="0.3">
      <c r="A1352">
        <v>14</v>
      </c>
      <c r="B1352" t="s">
        <v>76</v>
      </c>
      <c r="C1352">
        <v>64</v>
      </c>
      <c r="D1352">
        <f>COUNTIF(WeeklyPicks!$D$132:$F$141,C1352)</f>
        <v>0</v>
      </c>
    </row>
    <row r="1353" spans="1:4" x14ac:dyDescent="0.3">
      <c r="A1353">
        <v>14</v>
      </c>
      <c r="B1353" t="s">
        <v>76</v>
      </c>
      <c r="C1353">
        <v>65</v>
      </c>
      <c r="D1353">
        <f>COUNTIF(WeeklyPicks!$D$132:$F$141,C1353)</f>
        <v>0</v>
      </c>
    </row>
    <row r="1354" spans="1:4" x14ac:dyDescent="0.3">
      <c r="A1354">
        <v>14</v>
      </c>
      <c r="B1354" t="s">
        <v>76</v>
      </c>
      <c r="C1354">
        <v>66</v>
      </c>
      <c r="D1354">
        <f>COUNTIF(WeeklyPicks!$D$132:$F$141,C1354)</f>
        <v>0</v>
      </c>
    </row>
    <row r="1355" spans="1:4" x14ac:dyDescent="0.3">
      <c r="A1355">
        <v>14</v>
      </c>
      <c r="B1355" t="s">
        <v>76</v>
      </c>
      <c r="C1355">
        <v>67</v>
      </c>
      <c r="D1355">
        <f>COUNTIF(WeeklyPicks!$D$132:$F$141,C1355)</f>
        <v>0</v>
      </c>
    </row>
    <row r="1356" spans="1:4" x14ac:dyDescent="0.3">
      <c r="A1356">
        <v>14</v>
      </c>
      <c r="B1356" t="s">
        <v>76</v>
      </c>
      <c r="C1356">
        <v>68</v>
      </c>
      <c r="D1356">
        <f>COUNTIF(WeeklyPicks!$D$132:$F$141,C1356)</f>
        <v>0</v>
      </c>
    </row>
    <row r="1357" spans="1:4" x14ac:dyDescent="0.3">
      <c r="A1357">
        <v>14</v>
      </c>
      <c r="B1357" t="s">
        <v>76</v>
      </c>
      <c r="C1357">
        <v>69</v>
      </c>
      <c r="D1357">
        <f>COUNTIF(WeeklyPicks!$D$132:$F$141,C1357)</f>
        <v>0</v>
      </c>
    </row>
    <row r="1358" spans="1:4" x14ac:dyDescent="0.3">
      <c r="A1358">
        <v>14</v>
      </c>
      <c r="B1358" t="s">
        <v>76</v>
      </c>
      <c r="C1358">
        <v>70</v>
      </c>
      <c r="D1358">
        <f>COUNTIF(WeeklyPicks!$D$132:$F$141,C1358)</f>
        <v>0</v>
      </c>
    </row>
    <row r="1359" spans="1:4" x14ac:dyDescent="0.3">
      <c r="A1359">
        <v>14</v>
      </c>
      <c r="B1359" t="s">
        <v>76</v>
      </c>
      <c r="C1359">
        <v>71</v>
      </c>
      <c r="D1359">
        <f>COUNTIF(WeeklyPicks!$D$132:$F$141,C1359)</f>
        <v>0</v>
      </c>
    </row>
    <row r="1360" spans="1:4" x14ac:dyDescent="0.3">
      <c r="A1360">
        <v>14</v>
      </c>
      <c r="B1360" t="s">
        <v>76</v>
      </c>
      <c r="C1360">
        <v>72</v>
      </c>
      <c r="D1360">
        <f>COUNTIF(WeeklyPicks!$D$132:$F$141,C1360)</f>
        <v>0</v>
      </c>
    </row>
    <row r="1361" spans="1:4" x14ac:dyDescent="0.3">
      <c r="A1361">
        <v>14</v>
      </c>
      <c r="B1361" t="s">
        <v>76</v>
      </c>
      <c r="C1361">
        <v>73</v>
      </c>
      <c r="D1361">
        <f>COUNTIF(WeeklyPicks!$D$132:$F$141,C1361)</f>
        <v>0</v>
      </c>
    </row>
    <row r="1362" spans="1:4" x14ac:dyDescent="0.3">
      <c r="A1362">
        <v>14</v>
      </c>
      <c r="B1362" t="s">
        <v>76</v>
      </c>
      <c r="C1362">
        <v>74</v>
      </c>
      <c r="D1362">
        <f>COUNTIF(WeeklyPicks!$D$132:$F$141,C1362)</f>
        <v>0</v>
      </c>
    </row>
    <row r="1363" spans="1:4" x14ac:dyDescent="0.3">
      <c r="A1363">
        <v>14</v>
      </c>
      <c r="B1363" t="s">
        <v>76</v>
      </c>
      <c r="C1363">
        <v>75</v>
      </c>
      <c r="D1363">
        <f>COUNTIF(WeeklyPicks!$D$132:$F$141,C1363)</f>
        <v>0</v>
      </c>
    </row>
    <row r="1364" spans="1:4" x14ac:dyDescent="0.3">
      <c r="A1364">
        <v>14</v>
      </c>
      <c r="B1364" t="s">
        <v>76</v>
      </c>
      <c r="C1364">
        <v>76</v>
      </c>
      <c r="D1364">
        <f>COUNTIF(WeeklyPicks!$D$132:$F$141,C1364)</f>
        <v>0</v>
      </c>
    </row>
    <row r="1365" spans="1:4" x14ac:dyDescent="0.3">
      <c r="A1365">
        <v>14</v>
      </c>
      <c r="B1365" t="s">
        <v>76</v>
      </c>
      <c r="C1365">
        <v>77</v>
      </c>
      <c r="D1365">
        <f>COUNTIF(WeeklyPicks!$D$132:$F$141,C1365)</f>
        <v>0</v>
      </c>
    </row>
    <row r="1366" spans="1:4" x14ac:dyDescent="0.3">
      <c r="A1366">
        <v>14</v>
      </c>
      <c r="B1366" t="s">
        <v>76</v>
      </c>
      <c r="C1366">
        <v>78</v>
      </c>
      <c r="D1366">
        <f>COUNTIF(WeeklyPicks!$D$132:$F$141,C1366)</f>
        <v>0</v>
      </c>
    </row>
    <row r="1367" spans="1:4" x14ac:dyDescent="0.3">
      <c r="A1367">
        <v>14</v>
      </c>
      <c r="B1367" t="s">
        <v>76</v>
      </c>
      <c r="C1367">
        <v>79</v>
      </c>
      <c r="D1367">
        <f>COUNTIF(WeeklyPicks!$D$132:$F$141,C1367)</f>
        <v>0</v>
      </c>
    </row>
    <row r="1368" spans="1:4" x14ac:dyDescent="0.3">
      <c r="A1368">
        <v>14</v>
      </c>
      <c r="B1368" t="s">
        <v>76</v>
      </c>
      <c r="C1368">
        <v>80</v>
      </c>
      <c r="D1368">
        <f>COUNTIF(WeeklyPicks!$D$132:$F$141,C1368)</f>
        <v>0</v>
      </c>
    </row>
    <row r="1369" spans="1:4" x14ac:dyDescent="0.3">
      <c r="A1369">
        <v>14</v>
      </c>
      <c r="B1369" t="s">
        <v>76</v>
      </c>
      <c r="C1369">
        <v>81</v>
      </c>
      <c r="D1369">
        <f>COUNTIF(WeeklyPicks!$D$132:$F$141,C1369)</f>
        <v>0</v>
      </c>
    </row>
    <row r="1370" spans="1:4" x14ac:dyDescent="0.3">
      <c r="A1370">
        <v>14</v>
      </c>
      <c r="B1370" t="s">
        <v>76</v>
      </c>
      <c r="C1370">
        <v>82</v>
      </c>
      <c r="D1370">
        <f>COUNTIF(WeeklyPicks!$D$132:$F$141,C1370)</f>
        <v>0</v>
      </c>
    </row>
    <row r="1371" spans="1:4" x14ac:dyDescent="0.3">
      <c r="A1371">
        <v>14</v>
      </c>
      <c r="B1371" t="s">
        <v>76</v>
      </c>
      <c r="C1371">
        <v>83</v>
      </c>
      <c r="D1371">
        <f>COUNTIF(WeeklyPicks!$D$132:$F$141,C1371)</f>
        <v>0</v>
      </c>
    </row>
    <row r="1372" spans="1:4" x14ac:dyDescent="0.3">
      <c r="A1372">
        <v>14</v>
      </c>
      <c r="B1372" t="s">
        <v>76</v>
      </c>
      <c r="C1372">
        <v>84</v>
      </c>
      <c r="D1372">
        <f>COUNTIF(WeeklyPicks!$D$132:$F$141,C1372)</f>
        <v>0</v>
      </c>
    </row>
    <row r="1373" spans="1:4" x14ac:dyDescent="0.3">
      <c r="A1373">
        <v>14</v>
      </c>
      <c r="B1373" t="s">
        <v>76</v>
      </c>
      <c r="C1373">
        <v>85</v>
      </c>
      <c r="D1373">
        <f>COUNTIF(WeeklyPicks!$D$132:$F$141,C1373)</f>
        <v>0</v>
      </c>
    </row>
    <row r="1374" spans="1:4" x14ac:dyDescent="0.3">
      <c r="A1374">
        <v>14</v>
      </c>
      <c r="B1374" t="s">
        <v>76</v>
      </c>
      <c r="C1374">
        <v>86</v>
      </c>
      <c r="D1374">
        <f>COUNTIF(WeeklyPicks!$D$132:$F$141,C1374)</f>
        <v>0</v>
      </c>
    </row>
    <row r="1375" spans="1:4" x14ac:dyDescent="0.3">
      <c r="A1375">
        <v>14</v>
      </c>
      <c r="B1375" t="s">
        <v>76</v>
      </c>
      <c r="C1375">
        <v>87</v>
      </c>
      <c r="D1375">
        <f>COUNTIF(WeeklyPicks!$D$132:$F$141,C1375)</f>
        <v>0</v>
      </c>
    </row>
    <row r="1376" spans="1:4" x14ac:dyDescent="0.3">
      <c r="A1376">
        <v>14</v>
      </c>
      <c r="B1376" t="s">
        <v>76</v>
      </c>
      <c r="C1376">
        <v>88</v>
      </c>
      <c r="D1376">
        <f>COUNTIF(WeeklyPicks!$D$132:$F$141,C1376)</f>
        <v>0</v>
      </c>
    </row>
    <row r="1377" spans="1:4" x14ac:dyDescent="0.3">
      <c r="A1377">
        <v>14</v>
      </c>
      <c r="B1377" t="s">
        <v>76</v>
      </c>
      <c r="C1377">
        <v>89</v>
      </c>
      <c r="D1377">
        <f>COUNTIF(WeeklyPicks!$D$132:$F$141,C1377)</f>
        <v>0</v>
      </c>
    </row>
    <row r="1378" spans="1:4" x14ac:dyDescent="0.3">
      <c r="A1378">
        <v>14</v>
      </c>
      <c r="B1378" t="s">
        <v>76</v>
      </c>
      <c r="C1378">
        <v>90</v>
      </c>
      <c r="D1378">
        <f>COUNTIF(WeeklyPicks!$D$132:$F$141,C1378)</f>
        <v>0</v>
      </c>
    </row>
    <row r="1379" spans="1:4" x14ac:dyDescent="0.3">
      <c r="A1379">
        <v>14</v>
      </c>
      <c r="B1379" t="s">
        <v>76</v>
      </c>
      <c r="C1379">
        <v>91</v>
      </c>
      <c r="D1379">
        <f>COUNTIF(WeeklyPicks!$D$132:$F$141,C1379)</f>
        <v>0</v>
      </c>
    </row>
    <row r="1380" spans="1:4" x14ac:dyDescent="0.3">
      <c r="A1380">
        <v>14</v>
      </c>
      <c r="B1380" t="s">
        <v>76</v>
      </c>
      <c r="C1380">
        <v>92</v>
      </c>
      <c r="D1380">
        <f>COUNTIF(WeeklyPicks!$D$132:$F$141,C1380)</f>
        <v>0</v>
      </c>
    </row>
    <row r="1381" spans="1:4" x14ac:dyDescent="0.3">
      <c r="A1381">
        <v>14</v>
      </c>
      <c r="B1381" t="s">
        <v>76</v>
      </c>
      <c r="C1381">
        <v>93</v>
      </c>
      <c r="D1381">
        <f>COUNTIF(WeeklyPicks!$D$132:$F$141,C1381)</f>
        <v>0</v>
      </c>
    </row>
    <row r="1382" spans="1:4" x14ac:dyDescent="0.3">
      <c r="A1382">
        <v>14</v>
      </c>
      <c r="B1382" t="s">
        <v>76</v>
      </c>
      <c r="C1382">
        <v>94</v>
      </c>
      <c r="D1382">
        <f>COUNTIF(WeeklyPicks!$D$132:$F$141,C1382)</f>
        <v>0</v>
      </c>
    </row>
    <row r="1383" spans="1:4" x14ac:dyDescent="0.3">
      <c r="A1383">
        <v>14</v>
      </c>
      <c r="B1383" t="s">
        <v>76</v>
      </c>
      <c r="C1383">
        <v>95</v>
      </c>
      <c r="D1383">
        <f>COUNTIF(WeeklyPicks!$D$132:$F$141,C1383)</f>
        <v>0</v>
      </c>
    </row>
    <row r="1384" spans="1:4" x14ac:dyDescent="0.3">
      <c r="A1384">
        <v>14</v>
      </c>
      <c r="B1384" t="s">
        <v>76</v>
      </c>
      <c r="C1384">
        <v>96</v>
      </c>
      <c r="D1384">
        <f>COUNTIF(WeeklyPicks!$D$132:$F$141,C1384)</f>
        <v>0</v>
      </c>
    </row>
    <row r="1385" spans="1:4" x14ac:dyDescent="0.3">
      <c r="A1385">
        <v>14</v>
      </c>
      <c r="B1385" t="s">
        <v>76</v>
      </c>
      <c r="C1385">
        <v>97</v>
      </c>
      <c r="D1385">
        <f>COUNTIF(WeeklyPicks!$D$132:$F$141,C1385)</f>
        <v>0</v>
      </c>
    </row>
    <row r="1386" spans="1:4" x14ac:dyDescent="0.3">
      <c r="A1386">
        <v>14</v>
      </c>
      <c r="B1386" t="s">
        <v>76</v>
      </c>
      <c r="C1386">
        <v>98</v>
      </c>
      <c r="D1386">
        <f>COUNTIF(WeeklyPicks!$D$132:$F$141,C1386)</f>
        <v>0</v>
      </c>
    </row>
    <row r="1387" spans="1:4" x14ac:dyDescent="0.3">
      <c r="A1387">
        <v>14</v>
      </c>
      <c r="B1387" t="s">
        <v>76</v>
      </c>
      <c r="C1387">
        <v>99</v>
      </c>
      <c r="D1387">
        <f>COUNTIF(WeeklyPicks!$D$132:$F$141,C1387)</f>
        <v>0</v>
      </c>
    </row>
    <row r="1388" spans="1:4" x14ac:dyDescent="0.3">
      <c r="A1388">
        <v>15</v>
      </c>
      <c r="B1388" t="s">
        <v>78</v>
      </c>
      <c r="C1388">
        <v>1</v>
      </c>
      <c r="D1388">
        <f>COUNTIF(WeeklyPicks!$D$142:$F$151,C1388)</f>
        <v>0</v>
      </c>
    </row>
    <row r="1389" spans="1:4" x14ac:dyDescent="0.3">
      <c r="A1389">
        <v>15</v>
      </c>
      <c r="B1389" t="s">
        <v>78</v>
      </c>
      <c r="C1389">
        <v>2</v>
      </c>
      <c r="D1389">
        <f>COUNTIF(WeeklyPicks!$D$142:$F$151,C1389)</f>
        <v>0</v>
      </c>
    </row>
    <row r="1390" spans="1:4" x14ac:dyDescent="0.3">
      <c r="A1390">
        <v>15</v>
      </c>
      <c r="B1390" t="s">
        <v>78</v>
      </c>
      <c r="C1390">
        <v>3</v>
      </c>
      <c r="D1390">
        <f>COUNTIF(WeeklyPicks!$D$142:$F$151,C1390)</f>
        <v>0</v>
      </c>
    </row>
    <row r="1391" spans="1:4" x14ac:dyDescent="0.3">
      <c r="A1391">
        <v>15</v>
      </c>
      <c r="B1391" t="s">
        <v>78</v>
      </c>
      <c r="C1391">
        <v>4</v>
      </c>
      <c r="D1391">
        <f>COUNTIF(WeeklyPicks!$D$142:$F$151,C1391)</f>
        <v>0</v>
      </c>
    </row>
    <row r="1392" spans="1:4" x14ac:dyDescent="0.3">
      <c r="A1392">
        <v>15</v>
      </c>
      <c r="B1392" t="s">
        <v>78</v>
      </c>
      <c r="C1392">
        <v>5</v>
      </c>
      <c r="D1392">
        <f>COUNTIF(WeeklyPicks!$D$142:$F$151,C1392)</f>
        <v>0</v>
      </c>
    </row>
    <row r="1393" spans="1:4" x14ac:dyDescent="0.3">
      <c r="A1393">
        <v>15</v>
      </c>
      <c r="B1393" t="s">
        <v>78</v>
      </c>
      <c r="C1393">
        <v>6</v>
      </c>
      <c r="D1393">
        <f>COUNTIF(WeeklyPicks!$D$142:$F$151,C1393)</f>
        <v>0</v>
      </c>
    </row>
    <row r="1394" spans="1:4" x14ac:dyDescent="0.3">
      <c r="A1394">
        <v>15</v>
      </c>
      <c r="B1394" t="s">
        <v>78</v>
      </c>
      <c r="C1394">
        <v>7</v>
      </c>
      <c r="D1394">
        <f>COUNTIF(WeeklyPicks!$D$142:$F$151,C1394)</f>
        <v>0</v>
      </c>
    </row>
    <row r="1395" spans="1:4" x14ac:dyDescent="0.3">
      <c r="A1395">
        <v>15</v>
      </c>
      <c r="B1395" t="s">
        <v>78</v>
      </c>
      <c r="C1395">
        <v>8</v>
      </c>
      <c r="D1395">
        <f>COUNTIF(WeeklyPicks!$D$142:$F$151,C1395)</f>
        <v>0</v>
      </c>
    </row>
    <row r="1396" spans="1:4" x14ac:dyDescent="0.3">
      <c r="A1396">
        <v>15</v>
      </c>
      <c r="B1396" t="s">
        <v>78</v>
      </c>
      <c r="C1396">
        <v>9</v>
      </c>
      <c r="D1396">
        <f>COUNTIF(WeeklyPicks!$D$142:$F$151,C1396)</f>
        <v>0</v>
      </c>
    </row>
    <row r="1397" spans="1:4" x14ac:dyDescent="0.3">
      <c r="A1397">
        <v>15</v>
      </c>
      <c r="B1397" t="s">
        <v>78</v>
      </c>
      <c r="C1397">
        <v>10</v>
      </c>
      <c r="D1397">
        <f>COUNTIF(WeeklyPicks!$D$142:$F$151,C1397)</f>
        <v>0</v>
      </c>
    </row>
    <row r="1398" spans="1:4" x14ac:dyDescent="0.3">
      <c r="A1398">
        <v>15</v>
      </c>
      <c r="B1398" t="s">
        <v>78</v>
      </c>
      <c r="C1398">
        <v>11</v>
      </c>
      <c r="D1398">
        <f>COUNTIF(WeeklyPicks!$D$142:$F$151,C1398)</f>
        <v>0</v>
      </c>
    </row>
    <row r="1399" spans="1:4" x14ac:dyDescent="0.3">
      <c r="A1399">
        <v>15</v>
      </c>
      <c r="B1399" t="s">
        <v>78</v>
      </c>
      <c r="C1399">
        <v>12</v>
      </c>
      <c r="D1399">
        <f>COUNTIF(WeeklyPicks!$D$142:$F$151,C1399)</f>
        <v>0</v>
      </c>
    </row>
    <row r="1400" spans="1:4" x14ac:dyDescent="0.3">
      <c r="A1400">
        <v>15</v>
      </c>
      <c r="B1400" t="s">
        <v>78</v>
      </c>
      <c r="C1400">
        <v>13</v>
      </c>
      <c r="D1400">
        <f>COUNTIF(WeeklyPicks!$D$142:$F$151,C1400)</f>
        <v>0</v>
      </c>
    </row>
    <row r="1401" spans="1:4" x14ac:dyDescent="0.3">
      <c r="A1401">
        <v>15</v>
      </c>
      <c r="B1401" t="s">
        <v>78</v>
      </c>
      <c r="C1401">
        <v>14</v>
      </c>
      <c r="D1401">
        <f>COUNTIF(WeeklyPicks!$D$142:$F$151,C1401)</f>
        <v>0</v>
      </c>
    </row>
    <row r="1402" spans="1:4" x14ac:dyDescent="0.3">
      <c r="A1402">
        <v>15</v>
      </c>
      <c r="B1402" t="s">
        <v>78</v>
      </c>
      <c r="C1402">
        <v>15</v>
      </c>
      <c r="D1402">
        <f>COUNTIF(WeeklyPicks!$D$142:$F$151,C1402)</f>
        <v>0</v>
      </c>
    </row>
    <row r="1403" spans="1:4" x14ac:dyDescent="0.3">
      <c r="A1403">
        <v>15</v>
      </c>
      <c r="B1403" t="s">
        <v>78</v>
      </c>
      <c r="C1403">
        <v>16</v>
      </c>
      <c r="D1403">
        <f>COUNTIF(WeeklyPicks!$D$142:$F$151,C1403)</f>
        <v>0</v>
      </c>
    </row>
    <row r="1404" spans="1:4" x14ac:dyDescent="0.3">
      <c r="A1404">
        <v>15</v>
      </c>
      <c r="B1404" t="s">
        <v>78</v>
      </c>
      <c r="C1404">
        <v>17</v>
      </c>
      <c r="D1404">
        <f>COUNTIF(WeeklyPicks!$D$142:$F$151,C1404)</f>
        <v>0</v>
      </c>
    </row>
    <row r="1405" spans="1:4" x14ac:dyDescent="0.3">
      <c r="A1405">
        <v>15</v>
      </c>
      <c r="B1405" t="s">
        <v>78</v>
      </c>
      <c r="C1405">
        <v>18</v>
      </c>
      <c r="D1405">
        <f>COUNTIF(WeeklyPicks!$D$142:$F$151,C1405)</f>
        <v>0</v>
      </c>
    </row>
    <row r="1406" spans="1:4" x14ac:dyDescent="0.3">
      <c r="A1406">
        <v>15</v>
      </c>
      <c r="B1406" t="s">
        <v>78</v>
      </c>
      <c r="C1406">
        <v>19</v>
      </c>
      <c r="D1406">
        <f>COUNTIF(WeeklyPicks!$D$142:$F$151,C1406)</f>
        <v>0</v>
      </c>
    </row>
    <row r="1407" spans="1:4" x14ac:dyDescent="0.3">
      <c r="A1407">
        <v>15</v>
      </c>
      <c r="B1407" t="s">
        <v>78</v>
      </c>
      <c r="C1407">
        <v>20</v>
      </c>
      <c r="D1407">
        <f>COUNTIF(WeeklyPicks!$D$142:$F$151,C1407)</f>
        <v>0</v>
      </c>
    </row>
    <row r="1408" spans="1:4" x14ac:dyDescent="0.3">
      <c r="A1408">
        <v>15</v>
      </c>
      <c r="B1408" t="s">
        <v>78</v>
      </c>
      <c r="C1408">
        <v>21</v>
      </c>
      <c r="D1408">
        <f>COUNTIF(WeeklyPicks!$D$142:$F$151,C1408)</f>
        <v>0</v>
      </c>
    </row>
    <row r="1409" spans="1:4" x14ac:dyDescent="0.3">
      <c r="A1409">
        <v>15</v>
      </c>
      <c r="B1409" t="s">
        <v>78</v>
      </c>
      <c r="C1409">
        <v>22</v>
      </c>
      <c r="D1409">
        <f>COUNTIF(WeeklyPicks!$D$142:$F$151,C1409)</f>
        <v>0</v>
      </c>
    </row>
    <row r="1410" spans="1:4" x14ac:dyDescent="0.3">
      <c r="A1410">
        <v>15</v>
      </c>
      <c r="B1410" t="s">
        <v>78</v>
      </c>
      <c r="C1410">
        <v>23</v>
      </c>
      <c r="D1410">
        <f>COUNTIF(WeeklyPicks!$D$142:$F$151,C1410)</f>
        <v>0</v>
      </c>
    </row>
    <row r="1411" spans="1:4" x14ac:dyDescent="0.3">
      <c r="A1411">
        <v>15</v>
      </c>
      <c r="B1411" t="s">
        <v>78</v>
      </c>
      <c r="C1411">
        <v>24</v>
      </c>
      <c r="D1411">
        <f>COUNTIF(WeeklyPicks!$D$142:$F$151,C1411)</f>
        <v>0</v>
      </c>
    </row>
    <row r="1412" spans="1:4" x14ac:dyDescent="0.3">
      <c r="A1412">
        <v>15</v>
      </c>
      <c r="B1412" t="s">
        <v>78</v>
      </c>
      <c r="C1412">
        <v>25</v>
      </c>
      <c r="D1412">
        <f>COUNTIF(WeeklyPicks!$D$142:$F$151,C1412)</f>
        <v>0</v>
      </c>
    </row>
    <row r="1413" spans="1:4" x14ac:dyDescent="0.3">
      <c r="A1413">
        <v>15</v>
      </c>
      <c r="B1413" t="s">
        <v>78</v>
      </c>
      <c r="C1413">
        <v>26</v>
      </c>
      <c r="D1413">
        <f>COUNTIF(WeeklyPicks!$D$142:$F$151,C1413)</f>
        <v>0</v>
      </c>
    </row>
    <row r="1414" spans="1:4" x14ac:dyDescent="0.3">
      <c r="A1414">
        <v>15</v>
      </c>
      <c r="B1414" t="s">
        <v>78</v>
      </c>
      <c r="C1414">
        <v>27</v>
      </c>
      <c r="D1414">
        <f>COUNTIF(WeeklyPicks!$D$142:$F$151,C1414)</f>
        <v>0</v>
      </c>
    </row>
    <row r="1415" spans="1:4" x14ac:dyDescent="0.3">
      <c r="A1415">
        <v>15</v>
      </c>
      <c r="B1415" t="s">
        <v>78</v>
      </c>
      <c r="C1415">
        <v>28</v>
      </c>
      <c r="D1415">
        <f>COUNTIF(WeeklyPicks!$D$142:$F$151,C1415)</f>
        <v>0</v>
      </c>
    </row>
    <row r="1416" spans="1:4" x14ac:dyDescent="0.3">
      <c r="A1416">
        <v>15</v>
      </c>
      <c r="B1416" t="s">
        <v>78</v>
      </c>
      <c r="C1416">
        <v>29</v>
      </c>
      <c r="D1416">
        <f>COUNTIF(WeeklyPicks!$D$142:$F$151,C1416)</f>
        <v>0</v>
      </c>
    </row>
    <row r="1417" spans="1:4" x14ac:dyDescent="0.3">
      <c r="A1417">
        <v>15</v>
      </c>
      <c r="B1417" t="s">
        <v>78</v>
      </c>
      <c r="C1417">
        <v>30</v>
      </c>
      <c r="D1417">
        <f>COUNTIF(WeeklyPicks!$D$142:$F$151,C1417)</f>
        <v>0</v>
      </c>
    </row>
    <row r="1418" spans="1:4" x14ac:dyDescent="0.3">
      <c r="A1418">
        <v>15</v>
      </c>
      <c r="B1418" t="s">
        <v>78</v>
      </c>
      <c r="C1418">
        <v>31</v>
      </c>
      <c r="D1418">
        <f>COUNTIF(WeeklyPicks!$D$142:$F$151,C1418)</f>
        <v>0</v>
      </c>
    </row>
    <row r="1419" spans="1:4" x14ac:dyDescent="0.3">
      <c r="A1419">
        <v>15</v>
      </c>
      <c r="B1419" t="s">
        <v>78</v>
      </c>
      <c r="C1419">
        <v>32</v>
      </c>
      <c r="D1419">
        <f>COUNTIF(WeeklyPicks!$D$142:$F$151,C1419)</f>
        <v>0</v>
      </c>
    </row>
    <row r="1420" spans="1:4" x14ac:dyDescent="0.3">
      <c r="A1420">
        <v>15</v>
      </c>
      <c r="B1420" t="s">
        <v>78</v>
      </c>
      <c r="C1420">
        <v>33</v>
      </c>
      <c r="D1420">
        <f>COUNTIF(WeeklyPicks!$D$142:$F$151,C1420)</f>
        <v>0</v>
      </c>
    </row>
    <row r="1421" spans="1:4" x14ac:dyDescent="0.3">
      <c r="A1421">
        <v>15</v>
      </c>
      <c r="B1421" t="s">
        <v>78</v>
      </c>
      <c r="C1421">
        <v>34</v>
      </c>
      <c r="D1421">
        <f>COUNTIF(WeeklyPicks!$D$142:$F$151,C1421)</f>
        <v>0</v>
      </c>
    </row>
    <row r="1422" spans="1:4" x14ac:dyDescent="0.3">
      <c r="A1422">
        <v>15</v>
      </c>
      <c r="B1422" t="s">
        <v>78</v>
      </c>
      <c r="C1422">
        <v>35</v>
      </c>
      <c r="D1422">
        <f>COUNTIF(WeeklyPicks!$D$142:$F$151,C1422)</f>
        <v>0</v>
      </c>
    </row>
    <row r="1423" spans="1:4" x14ac:dyDescent="0.3">
      <c r="A1423">
        <v>15</v>
      </c>
      <c r="B1423" t="s">
        <v>78</v>
      </c>
      <c r="C1423">
        <v>36</v>
      </c>
      <c r="D1423">
        <f>COUNTIF(WeeklyPicks!$D$142:$F$151,C1423)</f>
        <v>0</v>
      </c>
    </row>
    <row r="1424" spans="1:4" x14ac:dyDescent="0.3">
      <c r="A1424">
        <v>15</v>
      </c>
      <c r="B1424" t="s">
        <v>78</v>
      </c>
      <c r="C1424">
        <v>37</v>
      </c>
      <c r="D1424">
        <f>COUNTIF(WeeklyPicks!$D$142:$F$151,C1424)</f>
        <v>0</v>
      </c>
    </row>
    <row r="1425" spans="1:4" x14ac:dyDescent="0.3">
      <c r="A1425">
        <v>15</v>
      </c>
      <c r="B1425" t="s">
        <v>78</v>
      </c>
      <c r="C1425">
        <v>38</v>
      </c>
      <c r="D1425">
        <f>COUNTIF(WeeklyPicks!$D$142:$F$151,C1425)</f>
        <v>0</v>
      </c>
    </row>
    <row r="1426" spans="1:4" x14ac:dyDescent="0.3">
      <c r="A1426">
        <v>15</v>
      </c>
      <c r="B1426" t="s">
        <v>78</v>
      </c>
      <c r="C1426">
        <v>39</v>
      </c>
      <c r="D1426">
        <f>COUNTIF(WeeklyPicks!$D$142:$F$151,C1426)</f>
        <v>0</v>
      </c>
    </row>
    <row r="1427" spans="1:4" x14ac:dyDescent="0.3">
      <c r="A1427">
        <v>15</v>
      </c>
      <c r="B1427" t="s">
        <v>78</v>
      </c>
      <c r="C1427">
        <v>40</v>
      </c>
      <c r="D1427">
        <f>COUNTIF(WeeklyPicks!$D$142:$F$151,C1427)</f>
        <v>0</v>
      </c>
    </row>
    <row r="1428" spans="1:4" x14ac:dyDescent="0.3">
      <c r="A1428">
        <v>15</v>
      </c>
      <c r="B1428" t="s">
        <v>78</v>
      </c>
      <c r="C1428">
        <v>41</v>
      </c>
      <c r="D1428">
        <f>COUNTIF(WeeklyPicks!$D$142:$F$151,C1428)</f>
        <v>0</v>
      </c>
    </row>
    <row r="1429" spans="1:4" x14ac:dyDescent="0.3">
      <c r="A1429">
        <v>15</v>
      </c>
      <c r="B1429" t="s">
        <v>78</v>
      </c>
      <c r="C1429">
        <v>42</v>
      </c>
      <c r="D1429">
        <f>COUNTIF(WeeklyPicks!$D$142:$F$151,C1429)</f>
        <v>0</v>
      </c>
    </row>
    <row r="1430" spans="1:4" x14ac:dyDescent="0.3">
      <c r="A1430">
        <v>15</v>
      </c>
      <c r="B1430" t="s">
        <v>78</v>
      </c>
      <c r="C1430">
        <v>43</v>
      </c>
      <c r="D1430">
        <f>COUNTIF(WeeklyPicks!$D$142:$F$151,C1430)</f>
        <v>0</v>
      </c>
    </row>
    <row r="1431" spans="1:4" x14ac:dyDescent="0.3">
      <c r="A1431">
        <v>15</v>
      </c>
      <c r="B1431" t="s">
        <v>78</v>
      </c>
      <c r="C1431">
        <v>44</v>
      </c>
      <c r="D1431">
        <f>COUNTIF(WeeklyPicks!$D$142:$F$151,C1431)</f>
        <v>0</v>
      </c>
    </row>
    <row r="1432" spans="1:4" x14ac:dyDescent="0.3">
      <c r="A1432">
        <v>15</v>
      </c>
      <c r="B1432" t="s">
        <v>78</v>
      </c>
      <c r="C1432">
        <v>45</v>
      </c>
      <c r="D1432">
        <f>COUNTIF(WeeklyPicks!$D$142:$F$151,C1432)</f>
        <v>0</v>
      </c>
    </row>
    <row r="1433" spans="1:4" x14ac:dyDescent="0.3">
      <c r="A1433">
        <v>15</v>
      </c>
      <c r="B1433" t="s">
        <v>78</v>
      </c>
      <c r="C1433">
        <v>46</v>
      </c>
      <c r="D1433">
        <f>COUNTIF(WeeklyPicks!$D$142:$F$151,C1433)</f>
        <v>0</v>
      </c>
    </row>
    <row r="1434" spans="1:4" x14ac:dyDescent="0.3">
      <c r="A1434">
        <v>15</v>
      </c>
      <c r="B1434" t="s">
        <v>78</v>
      </c>
      <c r="C1434">
        <v>47</v>
      </c>
      <c r="D1434">
        <f>COUNTIF(WeeklyPicks!$D$142:$F$151,C1434)</f>
        <v>0</v>
      </c>
    </row>
    <row r="1435" spans="1:4" x14ac:dyDescent="0.3">
      <c r="A1435">
        <v>15</v>
      </c>
      <c r="B1435" t="s">
        <v>78</v>
      </c>
      <c r="C1435">
        <v>48</v>
      </c>
      <c r="D1435">
        <f>COUNTIF(WeeklyPicks!$D$142:$F$151,C1435)</f>
        <v>0</v>
      </c>
    </row>
    <row r="1436" spans="1:4" x14ac:dyDescent="0.3">
      <c r="A1436">
        <v>15</v>
      </c>
      <c r="B1436" t="s">
        <v>78</v>
      </c>
      <c r="C1436">
        <v>49</v>
      </c>
      <c r="D1436">
        <f>COUNTIF(WeeklyPicks!$D$142:$F$151,C1436)</f>
        <v>0</v>
      </c>
    </row>
    <row r="1437" spans="1:4" x14ac:dyDescent="0.3">
      <c r="A1437">
        <v>15</v>
      </c>
      <c r="B1437" t="s">
        <v>78</v>
      </c>
      <c r="C1437">
        <v>50</v>
      </c>
      <c r="D1437">
        <f>COUNTIF(WeeklyPicks!$D$142:$F$151,C1437)</f>
        <v>0</v>
      </c>
    </row>
    <row r="1438" spans="1:4" x14ac:dyDescent="0.3">
      <c r="A1438">
        <v>15</v>
      </c>
      <c r="B1438" t="s">
        <v>78</v>
      </c>
      <c r="C1438">
        <v>51</v>
      </c>
      <c r="D1438">
        <f>COUNTIF(WeeklyPicks!$D$142:$F$151,C1438)</f>
        <v>0</v>
      </c>
    </row>
    <row r="1439" spans="1:4" x14ac:dyDescent="0.3">
      <c r="A1439">
        <v>15</v>
      </c>
      <c r="B1439" t="s">
        <v>78</v>
      </c>
      <c r="C1439">
        <v>52</v>
      </c>
      <c r="D1439">
        <f>COUNTIF(WeeklyPicks!$D$142:$F$151,C1439)</f>
        <v>0</v>
      </c>
    </row>
    <row r="1440" spans="1:4" x14ac:dyDescent="0.3">
      <c r="A1440">
        <v>15</v>
      </c>
      <c r="B1440" t="s">
        <v>78</v>
      </c>
      <c r="C1440">
        <v>53</v>
      </c>
      <c r="D1440">
        <f>COUNTIF(WeeklyPicks!$D$142:$F$151,C1440)</f>
        <v>0</v>
      </c>
    </row>
    <row r="1441" spans="1:4" x14ac:dyDescent="0.3">
      <c r="A1441">
        <v>15</v>
      </c>
      <c r="B1441" t="s">
        <v>78</v>
      </c>
      <c r="C1441">
        <v>54</v>
      </c>
      <c r="D1441">
        <f>COUNTIF(WeeklyPicks!$D$142:$F$151,C1441)</f>
        <v>0</v>
      </c>
    </row>
    <row r="1442" spans="1:4" x14ac:dyDescent="0.3">
      <c r="A1442">
        <v>15</v>
      </c>
      <c r="B1442" t="s">
        <v>78</v>
      </c>
      <c r="C1442">
        <v>55</v>
      </c>
      <c r="D1442">
        <f>COUNTIF(WeeklyPicks!$D$142:$F$151,C1442)</f>
        <v>0</v>
      </c>
    </row>
    <row r="1443" spans="1:4" x14ac:dyDescent="0.3">
      <c r="A1443">
        <v>15</v>
      </c>
      <c r="B1443" t="s">
        <v>78</v>
      </c>
      <c r="C1443">
        <v>56</v>
      </c>
      <c r="D1443">
        <f>COUNTIF(WeeklyPicks!$D$142:$F$151,C1443)</f>
        <v>0</v>
      </c>
    </row>
    <row r="1444" spans="1:4" x14ac:dyDescent="0.3">
      <c r="A1444">
        <v>15</v>
      </c>
      <c r="B1444" t="s">
        <v>78</v>
      </c>
      <c r="C1444">
        <v>57</v>
      </c>
      <c r="D1444">
        <f>COUNTIF(WeeklyPicks!$D$142:$F$151,C1444)</f>
        <v>0</v>
      </c>
    </row>
    <row r="1445" spans="1:4" x14ac:dyDescent="0.3">
      <c r="A1445">
        <v>15</v>
      </c>
      <c r="B1445" t="s">
        <v>78</v>
      </c>
      <c r="C1445">
        <v>58</v>
      </c>
      <c r="D1445">
        <f>COUNTIF(WeeklyPicks!$D$142:$F$151,C1445)</f>
        <v>0</v>
      </c>
    </row>
    <row r="1446" spans="1:4" x14ac:dyDescent="0.3">
      <c r="A1446">
        <v>15</v>
      </c>
      <c r="B1446" t="s">
        <v>78</v>
      </c>
      <c r="C1446">
        <v>59</v>
      </c>
      <c r="D1446">
        <f>COUNTIF(WeeklyPicks!$D$142:$F$151,C1446)</f>
        <v>0</v>
      </c>
    </row>
    <row r="1447" spans="1:4" x14ac:dyDescent="0.3">
      <c r="A1447">
        <v>15</v>
      </c>
      <c r="B1447" t="s">
        <v>78</v>
      </c>
      <c r="C1447">
        <v>60</v>
      </c>
      <c r="D1447">
        <f>COUNTIF(WeeklyPicks!$D$142:$F$151,C1447)</f>
        <v>0</v>
      </c>
    </row>
    <row r="1448" spans="1:4" x14ac:dyDescent="0.3">
      <c r="A1448">
        <v>15</v>
      </c>
      <c r="B1448" t="s">
        <v>78</v>
      </c>
      <c r="C1448">
        <v>61</v>
      </c>
      <c r="D1448">
        <f>COUNTIF(WeeklyPicks!$D$142:$F$151,C1448)</f>
        <v>0</v>
      </c>
    </row>
    <row r="1449" spans="1:4" x14ac:dyDescent="0.3">
      <c r="A1449">
        <v>15</v>
      </c>
      <c r="B1449" t="s">
        <v>78</v>
      </c>
      <c r="C1449">
        <v>62</v>
      </c>
      <c r="D1449">
        <f>COUNTIF(WeeklyPicks!$D$142:$F$151,C1449)</f>
        <v>0</v>
      </c>
    </row>
    <row r="1450" spans="1:4" x14ac:dyDescent="0.3">
      <c r="A1450">
        <v>15</v>
      </c>
      <c r="B1450" t="s">
        <v>78</v>
      </c>
      <c r="C1450">
        <v>63</v>
      </c>
      <c r="D1450">
        <f>COUNTIF(WeeklyPicks!$D$142:$F$151,C1450)</f>
        <v>0</v>
      </c>
    </row>
    <row r="1451" spans="1:4" x14ac:dyDescent="0.3">
      <c r="A1451">
        <v>15</v>
      </c>
      <c r="B1451" t="s">
        <v>78</v>
      </c>
      <c r="C1451">
        <v>64</v>
      </c>
      <c r="D1451">
        <f>COUNTIF(WeeklyPicks!$D$142:$F$151,C1451)</f>
        <v>0</v>
      </c>
    </row>
    <row r="1452" spans="1:4" x14ac:dyDescent="0.3">
      <c r="A1452">
        <v>15</v>
      </c>
      <c r="B1452" t="s">
        <v>78</v>
      </c>
      <c r="C1452">
        <v>65</v>
      </c>
      <c r="D1452">
        <f>COUNTIF(WeeklyPicks!$D$142:$F$151,C1452)</f>
        <v>0</v>
      </c>
    </row>
    <row r="1453" spans="1:4" x14ac:dyDescent="0.3">
      <c r="A1453">
        <v>15</v>
      </c>
      <c r="B1453" t="s">
        <v>78</v>
      </c>
      <c r="C1453">
        <v>66</v>
      </c>
      <c r="D1453">
        <f>COUNTIF(WeeklyPicks!$D$142:$F$151,C1453)</f>
        <v>0</v>
      </c>
    </row>
    <row r="1454" spans="1:4" x14ac:dyDescent="0.3">
      <c r="A1454">
        <v>15</v>
      </c>
      <c r="B1454" t="s">
        <v>78</v>
      </c>
      <c r="C1454">
        <v>67</v>
      </c>
      <c r="D1454">
        <f>COUNTIF(WeeklyPicks!$D$142:$F$151,C1454)</f>
        <v>0</v>
      </c>
    </row>
    <row r="1455" spans="1:4" x14ac:dyDescent="0.3">
      <c r="A1455">
        <v>15</v>
      </c>
      <c r="B1455" t="s">
        <v>78</v>
      </c>
      <c r="C1455">
        <v>68</v>
      </c>
      <c r="D1455">
        <f>COUNTIF(WeeklyPicks!$D$142:$F$151,C1455)</f>
        <v>0</v>
      </c>
    </row>
    <row r="1456" spans="1:4" x14ac:dyDescent="0.3">
      <c r="A1456">
        <v>15</v>
      </c>
      <c r="B1456" t="s">
        <v>78</v>
      </c>
      <c r="C1456">
        <v>69</v>
      </c>
      <c r="D1456">
        <f>COUNTIF(WeeklyPicks!$D$142:$F$151,C1456)</f>
        <v>0</v>
      </c>
    </row>
    <row r="1457" spans="1:4" x14ac:dyDescent="0.3">
      <c r="A1457">
        <v>15</v>
      </c>
      <c r="B1457" t="s">
        <v>78</v>
      </c>
      <c r="C1457">
        <v>70</v>
      </c>
      <c r="D1457">
        <f>COUNTIF(WeeklyPicks!$D$142:$F$151,C1457)</f>
        <v>0</v>
      </c>
    </row>
    <row r="1458" spans="1:4" x14ac:dyDescent="0.3">
      <c r="A1458">
        <v>15</v>
      </c>
      <c r="B1458" t="s">
        <v>78</v>
      </c>
      <c r="C1458">
        <v>71</v>
      </c>
      <c r="D1458">
        <f>COUNTIF(WeeklyPicks!$D$142:$F$151,C1458)</f>
        <v>0</v>
      </c>
    </row>
    <row r="1459" spans="1:4" x14ac:dyDescent="0.3">
      <c r="A1459">
        <v>15</v>
      </c>
      <c r="B1459" t="s">
        <v>78</v>
      </c>
      <c r="C1459">
        <v>72</v>
      </c>
      <c r="D1459">
        <f>COUNTIF(WeeklyPicks!$D$142:$F$151,C1459)</f>
        <v>0</v>
      </c>
    </row>
    <row r="1460" spans="1:4" x14ac:dyDescent="0.3">
      <c r="A1460">
        <v>15</v>
      </c>
      <c r="B1460" t="s">
        <v>78</v>
      </c>
      <c r="C1460">
        <v>73</v>
      </c>
      <c r="D1460">
        <f>COUNTIF(WeeklyPicks!$D$142:$F$151,C1460)</f>
        <v>0</v>
      </c>
    </row>
    <row r="1461" spans="1:4" x14ac:dyDescent="0.3">
      <c r="A1461">
        <v>15</v>
      </c>
      <c r="B1461" t="s">
        <v>78</v>
      </c>
      <c r="C1461">
        <v>74</v>
      </c>
      <c r="D1461">
        <f>COUNTIF(WeeklyPicks!$D$142:$F$151,C1461)</f>
        <v>0</v>
      </c>
    </row>
    <row r="1462" spans="1:4" x14ac:dyDescent="0.3">
      <c r="A1462">
        <v>15</v>
      </c>
      <c r="B1462" t="s">
        <v>78</v>
      </c>
      <c r="C1462">
        <v>75</v>
      </c>
      <c r="D1462">
        <f>COUNTIF(WeeklyPicks!$D$142:$F$151,C1462)</f>
        <v>0</v>
      </c>
    </row>
    <row r="1463" spans="1:4" x14ac:dyDescent="0.3">
      <c r="A1463">
        <v>15</v>
      </c>
      <c r="B1463" t="s">
        <v>78</v>
      </c>
      <c r="C1463">
        <v>76</v>
      </c>
      <c r="D1463">
        <f>COUNTIF(WeeklyPicks!$D$142:$F$151,C1463)</f>
        <v>0</v>
      </c>
    </row>
    <row r="1464" spans="1:4" x14ac:dyDescent="0.3">
      <c r="A1464">
        <v>15</v>
      </c>
      <c r="B1464" t="s">
        <v>78</v>
      </c>
      <c r="C1464">
        <v>77</v>
      </c>
      <c r="D1464">
        <f>COUNTIF(WeeklyPicks!$D$142:$F$151,C1464)</f>
        <v>0</v>
      </c>
    </row>
    <row r="1465" spans="1:4" x14ac:dyDescent="0.3">
      <c r="A1465">
        <v>15</v>
      </c>
      <c r="B1465" t="s">
        <v>78</v>
      </c>
      <c r="C1465">
        <v>78</v>
      </c>
      <c r="D1465">
        <f>COUNTIF(WeeklyPicks!$D$142:$F$151,C1465)</f>
        <v>0</v>
      </c>
    </row>
    <row r="1466" spans="1:4" x14ac:dyDescent="0.3">
      <c r="A1466">
        <v>15</v>
      </c>
      <c r="B1466" t="s">
        <v>78</v>
      </c>
      <c r="C1466">
        <v>79</v>
      </c>
      <c r="D1466">
        <f>COUNTIF(WeeklyPicks!$D$142:$F$151,C1466)</f>
        <v>0</v>
      </c>
    </row>
    <row r="1467" spans="1:4" x14ac:dyDescent="0.3">
      <c r="A1467">
        <v>15</v>
      </c>
      <c r="B1467" t="s">
        <v>78</v>
      </c>
      <c r="C1467">
        <v>80</v>
      </c>
      <c r="D1467">
        <f>COUNTIF(WeeklyPicks!$D$142:$F$151,C1467)</f>
        <v>0</v>
      </c>
    </row>
    <row r="1468" spans="1:4" x14ac:dyDescent="0.3">
      <c r="A1468">
        <v>15</v>
      </c>
      <c r="B1468" t="s">
        <v>78</v>
      </c>
      <c r="C1468">
        <v>81</v>
      </c>
      <c r="D1468">
        <f>COUNTIF(WeeklyPicks!$D$142:$F$151,C1468)</f>
        <v>0</v>
      </c>
    </row>
    <row r="1469" spans="1:4" x14ac:dyDescent="0.3">
      <c r="A1469">
        <v>15</v>
      </c>
      <c r="B1469" t="s">
        <v>78</v>
      </c>
      <c r="C1469">
        <v>82</v>
      </c>
      <c r="D1469">
        <f>COUNTIF(WeeklyPicks!$D$142:$F$151,C1469)</f>
        <v>0</v>
      </c>
    </row>
    <row r="1470" spans="1:4" x14ac:dyDescent="0.3">
      <c r="A1470">
        <v>15</v>
      </c>
      <c r="B1470" t="s">
        <v>78</v>
      </c>
      <c r="C1470">
        <v>83</v>
      </c>
      <c r="D1470">
        <f>COUNTIF(WeeklyPicks!$D$142:$F$151,C1470)</f>
        <v>0</v>
      </c>
    </row>
    <row r="1471" spans="1:4" x14ac:dyDescent="0.3">
      <c r="A1471">
        <v>15</v>
      </c>
      <c r="B1471" t="s">
        <v>78</v>
      </c>
      <c r="C1471">
        <v>84</v>
      </c>
      <c r="D1471">
        <f>COUNTIF(WeeklyPicks!$D$142:$F$151,C1471)</f>
        <v>0</v>
      </c>
    </row>
    <row r="1472" spans="1:4" x14ac:dyDescent="0.3">
      <c r="A1472">
        <v>15</v>
      </c>
      <c r="B1472" t="s">
        <v>78</v>
      </c>
      <c r="C1472">
        <v>85</v>
      </c>
      <c r="D1472">
        <f>COUNTIF(WeeklyPicks!$D$142:$F$151,C1472)</f>
        <v>0</v>
      </c>
    </row>
    <row r="1473" spans="1:4" x14ac:dyDescent="0.3">
      <c r="A1473">
        <v>15</v>
      </c>
      <c r="B1473" t="s">
        <v>78</v>
      </c>
      <c r="C1473">
        <v>86</v>
      </c>
      <c r="D1473">
        <f>COUNTIF(WeeklyPicks!$D$142:$F$151,C1473)</f>
        <v>0</v>
      </c>
    </row>
    <row r="1474" spans="1:4" x14ac:dyDescent="0.3">
      <c r="A1474">
        <v>15</v>
      </c>
      <c r="B1474" t="s">
        <v>78</v>
      </c>
      <c r="C1474">
        <v>87</v>
      </c>
      <c r="D1474">
        <f>COUNTIF(WeeklyPicks!$D$142:$F$151,C1474)</f>
        <v>0</v>
      </c>
    </row>
    <row r="1475" spans="1:4" x14ac:dyDescent="0.3">
      <c r="A1475">
        <v>15</v>
      </c>
      <c r="B1475" t="s">
        <v>78</v>
      </c>
      <c r="C1475">
        <v>88</v>
      </c>
      <c r="D1475">
        <f>COUNTIF(WeeklyPicks!$D$142:$F$151,C1475)</f>
        <v>0</v>
      </c>
    </row>
    <row r="1476" spans="1:4" x14ac:dyDescent="0.3">
      <c r="A1476">
        <v>15</v>
      </c>
      <c r="B1476" t="s">
        <v>78</v>
      </c>
      <c r="C1476">
        <v>89</v>
      </c>
      <c r="D1476">
        <f>COUNTIF(WeeklyPicks!$D$142:$F$151,C1476)</f>
        <v>0</v>
      </c>
    </row>
    <row r="1477" spans="1:4" x14ac:dyDescent="0.3">
      <c r="A1477">
        <v>15</v>
      </c>
      <c r="B1477" t="s">
        <v>78</v>
      </c>
      <c r="C1477">
        <v>90</v>
      </c>
      <c r="D1477">
        <f>COUNTIF(WeeklyPicks!$D$142:$F$151,C1477)</f>
        <v>0</v>
      </c>
    </row>
    <row r="1478" spans="1:4" x14ac:dyDescent="0.3">
      <c r="A1478">
        <v>15</v>
      </c>
      <c r="B1478" t="s">
        <v>78</v>
      </c>
      <c r="C1478">
        <v>91</v>
      </c>
      <c r="D1478">
        <f>COUNTIF(WeeklyPicks!$D$142:$F$151,C1478)</f>
        <v>0</v>
      </c>
    </row>
    <row r="1479" spans="1:4" x14ac:dyDescent="0.3">
      <c r="A1479">
        <v>15</v>
      </c>
      <c r="B1479" t="s">
        <v>78</v>
      </c>
      <c r="C1479">
        <v>92</v>
      </c>
      <c r="D1479">
        <f>COUNTIF(WeeklyPicks!$D$142:$F$151,C1479)</f>
        <v>0</v>
      </c>
    </row>
    <row r="1480" spans="1:4" x14ac:dyDescent="0.3">
      <c r="A1480">
        <v>15</v>
      </c>
      <c r="B1480" t="s">
        <v>78</v>
      </c>
      <c r="C1480">
        <v>93</v>
      </c>
      <c r="D1480">
        <f>COUNTIF(WeeklyPicks!$D$142:$F$151,C1480)</f>
        <v>0</v>
      </c>
    </row>
    <row r="1481" spans="1:4" x14ac:dyDescent="0.3">
      <c r="A1481">
        <v>15</v>
      </c>
      <c r="B1481" t="s">
        <v>78</v>
      </c>
      <c r="C1481">
        <v>94</v>
      </c>
      <c r="D1481">
        <f>COUNTIF(WeeklyPicks!$D$142:$F$151,C1481)</f>
        <v>0</v>
      </c>
    </row>
    <row r="1482" spans="1:4" x14ac:dyDescent="0.3">
      <c r="A1482">
        <v>15</v>
      </c>
      <c r="B1482" t="s">
        <v>78</v>
      </c>
      <c r="C1482">
        <v>95</v>
      </c>
      <c r="D1482">
        <f>COUNTIF(WeeklyPicks!$D$142:$F$151,C1482)</f>
        <v>0</v>
      </c>
    </row>
    <row r="1483" spans="1:4" x14ac:dyDescent="0.3">
      <c r="A1483">
        <v>15</v>
      </c>
      <c r="B1483" t="s">
        <v>78</v>
      </c>
      <c r="C1483">
        <v>96</v>
      </c>
      <c r="D1483">
        <f>COUNTIF(WeeklyPicks!$D$142:$F$151,C1483)</f>
        <v>0</v>
      </c>
    </row>
    <row r="1484" spans="1:4" x14ac:dyDescent="0.3">
      <c r="A1484">
        <v>15</v>
      </c>
      <c r="B1484" t="s">
        <v>78</v>
      </c>
      <c r="C1484">
        <v>97</v>
      </c>
      <c r="D1484">
        <f>COUNTIF(WeeklyPicks!$D$142:$F$151,C1484)</f>
        <v>0</v>
      </c>
    </row>
    <row r="1485" spans="1:4" x14ac:dyDescent="0.3">
      <c r="A1485">
        <v>15</v>
      </c>
      <c r="B1485" t="s">
        <v>78</v>
      </c>
      <c r="C1485">
        <v>98</v>
      </c>
      <c r="D1485">
        <f>COUNTIF(WeeklyPicks!$D$142:$F$151,C1485)</f>
        <v>0</v>
      </c>
    </row>
    <row r="1486" spans="1:4" x14ac:dyDescent="0.3">
      <c r="A1486">
        <v>15</v>
      </c>
      <c r="B1486" t="s">
        <v>78</v>
      </c>
      <c r="C1486">
        <v>99</v>
      </c>
      <c r="D1486">
        <f>COUNTIF(WeeklyPicks!$D$142:$F$151,C1486)</f>
        <v>0</v>
      </c>
    </row>
    <row r="1487" spans="1:4" x14ac:dyDescent="0.3">
      <c r="A1487">
        <v>16</v>
      </c>
      <c r="B1487" t="s">
        <v>80</v>
      </c>
      <c r="C1487">
        <v>1</v>
      </c>
      <c r="D1487">
        <f>COUNTIF(WeeklyPicks!$D$152:$F$161,C1487)</f>
        <v>0</v>
      </c>
    </row>
    <row r="1488" spans="1:4" x14ac:dyDescent="0.3">
      <c r="A1488">
        <v>16</v>
      </c>
      <c r="B1488" t="s">
        <v>80</v>
      </c>
      <c r="C1488">
        <v>2</v>
      </c>
      <c r="D1488">
        <f>COUNTIF(WeeklyPicks!$D$152:$F$161,C1488)</f>
        <v>0</v>
      </c>
    </row>
    <row r="1489" spans="1:4" x14ac:dyDescent="0.3">
      <c r="A1489">
        <v>16</v>
      </c>
      <c r="B1489" t="s">
        <v>80</v>
      </c>
      <c r="C1489">
        <v>3</v>
      </c>
      <c r="D1489">
        <f>COUNTIF(WeeklyPicks!$D$152:$F$161,C1489)</f>
        <v>0</v>
      </c>
    </row>
    <row r="1490" spans="1:4" x14ac:dyDescent="0.3">
      <c r="A1490">
        <v>16</v>
      </c>
      <c r="B1490" t="s">
        <v>80</v>
      </c>
      <c r="C1490">
        <v>4</v>
      </c>
      <c r="D1490">
        <f>COUNTIF(WeeklyPicks!$D$152:$F$161,C1490)</f>
        <v>0</v>
      </c>
    </row>
    <row r="1491" spans="1:4" x14ac:dyDescent="0.3">
      <c r="A1491">
        <v>16</v>
      </c>
      <c r="B1491" t="s">
        <v>80</v>
      </c>
      <c r="C1491">
        <v>5</v>
      </c>
      <c r="D1491">
        <f>COUNTIF(WeeklyPicks!$D$152:$F$161,C1491)</f>
        <v>0</v>
      </c>
    </row>
    <row r="1492" spans="1:4" x14ac:dyDescent="0.3">
      <c r="A1492">
        <v>16</v>
      </c>
      <c r="B1492" t="s">
        <v>80</v>
      </c>
      <c r="C1492">
        <v>6</v>
      </c>
      <c r="D1492">
        <f>COUNTIF(WeeklyPicks!$D$152:$F$161,C1492)</f>
        <v>0</v>
      </c>
    </row>
    <row r="1493" spans="1:4" x14ac:dyDescent="0.3">
      <c r="A1493">
        <v>16</v>
      </c>
      <c r="B1493" t="s">
        <v>80</v>
      </c>
      <c r="C1493">
        <v>7</v>
      </c>
      <c r="D1493">
        <f>COUNTIF(WeeklyPicks!$D$152:$F$161,C1493)</f>
        <v>0</v>
      </c>
    </row>
    <row r="1494" spans="1:4" x14ac:dyDescent="0.3">
      <c r="A1494">
        <v>16</v>
      </c>
      <c r="B1494" t="s">
        <v>80</v>
      </c>
      <c r="C1494">
        <v>8</v>
      </c>
      <c r="D1494">
        <f>COUNTIF(WeeklyPicks!$D$152:$F$161,C1494)</f>
        <v>0</v>
      </c>
    </row>
    <row r="1495" spans="1:4" x14ac:dyDescent="0.3">
      <c r="A1495">
        <v>16</v>
      </c>
      <c r="B1495" t="s">
        <v>80</v>
      </c>
      <c r="C1495">
        <v>9</v>
      </c>
      <c r="D1495">
        <f>COUNTIF(WeeklyPicks!$D$152:$F$161,C1495)</f>
        <v>0</v>
      </c>
    </row>
    <row r="1496" spans="1:4" x14ac:dyDescent="0.3">
      <c r="A1496">
        <v>16</v>
      </c>
      <c r="B1496" t="s">
        <v>80</v>
      </c>
      <c r="C1496">
        <v>10</v>
      </c>
      <c r="D1496">
        <f>COUNTIF(WeeklyPicks!$D$152:$F$161,C1496)</f>
        <v>0</v>
      </c>
    </row>
    <row r="1497" spans="1:4" x14ac:dyDescent="0.3">
      <c r="A1497">
        <v>16</v>
      </c>
      <c r="B1497" t="s">
        <v>80</v>
      </c>
      <c r="C1497">
        <v>11</v>
      </c>
      <c r="D1497">
        <f>COUNTIF(WeeklyPicks!$D$152:$F$161,C1497)</f>
        <v>0</v>
      </c>
    </row>
    <row r="1498" spans="1:4" x14ac:dyDescent="0.3">
      <c r="A1498">
        <v>16</v>
      </c>
      <c r="B1498" t="s">
        <v>80</v>
      </c>
      <c r="C1498">
        <v>12</v>
      </c>
      <c r="D1498">
        <f>COUNTIF(WeeklyPicks!$D$152:$F$161,C1498)</f>
        <v>0</v>
      </c>
    </row>
    <row r="1499" spans="1:4" x14ac:dyDescent="0.3">
      <c r="A1499">
        <v>16</v>
      </c>
      <c r="B1499" t="s">
        <v>80</v>
      </c>
      <c r="C1499">
        <v>13</v>
      </c>
      <c r="D1499">
        <f>COUNTIF(WeeklyPicks!$D$152:$F$161,C1499)</f>
        <v>0</v>
      </c>
    </row>
    <row r="1500" spans="1:4" x14ac:dyDescent="0.3">
      <c r="A1500">
        <v>16</v>
      </c>
      <c r="B1500" t="s">
        <v>80</v>
      </c>
      <c r="C1500">
        <v>14</v>
      </c>
      <c r="D1500">
        <f>COUNTIF(WeeklyPicks!$D$152:$F$161,C1500)</f>
        <v>0</v>
      </c>
    </row>
    <row r="1501" spans="1:4" x14ac:dyDescent="0.3">
      <c r="A1501">
        <v>16</v>
      </c>
      <c r="B1501" t="s">
        <v>80</v>
      </c>
      <c r="C1501">
        <v>15</v>
      </c>
      <c r="D1501">
        <f>COUNTIF(WeeklyPicks!$D$152:$F$161,C1501)</f>
        <v>0</v>
      </c>
    </row>
    <row r="1502" spans="1:4" x14ac:dyDescent="0.3">
      <c r="A1502">
        <v>16</v>
      </c>
      <c r="B1502" t="s">
        <v>80</v>
      </c>
      <c r="C1502">
        <v>16</v>
      </c>
      <c r="D1502">
        <f>COUNTIF(WeeklyPicks!$D$152:$F$161,C1502)</f>
        <v>0</v>
      </c>
    </row>
    <row r="1503" spans="1:4" x14ac:dyDescent="0.3">
      <c r="A1503">
        <v>16</v>
      </c>
      <c r="B1503" t="s">
        <v>80</v>
      </c>
      <c r="C1503">
        <v>17</v>
      </c>
      <c r="D1503">
        <f>COUNTIF(WeeklyPicks!$D$152:$F$161,C1503)</f>
        <v>0</v>
      </c>
    </row>
    <row r="1504" spans="1:4" x14ac:dyDescent="0.3">
      <c r="A1504">
        <v>16</v>
      </c>
      <c r="B1504" t="s">
        <v>80</v>
      </c>
      <c r="C1504">
        <v>18</v>
      </c>
      <c r="D1504">
        <f>COUNTIF(WeeklyPicks!$D$152:$F$161,C1504)</f>
        <v>0</v>
      </c>
    </row>
    <row r="1505" spans="1:4" x14ac:dyDescent="0.3">
      <c r="A1505">
        <v>16</v>
      </c>
      <c r="B1505" t="s">
        <v>80</v>
      </c>
      <c r="C1505">
        <v>19</v>
      </c>
      <c r="D1505">
        <f>COUNTIF(WeeklyPicks!$D$152:$F$161,C1505)</f>
        <v>0</v>
      </c>
    </row>
    <row r="1506" spans="1:4" x14ac:dyDescent="0.3">
      <c r="A1506">
        <v>16</v>
      </c>
      <c r="B1506" t="s">
        <v>80</v>
      </c>
      <c r="C1506">
        <v>20</v>
      </c>
      <c r="D1506">
        <f>COUNTIF(WeeklyPicks!$D$152:$F$161,C1506)</f>
        <v>0</v>
      </c>
    </row>
    <row r="1507" spans="1:4" x14ac:dyDescent="0.3">
      <c r="A1507">
        <v>16</v>
      </c>
      <c r="B1507" t="s">
        <v>80</v>
      </c>
      <c r="C1507">
        <v>21</v>
      </c>
      <c r="D1507">
        <f>COUNTIF(WeeklyPicks!$D$152:$F$161,C1507)</f>
        <v>0</v>
      </c>
    </row>
    <row r="1508" spans="1:4" x14ac:dyDescent="0.3">
      <c r="A1508">
        <v>16</v>
      </c>
      <c r="B1508" t="s">
        <v>80</v>
      </c>
      <c r="C1508">
        <v>22</v>
      </c>
      <c r="D1508">
        <f>COUNTIF(WeeklyPicks!$D$152:$F$161,C1508)</f>
        <v>0</v>
      </c>
    </row>
    <row r="1509" spans="1:4" x14ac:dyDescent="0.3">
      <c r="A1509">
        <v>16</v>
      </c>
      <c r="B1509" t="s">
        <v>80</v>
      </c>
      <c r="C1509">
        <v>23</v>
      </c>
      <c r="D1509">
        <f>COUNTIF(WeeklyPicks!$D$152:$F$161,C1509)</f>
        <v>0</v>
      </c>
    </row>
    <row r="1510" spans="1:4" x14ac:dyDescent="0.3">
      <c r="A1510">
        <v>16</v>
      </c>
      <c r="B1510" t="s">
        <v>80</v>
      </c>
      <c r="C1510">
        <v>24</v>
      </c>
      <c r="D1510">
        <f>COUNTIF(WeeklyPicks!$D$152:$F$161,C1510)</f>
        <v>0</v>
      </c>
    </row>
    <row r="1511" spans="1:4" x14ac:dyDescent="0.3">
      <c r="A1511">
        <v>16</v>
      </c>
      <c r="B1511" t="s">
        <v>80</v>
      </c>
      <c r="C1511">
        <v>25</v>
      </c>
      <c r="D1511">
        <f>COUNTIF(WeeklyPicks!$D$152:$F$161,C1511)</f>
        <v>0</v>
      </c>
    </row>
    <row r="1512" spans="1:4" x14ac:dyDescent="0.3">
      <c r="A1512">
        <v>16</v>
      </c>
      <c r="B1512" t="s">
        <v>80</v>
      </c>
      <c r="C1512">
        <v>26</v>
      </c>
      <c r="D1512">
        <f>COUNTIF(WeeklyPicks!$D$152:$F$161,C1512)</f>
        <v>0</v>
      </c>
    </row>
    <row r="1513" spans="1:4" x14ac:dyDescent="0.3">
      <c r="A1513">
        <v>16</v>
      </c>
      <c r="B1513" t="s">
        <v>80</v>
      </c>
      <c r="C1513">
        <v>27</v>
      </c>
      <c r="D1513">
        <f>COUNTIF(WeeklyPicks!$D$152:$F$161,C1513)</f>
        <v>0</v>
      </c>
    </row>
    <row r="1514" spans="1:4" x14ac:dyDescent="0.3">
      <c r="A1514">
        <v>16</v>
      </c>
      <c r="B1514" t="s">
        <v>80</v>
      </c>
      <c r="C1514">
        <v>28</v>
      </c>
      <c r="D1514">
        <f>COUNTIF(WeeklyPicks!$D$152:$F$161,C1514)</f>
        <v>0</v>
      </c>
    </row>
    <row r="1515" spans="1:4" x14ac:dyDescent="0.3">
      <c r="A1515">
        <v>16</v>
      </c>
      <c r="B1515" t="s">
        <v>80</v>
      </c>
      <c r="C1515">
        <v>29</v>
      </c>
      <c r="D1515">
        <f>COUNTIF(WeeklyPicks!$D$152:$F$161,C1515)</f>
        <v>0</v>
      </c>
    </row>
    <row r="1516" spans="1:4" x14ac:dyDescent="0.3">
      <c r="A1516">
        <v>16</v>
      </c>
      <c r="B1516" t="s">
        <v>80</v>
      </c>
      <c r="C1516">
        <v>30</v>
      </c>
      <c r="D1516">
        <f>COUNTIF(WeeklyPicks!$D$152:$F$161,C1516)</f>
        <v>0</v>
      </c>
    </row>
    <row r="1517" spans="1:4" x14ac:dyDescent="0.3">
      <c r="A1517">
        <v>16</v>
      </c>
      <c r="B1517" t="s">
        <v>80</v>
      </c>
      <c r="C1517">
        <v>31</v>
      </c>
      <c r="D1517">
        <f>COUNTIF(WeeklyPicks!$D$152:$F$161,C1517)</f>
        <v>0</v>
      </c>
    </row>
    <row r="1518" spans="1:4" x14ac:dyDescent="0.3">
      <c r="A1518">
        <v>16</v>
      </c>
      <c r="B1518" t="s">
        <v>80</v>
      </c>
      <c r="C1518">
        <v>32</v>
      </c>
      <c r="D1518">
        <f>COUNTIF(WeeklyPicks!$D$152:$F$161,C1518)</f>
        <v>0</v>
      </c>
    </row>
    <row r="1519" spans="1:4" x14ac:dyDescent="0.3">
      <c r="A1519">
        <v>16</v>
      </c>
      <c r="B1519" t="s">
        <v>80</v>
      </c>
      <c r="C1519">
        <v>33</v>
      </c>
      <c r="D1519">
        <f>COUNTIF(WeeklyPicks!$D$152:$F$161,C1519)</f>
        <v>0</v>
      </c>
    </row>
    <row r="1520" spans="1:4" x14ac:dyDescent="0.3">
      <c r="A1520">
        <v>16</v>
      </c>
      <c r="B1520" t="s">
        <v>80</v>
      </c>
      <c r="C1520">
        <v>34</v>
      </c>
      <c r="D1520">
        <f>COUNTIF(WeeklyPicks!$D$152:$F$161,C1520)</f>
        <v>0</v>
      </c>
    </row>
    <row r="1521" spans="1:4" x14ac:dyDescent="0.3">
      <c r="A1521">
        <v>16</v>
      </c>
      <c r="B1521" t="s">
        <v>80</v>
      </c>
      <c r="C1521">
        <v>35</v>
      </c>
      <c r="D1521">
        <f>COUNTIF(WeeklyPicks!$D$152:$F$161,C1521)</f>
        <v>0</v>
      </c>
    </row>
    <row r="1522" spans="1:4" x14ac:dyDescent="0.3">
      <c r="A1522">
        <v>16</v>
      </c>
      <c r="B1522" t="s">
        <v>80</v>
      </c>
      <c r="C1522">
        <v>36</v>
      </c>
      <c r="D1522">
        <f>COUNTIF(WeeklyPicks!$D$152:$F$161,C1522)</f>
        <v>0</v>
      </c>
    </row>
    <row r="1523" spans="1:4" x14ac:dyDescent="0.3">
      <c r="A1523">
        <v>16</v>
      </c>
      <c r="B1523" t="s">
        <v>80</v>
      </c>
      <c r="C1523">
        <v>37</v>
      </c>
      <c r="D1523">
        <f>COUNTIF(WeeklyPicks!$D$152:$F$161,C1523)</f>
        <v>0</v>
      </c>
    </row>
    <row r="1524" spans="1:4" x14ac:dyDescent="0.3">
      <c r="A1524">
        <v>16</v>
      </c>
      <c r="B1524" t="s">
        <v>80</v>
      </c>
      <c r="C1524">
        <v>38</v>
      </c>
      <c r="D1524">
        <f>COUNTIF(WeeklyPicks!$D$152:$F$161,C1524)</f>
        <v>0</v>
      </c>
    </row>
    <row r="1525" spans="1:4" x14ac:dyDescent="0.3">
      <c r="A1525">
        <v>16</v>
      </c>
      <c r="B1525" t="s">
        <v>80</v>
      </c>
      <c r="C1525">
        <v>39</v>
      </c>
      <c r="D1525">
        <f>COUNTIF(WeeklyPicks!$D$152:$F$161,C1525)</f>
        <v>0</v>
      </c>
    </row>
    <row r="1526" spans="1:4" x14ac:dyDescent="0.3">
      <c r="A1526">
        <v>16</v>
      </c>
      <c r="B1526" t="s">
        <v>80</v>
      </c>
      <c r="C1526">
        <v>40</v>
      </c>
      <c r="D1526">
        <f>COUNTIF(WeeklyPicks!$D$152:$F$161,C1526)</f>
        <v>0</v>
      </c>
    </row>
    <row r="1527" spans="1:4" x14ac:dyDescent="0.3">
      <c r="A1527">
        <v>16</v>
      </c>
      <c r="B1527" t="s">
        <v>80</v>
      </c>
      <c r="C1527">
        <v>41</v>
      </c>
      <c r="D1527">
        <f>COUNTIF(WeeklyPicks!$D$152:$F$161,C1527)</f>
        <v>0</v>
      </c>
    </row>
    <row r="1528" spans="1:4" x14ac:dyDescent="0.3">
      <c r="A1528">
        <v>16</v>
      </c>
      <c r="B1528" t="s">
        <v>80</v>
      </c>
      <c r="C1528">
        <v>42</v>
      </c>
      <c r="D1528">
        <f>COUNTIF(WeeklyPicks!$D$152:$F$161,C1528)</f>
        <v>0</v>
      </c>
    </row>
    <row r="1529" spans="1:4" x14ac:dyDescent="0.3">
      <c r="A1529">
        <v>16</v>
      </c>
      <c r="B1529" t="s">
        <v>80</v>
      </c>
      <c r="C1529">
        <v>43</v>
      </c>
      <c r="D1529">
        <f>COUNTIF(WeeklyPicks!$D$152:$F$161,C1529)</f>
        <v>0</v>
      </c>
    </row>
    <row r="1530" spans="1:4" x14ac:dyDescent="0.3">
      <c r="A1530">
        <v>16</v>
      </c>
      <c r="B1530" t="s">
        <v>80</v>
      </c>
      <c r="C1530">
        <v>44</v>
      </c>
      <c r="D1530">
        <f>COUNTIF(WeeklyPicks!$D$152:$F$161,C1530)</f>
        <v>0</v>
      </c>
    </row>
    <row r="1531" spans="1:4" x14ac:dyDescent="0.3">
      <c r="A1531">
        <v>16</v>
      </c>
      <c r="B1531" t="s">
        <v>80</v>
      </c>
      <c r="C1531">
        <v>45</v>
      </c>
      <c r="D1531">
        <f>COUNTIF(WeeklyPicks!$D$152:$F$161,C1531)</f>
        <v>0</v>
      </c>
    </row>
    <row r="1532" spans="1:4" x14ac:dyDescent="0.3">
      <c r="A1532">
        <v>16</v>
      </c>
      <c r="B1532" t="s">
        <v>80</v>
      </c>
      <c r="C1532">
        <v>46</v>
      </c>
      <c r="D1532">
        <f>COUNTIF(WeeklyPicks!$D$152:$F$161,C1532)</f>
        <v>0</v>
      </c>
    </row>
    <row r="1533" spans="1:4" x14ac:dyDescent="0.3">
      <c r="A1533">
        <v>16</v>
      </c>
      <c r="B1533" t="s">
        <v>80</v>
      </c>
      <c r="C1533">
        <v>47</v>
      </c>
      <c r="D1533">
        <f>COUNTIF(WeeklyPicks!$D$152:$F$161,C1533)</f>
        <v>0</v>
      </c>
    </row>
    <row r="1534" spans="1:4" x14ac:dyDescent="0.3">
      <c r="A1534">
        <v>16</v>
      </c>
      <c r="B1534" t="s">
        <v>80</v>
      </c>
      <c r="C1534">
        <v>48</v>
      </c>
      <c r="D1534">
        <f>COUNTIF(WeeklyPicks!$D$152:$F$161,C1534)</f>
        <v>0</v>
      </c>
    </row>
    <row r="1535" spans="1:4" x14ac:dyDescent="0.3">
      <c r="A1535">
        <v>16</v>
      </c>
      <c r="B1535" t="s">
        <v>80</v>
      </c>
      <c r="C1535">
        <v>49</v>
      </c>
      <c r="D1535">
        <f>COUNTIF(WeeklyPicks!$D$152:$F$161,C1535)</f>
        <v>0</v>
      </c>
    </row>
    <row r="1536" spans="1:4" x14ac:dyDescent="0.3">
      <c r="A1536">
        <v>16</v>
      </c>
      <c r="B1536" t="s">
        <v>80</v>
      </c>
      <c r="C1536">
        <v>50</v>
      </c>
      <c r="D1536">
        <f>COUNTIF(WeeklyPicks!$D$152:$F$161,C1536)</f>
        <v>0</v>
      </c>
    </row>
    <row r="1537" spans="1:4" x14ac:dyDescent="0.3">
      <c r="A1537">
        <v>16</v>
      </c>
      <c r="B1537" t="s">
        <v>80</v>
      </c>
      <c r="C1537">
        <v>51</v>
      </c>
      <c r="D1537">
        <f>COUNTIF(WeeklyPicks!$D$152:$F$161,C1537)</f>
        <v>0</v>
      </c>
    </row>
    <row r="1538" spans="1:4" x14ac:dyDescent="0.3">
      <c r="A1538">
        <v>16</v>
      </c>
      <c r="B1538" t="s">
        <v>80</v>
      </c>
      <c r="C1538">
        <v>52</v>
      </c>
      <c r="D1538">
        <f>COUNTIF(WeeklyPicks!$D$152:$F$161,C1538)</f>
        <v>0</v>
      </c>
    </row>
    <row r="1539" spans="1:4" x14ac:dyDescent="0.3">
      <c r="A1539">
        <v>16</v>
      </c>
      <c r="B1539" t="s">
        <v>80</v>
      </c>
      <c r="C1539">
        <v>53</v>
      </c>
      <c r="D1539">
        <f>COUNTIF(WeeklyPicks!$D$152:$F$161,C1539)</f>
        <v>0</v>
      </c>
    </row>
    <row r="1540" spans="1:4" x14ac:dyDescent="0.3">
      <c r="A1540">
        <v>16</v>
      </c>
      <c r="B1540" t="s">
        <v>80</v>
      </c>
      <c r="C1540">
        <v>54</v>
      </c>
      <c r="D1540">
        <f>COUNTIF(WeeklyPicks!$D$152:$F$161,C1540)</f>
        <v>0</v>
      </c>
    </row>
    <row r="1541" spans="1:4" x14ac:dyDescent="0.3">
      <c r="A1541">
        <v>16</v>
      </c>
      <c r="B1541" t="s">
        <v>80</v>
      </c>
      <c r="C1541">
        <v>55</v>
      </c>
      <c r="D1541">
        <f>COUNTIF(WeeklyPicks!$D$152:$F$161,C1541)</f>
        <v>0</v>
      </c>
    </row>
    <row r="1542" spans="1:4" x14ac:dyDescent="0.3">
      <c r="A1542">
        <v>16</v>
      </c>
      <c r="B1542" t="s">
        <v>80</v>
      </c>
      <c r="C1542">
        <v>56</v>
      </c>
      <c r="D1542">
        <f>COUNTIF(WeeklyPicks!$D$152:$F$161,C1542)</f>
        <v>0</v>
      </c>
    </row>
    <row r="1543" spans="1:4" x14ac:dyDescent="0.3">
      <c r="A1543">
        <v>16</v>
      </c>
      <c r="B1543" t="s">
        <v>80</v>
      </c>
      <c r="C1543">
        <v>57</v>
      </c>
      <c r="D1543">
        <f>COUNTIF(WeeklyPicks!$D$152:$F$161,C1543)</f>
        <v>0</v>
      </c>
    </row>
    <row r="1544" spans="1:4" x14ac:dyDescent="0.3">
      <c r="A1544">
        <v>16</v>
      </c>
      <c r="B1544" t="s">
        <v>80</v>
      </c>
      <c r="C1544">
        <v>58</v>
      </c>
      <c r="D1544">
        <f>COUNTIF(WeeklyPicks!$D$152:$F$161,C1544)</f>
        <v>0</v>
      </c>
    </row>
    <row r="1545" spans="1:4" x14ac:dyDescent="0.3">
      <c r="A1545">
        <v>16</v>
      </c>
      <c r="B1545" t="s">
        <v>80</v>
      </c>
      <c r="C1545">
        <v>59</v>
      </c>
      <c r="D1545">
        <f>COUNTIF(WeeklyPicks!$D$152:$F$161,C1545)</f>
        <v>0</v>
      </c>
    </row>
    <row r="1546" spans="1:4" x14ac:dyDescent="0.3">
      <c r="A1546">
        <v>16</v>
      </c>
      <c r="B1546" t="s">
        <v>80</v>
      </c>
      <c r="C1546">
        <v>60</v>
      </c>
      <c r="D1546">
        <f>COUNTIF(WeeklyPicks!$D$152:$F$161,C1546)</f>
        <v>0</v>
      </c>
    </row>
    <row r="1547" spans="1:4" x14ac:dyDescent="0.3">
      <c r="A1547">
        <v>16</v>
      </c>
      <c r="B1547" t="s">
        <v>80</v>
      </c>
      <c r="C1547">
        <v>61</v>
      </c>
      <c r="D1547">
        <f>COUNTIF(WeeklyPicks!$D$152:$F$161,C1547)</f>
        <v>0</v>
      </c>
    </row>
    <row r="1548" spans="1:4" x14ac:dyDescent="0.3">
      <c r="A1548">
        <v>16</v>
      </c>
      <c r="B1548" t="s">
        <v>80</v>
      </c>
      <c r="C1548">
        <v>62</v>
      </c>
      <c r="D1548">
        <f>COUNTIF(WeeklyPicks!$D$152:$F$161,C1548)</f>
        <v>0</v>
      </c>
    </row>
    <row r="1549" spans="1:4" x14ac:dyDescent="0.3">
      <c r="A1549">
        <v>16</v>
      </c>
      <c r="B1549" t="s">
        <v>80</v>
      </c>
      <c r="C1549">
        <v>63</v>
      </c>
      <c r="D1549">
        <f>COUNTIF(WeeklyPicks!$D$152:$F$161,C1549)</f>
        <v>0</v>
      </c>
    </row>
    <row r="1550" spans="1:4" x14ac:dyDescent="0.3">
      <c r="A1550">
        <v>16</v>
      </c>
      <c r="B1550" t="s">
        <v>80</v>
      </c>
      <c r="C1550">
        <v>64</v>
      </c>
      <c r="D1550">
        <f>COUNTIF(WeeklyPicks!$D$152:$F$161,C1550)</f>
        <v>0</v>
      </c>
    </row>
    <row r="1551" spans="1:4" x14ac:dyDescent="0.3">
      <c r="A1551">
        <v>16</v>
      </c>
      <c r="B1551" t="s">
        <v>80</v>
      </c>
      <c r="C1551">
        <v>65</v>
      </c>
      <c r="D1551">
        <f>COUNTIF(WeeklyPicks!$D$152:$F$161,C1551)</f>
        <v>0</v>
      </c>
    </row>
    <row r="1552" spans="1:4" x14ac:dyDescent="0.3">
      <c r="A1552">
        <v>16</v>
      </c>
      <c r="B1552" t="s">
        <v>80</v>
      </c>
      <c r="C1552">
        <v>66</v>
      </c>
      <c r="D1552">
        <f>COUNTIF(WeeklyPicks!$D$152:$F$161,C1552)</f>
        <v>0</v>
      </c>
    </row>
    <row r="1553" spans="1:4" x14ac:dyDescent="0.3">
      <c r="A1553">
        <v>16</v>
      </c>
      <c r="B1553" t="s">
        <v>80</v>
      </c>
      <c r="C1553">
        <v>67</v>
      </c>
      <c r="D1553">
        <f>COUNTIF(WeeklyPicks!$D$152:$F$161,C1553)</f>
        <v>0</v>
      </c>
    </row>
    <row r="1554" spans="1:4" x14ac:dyDescent="0.3">
      <c r="A1554">
        <v>16</v>
      </c>
      <c r="B1554" t="s">
        <v>80</v>
      </c>
      <c r="C1554">
        <v>68</v>
      </c>
      <c r="D1554">
        <f>COUNTIF(WeeklyPicks!$D$152:$F$161,C1554)</f>
        <v>0</v>
      </c>
    </row>
    <row r="1555" spans="1:4" x14ac:dyDescent="0.3">
      <c r="A1555">
        <v>16</v>
      </c>
      <c r="B1555" t="s">
        <v>80</v>
      </c>
      <c r="C1555">
        <v>69</v>
      </c>
      <c r="D1555">
        <f>COUNTIF(WeeklyPicks!$D$152:$F$161,C1555)</f>
        <v>0</v>
      </c>
    </row>
    <row r="1556" spans="1:4" x14ac:dyDescent="0.3">
      <c r="A1556">
        <v>16</v>
      </c>
      <c r="B1556" t="s">
        <v>80</v>
      </c>
      <c r="C1556">
        <v>70</v>
      </c>
      <c r="D1556">
        <f>COUNTIF(WeeklyPicks!$D$152:$F$161,C1556)</f>
        <v>0</v>
      </c>
    </row>
    <row r="1557" spans="1:4" x14ac:dyDescent="0.3">
      <c r="A1557">
        <v>16</v>
      </c>
      <c r="B1557" t="s">
        <v>80</v>
      </c>
      <c r="C1557">
        <v>71</v>
      </c>
      <c r="D1557">
        <f>COUNTIF(WeeklyPicks!$D$152:$F$161,C1557)</f>
        <v>0</v>
      </c>
    </row>
    <row r="1558" spans="1:4" x14ac:dyDescent="0.3">
      <c r="A1558">
        <v>16</v>
      </c>
      <c r="B1558" t="s">
        <v>80</v>
      </c>
      <c r="C1558">
        <v>72</v>
      </c>
      <c r="D1558">
        <f>COUNTIF(WeeklyPicks!$D$152:$F$161,C1558)</f>
        <v>0</v>
      </c>
    </row>
    <row r="1559" spans="1:4" x14ac:dyDescent="0.3">
      <c r="A1559">
        <v>16</v>
      </c>
      <c r="B1559" t="s">
        <v>80</v>
      </c>
      <c r="C1559">
        <v>73</v>
      </c>
      <c r="D1559">
        <f>COUNTIF(WeeklyPicks!$D$152:$F$161,C1559)</f>
        <v>0</v>
      </c>
    </row>
    <row r="1560" spans="1:4" x14ac:dyDescent="0.3">
      <c r="A1560">
        <v>16</v>
      </c>
      <c r="B1560" t="s">
        <v>80</v>
      </c>
      <c r="C1560">
        <v>74</v>
      </c>
      <c r="D1560">
        <f>COUNTIF(WeeklyPicks!$D$152:$F$161,C1560)</f>
        <v>0</v>
      </c>
    </row>
    <row r="1561" spans="1:4" x14ac:dyDescent="0.3">
      <c r="A1561">
        <v>16</v>
      </c>
      <c r="B1561" t="s">
        <v>80</v>
      </c>
      <c r="C1561">
        <v>75</v>
      </c>
      <c r="D1561">
        <f>COUNTIF(WeeklyPicks!$D$152:$F$161,C1561)</f>
        <v>0</v>
      </c>
    </row>
    <row r="1562" spans="1:4" x14ac:dyDescent="0.3">
      <c r="A1562">
        <v>16</v>
      </c>
      <c r="B1562" t="s">
        <v>80</v>
      </c>
      <c r="C1562">
        <v>76</v>
      </c>
      <c r="D1562">
        <f>COUNTIF(WeeklyPicks!$D$152:$F$161,C1562)</f>
        <v>0</v>
      </c>
    </row>
    <row r="1563" spans="1:4" x14ac:dyDescent="0.3">
      <c r="A1563">
        <v>16</v>
      </c>
      <c r="B1563" t="s">
        <v>80</v>
      </c>
      <c r="C1563">
        <v>77</v>
      </c>
      <c r="D1563">
        <f>COUNTIF(WeeklyPicks!$D$152:$F$161,C1563)</f>
        <v>0</v>
      </c>
    </row>
    <row r="1564" spans="1:4" x14ac:dyDescent="0.3">
      <c r="A1564">
        <v>16</v>
      </c>
      <c r="B1564" t="s">
        <v>80</v>
      </c>
      <c r="C1564">
        <v>78</v>
      </c>
      <c r="D1564">
        <f>COUNTIF(WeeklyPicks!$D$152:$F$161,C1564)</f>
        <v>0</v>
      </c>
    </row>
    <row r="1565" spans="1:4" x14ac:dyDescent="0.3">
      <c r="A1565">
        <v>16</v>
      </c>
      <c r="B1565" t="s">
        <v>80</v>
      </c>
      <c r="C1565">
        <v>79</v>
      </c>
      <c r="D1565">
        <f>COUNTIF(WeeklyPicks!$D$152:$F$161,C1565)</f>
        <v>0</v>
      </c>
    </row>
    <row r="1566" spans="1:4" x14ac:dyDescent="0.3">
      <c r="A1566">
        <v>16</v>
      </c>
      <c r="B1566" t="s">
        <v>80</v>
      </c>
      <c r="C1566">
        <v>80</v>
      </c>
      <c r="D1566">
        <f>COUNTIF(WeeklyPicks!$D$152:$F$161,C1566)</f>
        <v>0</v>
      </c>
    </row>
    <row r="1567" spans="1:4" x14ac:dyDescent="0.3">
      <c r="A1567">
        <v>16</v>
      </c>
      <c r="B1567" t="s">
        <v>80</v>
      </c>
      <c r="C1567">
        <v>81</v>
      </c>
      <c r="D1567">
        <f>COUNTIF(WeeklyPicks!$D$152:$F$161,C1567)</f>
        <v>0</v>
      </c>
    </row>
    <row r="1568" spans="1:4" x14ac:dyDescent="0.3">
      <c r="A1568">
        <v>16</v>
      </c>
      <c r="B1568" t="s">
        <v>80</v>
      </c>
      <c r="C1568">
        <v>82</v>
      </c>
      <c r="D1568">
        <f>COUNTIF(WeeklyPicks!$D$152:$F$161,C1568)</f>
        <v>0</v>
      </c>
    </row>
    <row r="1569" spans="1:4" x14ac:dyDescent="0.3">
      <c r="A1569">
        <v>16</v>
      </c>
      <c r="B1569" t="s">
        <v>80</v>
      </c>
      <c r="C1569">
        <v>83</v>
      </c>
      <c r="D1569">
        <f>COUNTIF(WeeklyPicks!$D$152:$F$161,C1569)</f>
        <v>0</v>
      </c>
    </row>
    <row r="1570" spans="1:4" x14ac:dyDescent="0.3">
      <c r="A1570">
        <v>16</v>
      </c>
      <c r="B1570" t="s">
        <v>80</v>
      </c>
      <c r="C1570">
        <v>84</v>
      </c>
      <c r="D1570">
        <f>COUNTIF(WeeklyPicks!$D$152:$F$161,C1570)</f>
        <v>0</v>
      </c>
    </row>
    <row r="1571" spans="1:4" x14ac:dyDescent="0.3">
      <c r="A1571">
        <v>16</v>
      </c>
      <c r="B1571" t="s">
        <v>80</v>
      </c>
      <c r="C1571">
        <v>85</v>
      </c>
      <c r="D1571">
        <f>COUNTIF(WeeklyPicks!$D$152:$F$161,C1571)</f>
        <v>0</v>
      </c>
    </row>
    <row r="1572" spans="1:4" x14ac:dyDescent="0.3">
      <c r="A1572">
        <v>16</v>
      </c>
      <c r="B1572" t="s">
        <v>80</v>
      </c>
      <c r="C1572">
        <v>86</v>
      </c>
      <c r="D1572">
        <f>COUNTIF(WeeklyPicks!$D$152:$F$161,C1572)</f>
        <v>0</v>
      </c>
    </row>
    <row r="1573" spans="1:4" x14ac:dyDescent="0.3">
      <c r="A1573">
        <v>16</v>
      </c>
      <c r="B1573" t="s">
        <v>80</v>
      </c>
      <c r="C1573">
        <v>87</v>
      </c>
      <c r="D1573">
        <f>COUNTIF(WeeklyPicks!$D$152:$F$161,C1573)</f>
        <v>0</v>
      </c>
    </row>
    <row r="1574" spans="1:4" x14ac:dyDescent="0.3">
      <c r="A1574">
        <v>16</v>
      </c>
      <c r="B1574" t="s">
        <v>80</v>
      </c>
      <c r="C1574">
        <v>88</v>
      </c>
      <c r="D1574">
        <f>COUNTIF(WeeklyPicks!$D$152:$F$161,C1574)</f>
        <v>0</v>
      </c>
    </row>
    <row r="1575" spans="1:4" x14ac:dyDescent="0.3">
      <c r="A1575">
        <v>16</v>
      </c>
      <c r="B1575" t="s">
        <v>80</v>
      </c>
      <c r="C1575">
        <v>89</v>
      </c>
      <c r="D1575">
        <f>COUNTIF(WeeklyPicks!$D$152:$F$161,C1575)</f>
        <v>0</v>
      </c>
    </row>
    <row r="1576" spans="1:4" x14ac:dyDescent="0.3">
      <c r="A1576">
        <v>16</v>
      </c>
      <c r="B1576" t="s">
        <v>80</v>
      </c>
      <c r="C1576">
        <v>90</v>
      </c>
      <c r="D1576">
        <f>COUNTIF(WeeklyPicks!$D$152:$F$161,C1576)</f>
        <v>0</v>
      </c>
    </row>
    <row r="1577" spans="1:4" x14ac:dyDescent="0.3">
      <c r="A1577">
        <v>16</v>
      </c>
      <c r="B1577" t="s">
        <v>80</v>
      </c>
      <c r="C1577">
        <v>91</v>
      </c>
      <c r="D1577">
        <f>COUNTIF(WeeklyPicks!$D$152:$F$161,C1577)</f>
        <v>0</v>
      </c>
    </row>
    <row r="1578" spans="1:4" x14ac:dyDescent="0.3">
      <c r="A1578">
        <v>16</v>
      </c>
      <c r="B1578" t="s">
        <v>80</v>
      </c>
      <c r="C1578">
        <v>92</v>
      </c>
      <c r="D1578">
        <f>COUNTIF(WeeklyPicks!$D$152:$F$161,C1578)</f>
        <v>0</v>
      </c>
    </row>
    <row r="1579" spans="1:4" x14ac:dyDescent="0.3">
      <c r="A1579">
        <v>16</v>
      </c>
      <c r="B1579" t="s">
        <v>80</v>
      </c>
      <c r="C1579">
        <v>93</v>
      </c>
      <c r="D1579">
        <f>COUNTIF(WeeklyPicks!$D$152:$F$161,C1579)</f>
        <v>0</v>
      </c>
    </row>
    <row r="1580" spans="1:4" x14ac:dyDescent="0.3">
      <c r="A1580">
        <v>16</v>
      </c>
      <c r="B1580" t="s">
        <v>80</v>
      </c>
      <c r="C1580">
        <v>94</v>
      </c>
      <c r="D1580">
        <f>COUNTIF(WeeklyPicks!$D$152:$F$161,C1580)</f>
        <v>0</v>
      </c>
    </row>
    <row r="1581" spans="1:4" x14ac:dyDescent="0.3">
      <c r="A1581">
        <v>16</v>
      </c>
      <c r="B1581" t="s">
        <v>80</v>
      </c>
      <c r="C1581">
        <v>95</v>
      </c>
      <c r="D1581">
        <f>COUNTIF(WeeklyPicks!$D$152:$F$161,C1581)</f>
        <v>0</v>
      </c>
    </row>
    <row r="1582" spans="1:4" x14ac:dyDescent="0.3">
      <c r="A1582">
        <v>16</v>
      </c>
      <c r="B1582" t="s">
        <v>80</v>
      </c>
      <c r="C1582">
        <v>96</v>
      </c>
      <c r="D1582">
        <f>COUNTIF(WeeklyPicks!$D$152:$F$161,C1582)</f>
        <v>0</v>
      </c>
    </row>
    <row r="1583" spans="1:4" x14ac:dyDescent="0.3">
      <c r="A1583">
        <v>16</v>
      </c>
      <c r="B1583" t="s">
        <v>80</v>
      </c>
      <c r="C1583">
        <v>97</v>
      </c>
      <c r="D1583">
        <f>COUNTIF(WeeklyPicks!$D$152:$F$161,C1583)</f>
        <v>0</v>
      </c>
    </row>
    <row r="1584" spans="1:4" x14ac:dyDescent="0.3">
      <c r="A1584">
        <v>16</v>
      </c>
      <c r="B1584" t="s">
        <v>80</v>
      </c>
      <c r="C1584">
        <v>98</v>
      </c>
      <c r="D1584">
        <f>COUNTIF(WeeklyPicks!$D$152:$F$161,C1584)</f>
        <v>0</v>
      </c>
    </row>
    <row r="1585" spans="1:4" x14ac:dyDescent="0.3">
      <c r="A1585">
        <v>16</v>
      </c>
      <c r="B1585" t="s">
        <v>80</v>
      </c>
      <c r="C1585">
        <v>99</v>
      </c>
      <c r="D1585">
        <f>COUNTIF(WeeklyPicks!$D$152:$F$161,C1585)</f>
        <v>0</v>
      </c>
    </row>
    <row r="1586" spans="1:4" x14ac:dyDescent="0.3">
      <c r="A1586">
        <v>17</v>
      </c>
      <c r="B1586" t="s">
        <v>82</v>
      </c>
      <c r="C1586">
        <v>1</v>
      </c>
      <c r="D1586">
        <f>COUNTIF(WeeklyPicks!$D$162:$F$171,C1586)</f>
        <v>0</v>
      </c>
    </row>
    <row r="1587" spans="1:4" x14ac:dyDescent="0.3">
      <c r="A1587">
        <v>17</v>
      </c>
      <c r="B1587" t="s">
        <v>82</v>
      </c>
      <c r="C1587">
        <v>2</v>
      </c>
      <c r="D1587">
        <f>COUNTIF(WeeklyPicks!$D$162:$F$171,C1587)</f>
        <v>0</v>
      </c>
    </row>
    <row r="1588" spans="1:4" x14ac:dyDescent="0.3">
      <c r="A1588">
        <v>17</v>
      </c>
      <c r="B1588" t="s">
        <v>82</v>
      </c>
      <c r="C1588">
        <v>3</v>
      </c>
      <c r="D1588">
        <f>COUNTIF(WeeklyPicks!$D$162:$F$171,C1588)</f>
        <v>0</v>
      </c>
    </row>
    <row r="1589" spans="1:4" x14ac:dyDescent="0.3">
      <c r="A1589">
        <v>17</v>
      </c>
      <c r="B1589" t="s">
        <v>82</v>
      </c>
      <c r="C1589">
        <v>4</v>
      </c>
      <c r="D1589">
        <f>COUNTIF(WeeklyPicks!$D$162:$F$171,C1589)</f>
        <v>0</v>
      </c>
    </row>
    <row r="1590" spans="1:4" x14ac:dyDescent="0.3">
      <c r="A1590">
        <v>17</v>
      </c>
      <c r="B1590" t="s">
        <v>82</v>
      </c>
      <c r="C1590">
        <v>5</v>
      </c>
      <c r="D1590">
        <f>COUNTIF(WeeklyPicks!$D$162:$F$171,C1590)</f>
        <v>0</v>
      </c>
    </row>
    <row r="1591" spans="1:4" x14ac:dyDescent="0.3">
      <c r="A1591">
        <v>17</v>
      </c>
      <c r="B1591" t="s">
        <v>82</v>
      </c>
      <c r="C1591">
        <v>6</v>
      </c>
      <c r="D1591">
        <f>COUNTIF(WeeklyPicks!$D$162:$F$171,C1591)</f>
        <v>0</v>
      </c>
    </row>
    <row r="1592" spans="1:4" x14ac:dyDescent="0.3">
      <c r="A1592">
        <v>17</v>
      </c>
      <c r="B1592" t="s">
        <v>82</v>
      </c>
      <c r="C1592">
        <v>7</v>
      </c>
      <c r="D1592">
        <f>COUNTIF(WeeklyPicks!$D$162:$F$171,C1592)</f>
        <v>0</v>
      </c>
    </row>
    <row r="1593" spans="1:4" x14ac:dyDescent="0.3">
      <c r="A1593">
        <v>17</v>
      </c>
      <c r="B1593" t="s">
        <v>82</v>
      </c>
      <c r="C1593">
        <v>8</v>
      </c>
      <c r="D1593">
        <f>COUNTIF(WeeklyPicks!$D$162:$F$171,C1593)</f>
        <v>0</v>
      </c>
    </row>
    <row r="1594" spans="1:4" x14ac:dyDescent="0.3">
      <c r="A1594">
        <v>17</v>
      </c>
      <c r="B1594" t="s">
        <v>82</v>
      </c>
      <c r="C1594">
        <v>9</v>
      </c>
      <c r="D1594">
        <f>COUNTIF(WeeklyPicks!$D$162:$F$171,C1594)</f>
        <v>0</v>
      </c>
    </row>
    <row r="1595" spans="1:4" x14ac:dyDescent="0.3">
      <c r="A1595">
        <v>17</v>
      </c>
      <c r="B1595" t="s">
        <v>82</v>
      </c>
      <c r="C1595">
        <v>10</v>
      </c>
      <c r="D1595">
        <f>COUNTIF(WeeklyPicks!$D$162:$F$171,C1595)</f>
        <v>0</v>
      </c>
    </row>
    <row r="1596" spans="1:4" x14ac:dyDescent="0.3">
      <c r="A1596">
        <v>17</v>
      </c>
      <c r="B1596" t="s">
        <v>82</v>
      </c>
      <c r="C1596">
        <v>11</v>
      </c>
      <c r="D1596">
        <f>COUNTIF(WeeklyPicks!$D$162:$F$171,C1596)</f>
        <v>0</v>
      </c>
    </row>
    <row r="1597" spans="1:4" x14ac:dyDescent="0.3">
      <c r="A1597">
        <v>17</v>
      </c>
      <c r="B1597" t="s">
        <v>82</v>
      </c>
      <c r="C1597">
        <v>12</v>
      </c>
      <c r="D1597">
        <f>COUNTIF(WeeklyPicks!$D$162:$F$171,C1597)</f>
        <v>0</v>
      </c>
    </row>
    <row r="1598" spans="1:4" x14ac:dyDescent="0.3">
      <c r="A1598">
        <v>17</v>
      </c>
      <c r="B1598" t="s">
        <v>82</v>
      </c>
      <c r="C1598">
        <v>13</v>
      </c>
      <c r="D1598">
        <f>COUNTIF(WeeklyPicks!$D$162:$F$171,C1598)</f>
        <v>0</v>
      </c>
    </row>
    <row r="1599" spans="1:4" x14ac:dyDescent="0.3">
      <c r="A1599">
        <v>17</v>
      </c>
      <c r="B1599" t="s">
        <v>82</v>
      </c>
      <c r="C1599">
        <v>14</v>
      </c>
      <c r="D1599">
        <f>COUNTIF(WeeklyPicks!$D$162:$F$171,C1599)</f>
        <v>0</v>
      </c>
    </row>
    <row r="1600" spans="1:4" x14ac:dyDescent="0.3">
      <c r="A1600">
        <v>17</v>
      </c>
      <c r="B1600" t="s">
        <v>82</v>
      </c>
      <c r="C1600">
        <v>15</v>
      </c>
      <c r="D1600">
        <f>COUNTIF(WeeklyPicks!$D$162:$F$171,C1600)</f>
        <v>0</v>
      </c>
    </row>
    <row r="1601" spans="1:4" x14ac:dyDescent="0.3">
      <c r="A1601">
        <v>17</v>
      </c>
      <c r="B1601" t="s">
        <v>82</v>
      </c>
      <c r="C1601">
        <v>16</v>
      </c>
      <c r="D1601">
        <f>COUNTIF(WeeklyPicks!$D$162:$F$171,C1601)</f>
        <v>0</v>
      </c>
    </row>
    <row r="1602" spans="1:4" x14ac:dyDescent="0.3">
      <c r="A1602">
        <v>17</v>
      </c>
      <c r="B1602" t="s">
        <v>82</v>
      </c>
      <c r="C1602">
        <v>17</v>
      </c>
      <c r="D1602">
        <f>COUNTIF(WeeklyPicks!$D$162:$F$171,C1602)</f>
        <v>0</v>
      </c>
    </row>
    <row r="1603" spans="1:4" x14ac:dyDescent="0.3">
      <c r="A1603">
        <v>17</v>
      </c>
      <c r="B1603" t="s">
        <v>82</v>
      </c>
      <c r="C1603">
        <v>18</v>
      </c>
      <c r="D1603">
        <f>COUNTIF(WeeklyPicks!$D$162:$F$171,C1603)</f>
        <v>0</v>
      </c>
    </row>
    <row r="1604" spans="1:4" x14ac:dyDescent="0.3">
      <c r="A1604">
        <v>17</v>
      </c>
      <c r="B1604" t="s">
        <v>82</v>
      </c>
      <c r="C1604">
        <v>19</v>
      </c>
      <c r="D1604">
        <f>COUNTIF(WeeklyPicks!$D$162:$F$171,C1604)</f>
        <v>0</v>
      </c>
    </row>
    <row r="1605" spans="1:4" x14ac:dyDescent="0.3">
      <c r="A1605">
        <v>17</v>
      </c>
      <c r="B1605" t="s">
        <v>82</v>
      </c>
      <c r="C1605">
        <v>20</v>
      </c>
      <c r="D1605">
        <f>COUNTIF(WeeklyPicks!$D$162:$F$171,C1605)</f>
        <v>0</v>
      </c>
    </row>
    <row r="1606" spans="1:4" x14ac:dyDescent="0.3">
      <c r="A1606">
        <v>17</v>
      </c>
      <c r="B1606" t="s">
        <v>82</v>
      </c>
      <c r="C1606">
        <v>21</v>
      </c>
      <c r="D1606">
        <f>COUNTIF(WeeklyPicks!$D$162:$F$171,C1606)</f>
        <v>0</v>
      </c>
    </row>
    <row r="1607" spans="1:4" x14ac:dyDescent="0.3">
      <c r="A1607">
        <v>17</v>
      </c>
      <c r="B1607" t="s">
        <v>82</v>
      </c>
      <c r="C1607">
        <v>22</v>
      </c>
      <c r="D1607">
        <f>COUNTIF(WeeklyPicks!$D$162:$F$171,C1607)</f>
        <v>0</v>
      </c>
    </row>
    <row r="1608" spans="1:4" x14ac:dyDescent="0.3">
      <c r="A1608">
        <v>17</v>
      </c>
      <c r="B1608" t="s">
        <v>82</v>
      </c>
      <c r="C1608">
        <v>23</v>
      </c>
      <c r="D1608">
        <f>COUNTIF(WeeklyPicks!$D$162:$F$171,C1608)</f>
        <v>0</v>
      </c>
    </row>
    <row r="1609" spans="1:4" x14ac:dyDescent="0.3">
      <c r="A1609">
        <v>17</v>
      </c>
      <c r="B1609" t="s">
        <v>82</v>
      </c>
      <c r="C1609">
        <v>24</v>
      </c>
      <c r="D1609">
        <f>COUNTIF(WeeklyPicks!$D$162:$F$171,C1609)</f>
        <v>0</v>
      </c>
    </row>
    <row r="1610" spans="1:4" x14ac:dyDescent="0.3">
      <c r="A1610">
        <v>17</v>
      </c>
      <c r="B1610" t="s">
        <v>82</v>
      </c>
      <c r="C1610">
        <v>25</v>
      </c>
      <c r="D1610">
        <f>COUNTIF(WeeklyPicks!$D$162:$F$171,C1610)</f>
        <v>0</v>
      </c>
    </row>
    <row r="1611" spans="1:4" x14ac:dyDescent="0.3">
      <c r="A1611">
        <v>17</v>
      </c>
      <c r="B1611" t="s">
        <v>82</v>
      </c>
      <c r="C1611">
        <v>26</v>
      </c>
      <c r="D1611">
        <f>COUNTIF(WeeklyPicks!$D$162:$F$171,C1611)</f>
        <v>0</v>
      </c>
    </row>
    <row r="1612" spans="1:4" x14ac:dyDescent="0.3">
      <c r="A1612">
        <v>17</v>
      </c>
      <c r="B1612" t="s">
        <v>82</v>
      </c>
      <c r="C1612">
        <v>27</v>
      </c>
      <c r="D1612">
        <f>COUNTIF(WeeklyPicks!$D$162:$F$171,C1612)</f>
        <v>0</v>
      </c>
    </row>
    <row r="1613" spans="1:4" x14ac:dyDescent="0.3">
      <c r="A1613">
        <v>17</v>
      </c>
      <c r="B1613" t="s">
        <v>82</v>
      </c>
      <c r="C1613">
        <v>28</v>
      </c>
      <c r="D1613">
        <f>COUNTIF(WeeklyPicks!$D$162:$F$171,C1613)</f>
        <v>0</v>
      </c>
    </row>
    <row r="1614" spans="1:4" x14ac:dyDescent="0.3">
      <c r="A1614">
        <v>17</v>
      </c>
      <c r="B1614" t="s">
        <v>82</v>
      </c>
      <c r="C1614">
        <v>29</v>
      </c>
      <c r="D1614">
        <f>COUNTIF(WeeklyPicks!$D$162:$F$171,C1614)</f>
        <v>0</v>
      </c>
    </row>
    <row r="1615" spans="1:4" x14ac:dyDescent="0.3">
      <c r="A1615">
        <v>17</v>
      </c>
      <c r="B1615" t="s">
        <v>82</v>
      </c>
      <c r="C1615">
        <v>30</v>
      </c>
      <c r="D1615">
        <f>COUNTIF(WeeklyPicks!$D$162:$F$171,C1615)</f>
        <v>0</v>
      </c>
    </row>
    <row r="1616" spans="1:4" x14ac:dyDescent="0.3">
      <c r="A1616">
        <v>17</v>
      </c>
      <c r="B1616" t="s">
        <v>82</v>
      </c>
      <c r="C1616">
        <v>31</v>
      </c>
      <c r="D1616">
        <f>COUNTIF(WeeklyPicks!$D$162:$F$171,C1616)</f>
        <v>0</v>
      </c>
    </row>
    <row r="1617" spans="1:4" x14ac:dyDescent="0.3">
      <c r="A1617">
        <v>17</v>
      </c>
      <c r="B1617" t="s">
        <v>82</v>
      </c>
      <c r="C1617">
        <v>32</v>
      </c>
      <c r="D1617">
        <f>COUNTIF(WeeklyPicks!$D$162:$F$171,C1617)</f>
        <v>0</v>
      </c>
    </row>
    <row r="1618" spans="1:4" x14ac:dyDescent="0.3">
      <c r="A1618">
        <v>17</v>
      </c>
      <c r="B1618" t="s">
        <v>82</v>
      </c>
      <c r="C1618">
        <v>33</v>
      </c>
      <c r="D1618">
        <f>COUNTIF(WeeklyPicks!$D$162:$F$171,C1618)</f>
        <v>0</v>
      </c>
    </row>
    <row r="1619" spans="1:4" x14ac:dyDescent="0.3">
      <c r="A1619">
        <v>17</v>
      </c>
      <c r="B1619" t="s">
        <v>82</v>
      </c>
      <c r="C1619">
        <v>34</v>
      </c>
      <c r="D1619">
        <f>COUNTIF(WeeklyPicks!$D$162:$F$171,C1619)</f>
        <v>0</v>
      </c>
    </row>
    <row r="1620" spans="1:4" x14ac:dyDescent="0.3">
      <c r="A1620">
        <v>17</v>
      </c>
      <c r="B1620" t="s">
        <v>82</v>
      </c>
      <c r="C1620">
        <v>35</v>
      </c>
      <c r="D1620">
        <f>COUNTIF(WeeklyPicks!$D$162:$F$171,C1620)</f>
        <v>0</v>
      </c>
    </row>
    <row r="1621" spans="1:4" x14ac:dyDescent="0.3">
      <c r="A1621">
        <v>17</v>
      </c>
      <c r="B1621" t="s">
        <v>82</v>
      </c>
      <c r="C1621">
        <v>36</v>
      </c>
      <c r="D1621">
        <f>COUNTIF(WeeklyPicks!$D$162:$F$171,C1621)</f>
        <v>0</v>
      </c>
    </row>
    <row r="1622" spans="1:4" x14ac:dyDescent="0.3">
      <c r="A1622">
        <v>17</v>
      </c>
      <c r="B1622" t="s">
        <v>82</v>
      </c>
      <c r="C1622">
        <v>37</v>
      </c>
      <c r="D1622">
        <f>COUNTIF(WeeklyPicks!$D$162:$F$171,C1622)</f>
        <v>0</v>
      </c>
    </row>
    <row r="1623" spans="1:4" x14ac:dyDescent="0.3">
      <c r="A1623">
        <v>17</v>
      </c>
      <c r="B1623" t="s">
        <v>82</v>
      </c>
      <c r="C1623">
        <v>38</v>
      </c>
      <c r="D1623">
        <f>COUNTIF(WeeklyPicks!$D$162:$F$171,C1623)</f>
        <v>0</v>
      </c>
    </row>
    <row r="1624" spans="1:4" x14ac:dyDescent="0.3">
      <c r="A1624">
        <v>17</v>
      </c>
      <c r="B1624" t="s">
        <v>82</v>
      </c>
      <c r="C1624">
        <v>39</v>
      </c>
      <c r="D1624">
        <f>COUNTIF(WeeklyPicks!$D$162:$F$171,C1624)</f>
        <v>0</v>
      </c>
    </row>
    <row r="1625" spans="1:4" x14ac:dyDescent="0.3">
      <c r="A1625">
        <v>17</v>
      </c>
      <c r="B1625" t="s">
        <v>82</v>
      </c>
      <c r="C1625">
        <v>40</v>
      </c>
      <c r="D1625">
        <f>COUNTIF(WeeklyPicks!$D$162:$F$171,C1625)</f>
        <v>0</v>
      </c>
    </row>
    <row r="1626" spans="1:4" x14ac:dyDescent="0.3">
      <c r="A1626">
        <v>17</v>
      </c>
      <c r="B1626" t="s">
        <v>82</v>
      </c>
      <c r="C1626">
        <v>41</v>
      </c>
      <c r="D1626">
        <f>COUNTIF(WeeklyPicks!$D$162:$F$171,C1626)</f>
        <v>0</v>
      </c>
    </row>
    <row r="1627" spans="1:4" x14ac:dyDescent="0.3">
      <c r="A1627">
        <v>17</v>
      </c>
      <c r="B1627" t="s">
        <v>82</v>
      </c>
      <c r="C1627">
        <v>42</v>
      </c>
      <c r="D1627">
        <f>COUNTIF(WeeklyPicks!$D$162:$F$171,C1627)</f>
        <v>0</v>
      </c>
    </row>
    <row r="1628" spans="1:4" x14ac:dyDescent="0.3">
      <c r="A1628">
        <v>17</v>
      </c>
      <c r="B1628" t="s">
        <v>82</v>
      </c>
      <c r="C1628">
        <v>43</v>
      </c>
      <c r="D1628">
        <f>COUNTIF(WeeklyPicks!$D$162:$F$171,C1628)</f>
        <v>0</v>
      </c>
    </row>
    <row r="1629" spans="1:4" x14ac:dyDescent="0.3">
      <c r="A1629">
        <v>17</v>
      </c>
      <c r="B1629" t="s">
        <v>82</v>
      </c>
      <c r="C1629">
        <v>44</v>
      </c>
      <c r="D1629">
        <f>COUNTIF(WeeklyPicks!$D$162:$F$171,C1629)</f>
        <v>0</v>
      </c>
    </row>
    <row r="1630" spans="1:4" x14ac:dyDescent="0.3">
      <c r="A1630">
        <v>17</v>
      </c>
      <c r="B1630" t="s">
        <v>82</v>
      </c>
      <c r="C1630">
        <v>45</v>
      </c>
      <c r="D1630">
        <f>COUNTIF(WeeklyPicks!$D$162:$F$171,C1630)</f>
        <v>0</v>
      </c>
    </row>
    <row r="1631" spans="1:4" x14ac:dyDescent="0.3">
      <c r="A1631">
        <v>17</v>
      </c>
      <c r="B1631" t="s">
        <v>82</v>
      </c>
      <c r="C1631">
        <v>46</v>
      </c>
      <c r="D1631">
        <f>COUNTIF(WeeklyPicks!$D$162:$F$171,C1631)</f>
        <v>0</v>
      </c>
    </row>
    <row r="1632" spans="1:4" x14ac:dyDescent="0.3">
      <c r="A1632">
        <v>17</v>
      </c>
      <c r="B1632" t="s">
        <v>82</v>
      </c>
      <c r="C1632">
        <v>47</v>
      </c>
      <c r="D1632">
        <f>COUNTIF(WeeklyPicks!$D$162:$F$171,C1632)</f>
        <v>0</v>
      </c>
    </row>
    <row r="1633" spans="1:4" x14ac:dyDescent="0.3">
      <c r="A1633">
        <v>17</v>
      </c>
      <c r="B1633" t="s">
        <v>82</v>
      </c>
      <c r="C1633">
        <v>48</v>
      </c>
      <c r="D1633">
        <f>COUNTIF(WeeklyPicks!$D$162:$F$171,C1633)</f>
        <v>0</v>
      </c>
    </row>
    <row r="1634" spans="1:4" x14ac:dyDescent="0.3">
      <c r="A1634">
        <v>17</v>
      </c>
      <c r="B1634" t="s">
        <v>82</v>
      </c>
      <c r="C1634">
        <v>49</v>
      </c>
      <c r="D1634">
        <f>COUNTIF(WeeklyPicks!$D$162:$F$171,C1634)</f>
        <v>0</v>
      </c>
    </row>
    <row r="1635" spans="1:4" x14ac:dyDescent="0.3">
      <c r="A1635">
        <v>17</v>
      </c>
      <c r="B1635" t="s">
        <v>82</v>
      </c>
      <c r="C1635">
        <v>50</v>
      </c>
      <c r="D1635">
        <f>COUNTIF(WeeklyPicks!$D$162:$F$171,C1635)</f>
        <v>0</v>
      </c>
    </row>
    <row r="1636" spans="1:4" x14ac:dyDescent="0.3">
      <c r="A1636">
        <v>17</v>
      </c>
      <c r="B1636" t="s">
        <v>82</v>
      </c>
      <c r="C1636">
        <v>51</v>
      </c>
      <c r="D1636">
        <f>COUNTIF(WeeklyPicks!$D$162:$F$171,C1636)</f>
        <v>0</v>
      </c>
    </row>
    <row r="1637" spans="1:4" x14ac:dyDescent="0.3">
      <c r="A1637">
        <v>17</v>
      </c>
      <c r="B1637" t="s">
        <v>82</v>
      </c>
      <c r="C1637">
        <v>52</v>
      </c>
      <c r="D1637">
        <f>COUNTIF(WeeklyPicks!$D$162:$F$171,C1637)</f>
        <v>0</v>
      </c>
    </row>
    <row r="1638" spans="1:4" x14ac:dyDescent="0.3">
      <c r="A1638">
        <v>17</v>
      </c>
      <c r="B1638" t="s">
        <v>82</v>
      </c>
      <c r="C1638">
        <v>53</v>
      </c>
      <c r="D1638">
        <f>COUNTIF(WeeklyPicks!$D$162:$F$171,C1638)</f>
        <v>0</v>
      </c>
    </row>
    <row r="1639" spans="1:4" x14ac:dyDescent="0.3">
      <c r="A1639">
        <v>17</v>
      </c>
      <c r="B1639" t="s">
        <v>82</v>
      </c>
      <c r="C1639">
        <v>54</v>
      </c>
      <c r="D1639">
        <f>COUNTIF(WeeklyPicks!$D$162:$F$171,C1639)</f>
        <v>0</v>
      </c>
    </row>
    <row r="1640" spans="1:4" x14ac:dyDescent="0.3">
      <c r="A1640">
        <v>17</v>
      </c>
      <c r="B1640" t="s">
        <v>82</v>
      </c>
      <c r="C1640">
        <v>55</v>
      </c>
      <c r="D1640">
        <f>COUNTIF(WeeklyPicks!$D$162:$F$171,C1640)</f>
        <v>0</v>
      </c>
    </row>
    <row r="1641" spans="1:4" x14ac:dyDescent="0.3">
      <c r="A1641">
        <v>17</v>
      </c>
      <c r="B1641" t="s">
        <v>82</v>
      </c>
      <c r="C1641">
        <v>56</v>
      </c>
      <c r="D1641">
        <f>COUNTIF(WeeklyPicks!$D$162:$F$171,C1641)</f>
        <v>0</v>
      </c>
    </row>
    <row r="1642" spans="1:4" x14ac:dyDescent="0.3">
      <c r="A1642">
        <v>17</v>
      </c>
      <c r="B1642" t="s">
        <v>82</v>
      </c>
      <c r="C1642">
        <v>57</v>
      </c>
      <c r="D1642">
        <f>COUNTIF(WeeklyPicks!$D$162:$F$171,C1642)</f>
        <v>0</v>
      </c>
    </row>
    <row r="1643" spans="1:4" x14ac:dyDescent="0.3">
      <c r="A1643">
        <v>17</v>
      </c>
      <c r="B1643" t="s">
        <v>82</v>
      </c>
      <c r="C1643">
        <v>58</v>
      </c>
      <c r="D1643">
        <f>COUNTIF(WeeklyPicks!$D$162:$F$171,C1643)</f>
        <v>0</v>
      </c>
    </row>
    <row r="1644" spans="1:4" x14ac:dyDescent="0.3">
      <c r="A1644">
        <v>17</v>
      </c>
      <c r="B1644" t="s">
        <v>82</v>
      </c>
      <c r="C1644">
        <v>59</v>
      </c>
      <c r="D1644">
        <f>COUNTIF(WeeklyPicks!$D$162:$F$171,C1644)</f>
        <v>0</v>
      </c>
    </row>
    <row r="1645" spans="1:4" x14ac:dyDescent="0.3">
      <c r="A1645">
        <v>17</v>
      </c>
      <c r="B1645" t="s">
        <v>82</v>
      </c>
      <c r="C1645">
        <v>60</v>
      </c>
      <c r="D1645">
        <f>COUNTIF(WeeklyPicks!$D$162:$F$171,C1645)</f>
        <v>0</v>
      </c>
    </row>
    <row r="1646" spans="1:4" x14ac:dyDescent="0.3">
      <c r="A1646">
        <v>17</v>
      </c>
      <c r="B1646" t="s">
        <v>82</v>
      </c>
      <c r="C1646">
        <v>61</v>
      </c>
      <c r="D1646">
        <f>COUNTIF(WeeklyPicks!$D$162:$F$171,C1646)</f>
        <v>0</v>
      </c>
    </row>
    <row r="1647" spans="1:4" x14ac:dyDescent="0.3">
      <c r="A1647">
        <v>17</v>
      </c>
      <c r="B1647" t="s">
        <v>82</v>
      </c>
      <c r="C1647">
        <v>62</v>
      </c>
      <c r="D1647">
        <f>COUNTIF(WeeklyPicks!$D$162:$F$171,C1647)</f>
        <v>0</v>
      </c>
    </row>
    <row r="1648" spans="1:4" x14ac:dyDescent="0.3">
      <c r="A1648">
        <v>17</v>
      </c>
      <c r="B1648" t="s">
        <v>82</v>
      </c>
      <c r="C1648">
        <v>63</v>
      </c>
      <c r="D1648">
        <f>COUNTIF(WeeklyPicks!$D$162:$F$171,C1648)</f>
        <v>0</v>
      </c>
    </row>
    <row r="1649" spans="1:4" x14ac:dyDescent="0.3">
      <c r="A1649">
        <v>17</v>
      </c>
      <c r="B1649" t="s">
        <v>82</v>
      </c>
      <c r="C1649">
        <v>64</v>
      </c>
      <c r="D1649">
        <f>COUNTIF(WeeklyPicks!$D$162:$F$171,C1649)</f>
        <v>0</v>
      </c>
    </row>
    <row r="1650" spans="1:4" x14ac:dyDescent="0.3">
      <c r="A1650">
        <v>17</v>
      </c>
      <c r="B1650" t="s">
        <v>82</v>
      </c>
      <c r="C1650">
        <v>65</v>
      </c>
      <c r="D1650">
        <f>COUNTIF(WeeklyPicks!$D$162:$F$171,C1650)</f>
        <v>0</v>
      </c>
    </row>
    <row r="1651" spans="1:4" x14ac:dyDescent="0.3">
      <c r="A1651">
        <v>17</v>
      </c>
      <c r="B1651" t="s">
        <v>82</v>
      </c>
      <c r="C1651">
        <v>66</v>
      </c>
      <c r="D1651">
        <f>COUNTIF(WeeklyPicks!$D$162:$F$171,C1651)</f>
        <v>0</v>
      </c>
    </row>
    <row r="1652" spans="1:4" x14ac:dyDescent="0.3">
      <c r="A1652">
        <v>17</v>
      </c>
      <c r="B1652" t="s">
        <v>82</v>
      </c>
      <c r="C1652">
        <v>67</v>
      </c>
      <c r="D1652">
        <f>COUNTIF(WeeklyPicks!$D$162:$F$171,C1652)</f>
        <v>0</v>
      </c>
    </row>
    <row r="1653" spans="1:4" x14ac:dyDescent="0.3">
      <c r="A1653">
        <v>17</v>
      </c>
      <c r="B1653" t="s">
        <v>82</v>
      </c>
      <c r="C1653">
        <v>68</v>
      </c>
      <c r="D1653">
        <f>COUNTIF(WeeklyPicks!$D$162:$F$171,C1653)</f>
        <v>0</v>
      </c>
    </row>
    <row r="1654" spans="1:4" x14ac:dyDescent="0.3">
      <c r="A1654">
        <v>17</v>
      </c>
      <c r="B1654" t="s">
        <v>82</v>
      </c>
      <c r="C1654">
        <v>69</v>
      </c>
      <c r="D1654">
        <f>COUNTIF(WeeklyPicks!$D$162:$F$171,C1654)</f>
        <v>0</v>
      </c>
    </row>
    <row r="1655" spans="1:4" x14ac:dyDescent="0.3">
      <c r="A1655">
        <v>17</v>
      </c>
      <c r="B1655" t="s">
        <v>82</v>
      </c>
      <c r="C1655">
        <v>70</v>
      </c>
      <c r="D1655">
        <f>COUNTIF(WeeklyPicks!$D$162:$F$171,C1655)</f>
        <v>0</v>
      </c>
    </row>
    <row r="1656" spans="1:4" x14ac:dyDescent="0.3">
      <c r="A1656">
        <v>17</v>
      </c>
      <c r="B1656" t="s">
        <v>82</v>
      </c>
      <c r="C1656">
        <v>71</v>
      </c>
      <c r="D1656">
        <f>COUNTIF(WeeklyPicks!$D$162:$F$171,C1656)</f>
        <v>0</v>
      </c>
    </row>
    <row r="1657" spans="1:4" x14ac:dyDescent="0.3">
      <c r="A1657">
        <v>17</v>
      </c>
      <c r="B1657" t="s">
        <v>82</v>
      </c>
      <c r="C1657">
        <v>72</v>
      </c>
      <c r="D1657">
        <f>COUNTIF(WeeklyPicks!$D$162:$F$171,C1657)</f>
        <v>0</v>
      </c>
    </row>
    <row r="1658" spans="1:4" x14ac:dyDescent="0.3">
      <c r="A1658">
        <v>17</v>
      </c>
      <c r="B1658" t="s">
        <v>82</v>
      </c>
      <c r="C1658">
        <v>73</v>
      </c>
      <c r="D1658">
        <f>COUNTIF(WeeklyPicks!$D$162:$F$171,C1658)</f>
        <v>0</v>
      </c>
    </row>
    <row r="1659" spans="1:4" x14ac:dyDescent="0.3">
      <c r="A1659">
        <v>17</v>
      </c>
      <c r="B1659" t="s">
        <v>82</v>
      </c>
      <c r="C1659">
        <v>74</v>
      </c>
      <c r="D1659">
        <f>COUNTIF(WeeklyPicks!$D$162:$F$171,C1659)</f>
        <v>0</v>
      </c>
    </row>
    <row r="1660" spans="1:4" x14ac:dyDescent="0.3">
      <c r="A1660">
        <v>17</v>
      </c>
      <c r="B1660" t="s">
        <v>82</v>
      </c>
      <c r="C1660">
        <v>75</v>
      </c>
      <c r="D1660">
        <f>COUNTIF(WeeklyPicks!$D$162:$F$171,C1660)</f>
        <v>0</v>
      </c>
    </row>
    <row r="1661" spans="1:4" x14ac:dyDescent="0.3">
      <c r="A1661">
        <v>17</v>
      </c>
      <c r="B1661" t="s">
        <v>82</v>
      </c>
      <c r="C1661">
        <v>76</v>
      </c>
      <c r="D1661">
        <f>COUNTIF(WeeklyPicks!$D$162:$F$171,C1661)</f>
        <v>0</v>
      </c>
    </row>
    <row r="1662" spans="1:4" x14ac:dyDescent="0.3">
      <c r="A1662">
        <v>17</v>
      </c>
      <c r="B1662" t="s">
        <v>82</v>
      </c>
      <c r="C1662">
        <v>77</v>
      </c>
      <c r="D1662">
        <f>COUNTIF(WeeklyPicks!$D$162:$F$171,C1662)</f>
        <v>0</v>
      </c>
    </row>
    <row r="1663" spans="1:4" x14ac:dyDescent="0.3">
      <c r="A1663">
        <v>17</v>
      </c>
      <c r="B1663" t="s">
        <v>82</v>
      </c>
      <c r="C1663">
        <v>78</v>
      </c>
      <c r="D1663">
        <f>COUNTIF(WeeklyPicks!$D$162:$F$171,C1663)</f>
        <v>0</v>
      </c>
    </row>
    <row r="1664" spans="1:4" x14ac:dyDescent="0.3">
      <c r="A1664">
        <v>17</v>
      </c>
      <c r="B1664" t="s">
        <v>82</v>
      </c>
      <c r="C1664">
        <v>79</v>
      </c>
      <c r="D1664">
        <f>COUNTIF(WeeklyPicks!$D$162:$F$171,C1664)</f>
        <v>0</v>
      </c>
    </row>
    <row r="1665" spans="1:4" x14ac:dyDescent="0.3">
      <c r="A1665">
        <v>17</v>
      </c>
      <c r="B1665" t="s">
        <v>82</v>
      </c>
      <c r="C1665">
        <v>80</v>
      </c>
      <c r="D1665">
        <f>COUNTIF(WeeklyPicks!$D$162:$F$171,C1665)</f>
        <v>0</v>
      </c>
    </row>
    <row r="1666" spans="1:4" x14ac:dyDescent="0.3">
      <c r="A1666">
        <v>17</v>
      </c>
      <c r="B1666" t="s">
        <v>82</v>
      </c>
      <c r="C1666">
        <v>81</v>
      </c>
      <c r="D1666">
        <f>COUNTIF(WeeklyPicks!$D$162:$F$171,C1666)</f>
        <v>0</v>
      </c>
    </row>
    <row r="1667" spans="1:4" x14ac:dyDescent="0.3">
      <c r="A1667">
        <v>17</v>
      </c>
      <c r="B1667" t="s">
        <v>82</v>
      </c>
      <c r="C1667">
        <v>82</v>
      </c>
      <c r="D1667">
        <f>COUNTIF(WeeklyPicks!$D$162:$F$171,C1667)</f>
        <v>0</v>
      </c>
    </row>
    <row r="1668" spans="1:4" x14ac:dyDescent="0.3">
      <c r="A1668">
        <v>17</v>
      </c>
      <c r="B1668" t="s">
        <v>82</v>
      </c>
      <c r="C1668">
        <v>83</v>
      </c>
      <c r="D1668">
        <f>COUNTIF(WeeklyPicks!$D$162:$F$171,C1668)</f>
        <v>0</v>
      </c>
    </row>
    <row r="1669" spans="1:4" x14ac:dyDescent="0.3">
      <c r="A1669">
        <v>17</v>
      </c>
      <c r="B1669" t="s">
        <v>82</v>
      </c>
      <c r="C1669">
        <v>84</v>
      </c>
      <c r="D1669">
        <f>COUNTIF(WeeklyPicks!$D$162:$F$171,C1669)</f>
        <v>0</v>
      </c>
    </row>
    <row r="1670" spans="1:4" x14ac:dyDescent="0.3">
      <c r="A1670">
        <v>17</v>
      </c>
      <c r="B1670" t="s">
        <v>82</v>
      </c>
      <c r="C1670">
        <v>85</v>
      </c>
      <c r="D1670">
        <f>COUNTIF(WeeklyPicks!$D$162:$F$171,C1670)</f>
        <v>0</v>
      </c>
    </row>
    <row r="1671" spans="1:4" x14ac:dyDescent="0.3">
      <c r="A1671">
        <v>17</v>
      </c>
      <c r="B1671" t="s">
        <v>82</v>
      </c>
      <c r="C1671">
        <v>86</v>
      </c>
      <c r="D1671">
        <f>COUNTIF(WeeklyPicks!$D$162:$F$171,C1671)</f>
        <v>0</v>
      </c>
    </row>
    <row r="1672" spans="1:4" x14ac:dyDescent="0.3">
      <c r="A1672">
        <v>17</v>
      </c>
      <c r="B1672" t="s">
        <v>82</v>
      </c>
      <c r="C1672">
        <v>87</v>
      </c>
      <c r="D1672">
        <f>COUNTIF(WeeklyPicks!$D$162:$F$171,C1672)</f>
        <v>0</v>
      </c>
    </row>
    <row r="1673" spans="1:4" x14ac:dyDescent="0.3">
      <c r="A1673">
        <v>17</v>
      </c>
      <c r="B1673" t="s">
        <v>82</v>
      </c>
      <c r="C1673">
        <v>88</v>
      </c>
      <c r="D1673">
        <f>COUNTIF(WeeklyPicks!$D$162:$F$171,C1673)</f>
        <v>0</v>
      </c>
    </row>
    <row r="1674" spans="1:4" x14ac:dyDescent="0.3">
      <c r="A1674">
        <v>17</v>
      </c>
      <c r="B1674" t="s">
        <v>82</v>
      </c>
      <c r="C1674">
        <v>89</v>
      </c>
      <c r="D1674">
        <f>COUNTIF(WeeklyPicks!$D$162:$F$171,C1674)</f>
        <v>0</v>
      </c>
    </row>
    <row r="1675" spans="1:4" x14ac:dyDescent="0.3">
      <c r="A1675">
        <v>17</v>
      </c>
      <c r="B1675" t="s">
        <v>82</v>
      </c>
      <c r="C1675">
        <v>90</v>
      </c>
      <c r="D1675">
        <f>COUNTIF(WeeklyPicks!$D$162:$F$171,C1675)</f>
        <v>0</v>
      </c>
    </row>
    <row r="1676" spans="1:4" x14ac:dyDescent="0.3">
      <c r="A1676">
        <v>17</v>
      </c>
      <c r="B1676" t="s">
        <v>82</v>
      </c>
      <c r="C1676">
        <v>91</v>
      </c>
      <c r="D1676">
        <f>COUNTIF(WeeklyPicks!$D$162:$F$171,C1676)</f>
        <v>0</v>
      </c>
    </row>
    <row r="1677" spans="1:4" x14ac:dyDescent="0.3">
      <c r="A1677">
        <v>17</v>
      </c>
      <c r="B1677" t="s">
        <v>82</v>
      </c>
      <c r="C1677">
        <v>92</v>
      </c>
      <c r="D1677">
        <f>COUNTIF(WeeklyPicks!$D$162:$F$171,C1677)</f>
        <v>0</v>
      </c>
    </row>
    <row r="1678" spans="1:4" x14ac:dyDescent="0.3">
      <c r="A1678">
        <v>17</v>
      </c>
      <c r="B1678" t="s">
        <v>82</v>
      </c>
      <c r="C1678">
        <v>93</v>
      </c>
      <c r="D1678">
        <f>COUNTIF(WeeklyPicks!$D$162:$F$171,C1678)</f>
        <v>0</v>
      </c>
    </row>
    <row r="1679" spans="1:4" x14ac:dyDescent="0.3">
      <c r="A1679">
        <v>17</v>
      </c>
      <c r="B1679" t="s">
        <v>82</v>
      </c>
      <c r="C1679">
        <v>94</v>
      </c>
      <c r="D1679">
        <f>COUNTIF(WeeklyPicks!$D$162:$F$171,C1679)</f>
        <v>0</v>
      </c>
    </row>
    <row r="1680" spans="1:4" x14ac:dyDescent="0.3">
      <c r="A1680">
        <v>17</v>
      </c>
      <c r="B1680" t="s">
        <v>82</v>
      </c>
      <c r="C1680">
        <v>95</v>
      </c>
      <c r="D1680">
        <f>COUNTIF(WeeklyPicks!$D$162:$F$171,C1680)</f>
        <v>0</v>
      </c>
    </row>
    <row r="1681" spans="1:4" x14ac:dyDescent="0.3">
      <c r="A1681">
        <v>17</v>
      </c>
      <c r="B1681" t="s">
        <v>82</v>
      </c>
      <c r="C1681">
        <v>96</v>
      </c>
      <c r="D1681">
        <f>COUNTIF(WeeklyPicks!$D$162:$F$171,C1681)</f>
        <v>0</v>
      </c>
    </row>
    <row r="1682" spans="1:4" x14ac:dyDescent="0.3">
      <c r="A1682">
        <v>17</v>
      </c>
      <c r="B1682" t="s">
        <v>82</v>
      </c>
      <c r="C1682">
        <v>97</v>
      </c>
      <c r="D1682">
        <f>COUNTIF(WeeklyPicks!$D$162:$F$171,C1682)</f>
        <v>0</v>
      </c>
    </row>
    <row r="1683" spans="1:4" x14ac:dyDescent="0.3">
      <c r="A1683">
        <v>17</v>
      </c>
      <c r="B1683" t="s">
        <v>82</v>
      </c>
      <c r="C1683">
        <v>98</v>
      </c>
      <c r="D1683">
        <f>COUNTIF(WeeklyPicks!$D$162:$F$171,C1683)</f>
        <v>0</v>
      </c>
    </row>
    <row r="1684" spans="1:4" x14ac:dyDescent="0.3">
      <c r="A1684">
        <v>17</v>
      </c>
      <c r="B1684" t="s">
        <v>82</v>
      </c>
      <c r="C1684">
        <v>99</v>
      </c>
      <c r="D1684">
        <f>COUNTIF(WeeklyPicks!$D$162:$F$171,C1684)</f>
        <v>0</v>
      </c>
    </row>
    <row r="1685" spans="1:4" x14ac:dyDescent="0.3">
      <c r="A1685">
        <v>18</v>
      </c>
      <c r="B1685" t="s">
        <v>84</v>
      </c>
      <c r="C1685">
        <v>1</v>
      </c>
      <c r="D1685">
        <f>COUNTIF(WeeklyPicks!$D$172:$F$181,C1685)</f>
        <v>0</v>
      </c>
    </row>
    <row r="1686" spans="1:4" x14ac:dyDescent="0.3">
      <c r="A1686">
        <v>18</v>
      </c>
      <c r="B1686" t="s">
        <v>84</v>
      </c>
      <c r="C1686">
        <v>2</v>
      </c>
      <c r="D1686">
        <f>COUNTIF(WeeklyPicks!$D$172:$F$181,C1686)</f>
        <v>0</v>
      </c>
    </row>
    <row r="1687" spans="1:4" x14ac:dyDescent="0.3">
      <c r="A1687">
        <v>18</v>
      </c>
      <c r="B1687" t="s">
        <v>84</v>
      </c>
      <c r="C1687">
        <v>3</v>
      </c>
      <c r="D1687">
        <f>COUNTIF(WeeklyPicks!$D$172:$F$181,C1687)</f>
        <v>0</v>
      </c>
    </row>
    <row r="1688" spans="1:4" x14ac:dyDescent="0.3">
      <c r="A1688">
        <v>18</v>
      </c>
      <c r="B1688" t="s">
        <v>84</v>
      </c>
      <c r="C1688">
        <v>4</v>
      </c>
      <c r="D1688">
        <f>COUNTIF(WeeklyPicks!$D$172:$F$181,C1688)</f>
        <v>0</v>
      </c>
    </row>
    <row r="1689" spans="1:4" x14ac:dyDescent="0.3">
      <c r="A1689">
        <v>18</v>
      </c>
      <c r="B1689" t="s">
        <v>84</v>
      </c>
      <c r="C1689">
        <v>5</v>
      </c>
      <c r="D1689">
        <f>COUNTIF(WeeklyPicks!$D$172:$F$181,C1689)</f>
        <v>0</v>
      </c>
    </row>
    <row r="1690" spans="1:4" x14ac:dyDescent="0.3">
      <c r="A1690">
        <v>18</v>
      </c>
      <c r="B1690" t="s">
        <v>84</v>
      </c>
      <c r="C1690">
        <v>6</v>
      </c>
      <c r="D1690">
        <f>COUNTIF(WeeklyPicks!$D$172:$F$181,C1690)</f>
        <v>0</v>
      </c>
    </row>
    <row r="1691" spans="1:4" x14ac:dyDescent="0.3">
      <c r="A1691">
        <v>18</v>
      </c>
      <c r="B1691" t="s">
        <v>84</v>
      </c>
      <c r="C1691">
        <v>7</v>
      </c>
      <c r="D1691">
        <f>COUNTIF(WeeklyPicks!$D$172:$F$181,C1691)</f>
        <v>0</v>
      </c>
    </row>
    <row r="1692" spans="1:4" x14ac:dyDescent="0.3">
      <c r="A1692">
        <v>18</v>
      </c>
      <c r="B1692" t="s">
        <v>84</v>
      </c>
      <c r="C1692">
        <v>8</v>
      </c>
      <c r="D1692">
        <f>COUNTIF(WeeklyPicks!$D$172:$F$181,C1692)</f>
        <v>0</v>
      </c>
    </row>
    <row r="1693" spans="1:4" x14ac:dyDescent="0.3">
      <c r="A1693">
        <v>18</v>
      </c>
      <c r="B1693" t="s">
        <v>84</v>
      </c>
      <c r="C1693">
        <v>9</v>
      </c>
      <c r="D1693">
        <f>COUNTIF(WeeklyPicks!$D$172:$F$181,C1693)</f>
        <v>0</v>
      </c>
    </row>
    <row r="1694" spans="1:4" x14ac:dyDescent="0.3">
      <c r="A1694">
        <v>18</v>
      </c>
      <c r="B1694" t="s">
        <v>84</v>
      </c>
      <c r="C1694">
        <v>10</v>
      </c>
      <c r="D1694">
        <f>COUNTIF(WeeklyPicks!$D$172:$F$181,C1694)</f>
        <v>0</v>
      </c>
    </row>
    <row r="1695" spans="1:4" x14ac:dyDescent="0.3">
      <c r="A1695">
        <v>18</v>
      </c>
      <c r="B1695" t="s">
        <v>84</v>
      </c>
      <c r="C1695">
        <v>11</v>
      </c>
      <c r="D1695">
        <f>COUNTIF(WeeklyPicks!$D$172:$F$181,C1695)</f>
        <v>0</v>
      </c>
    </row>
    <row r="1696" spans="1:4" x14ac:dyDescent="0.3">
      <c r="A1696">
        <v>18</v>
      </c>
      <c r="B1696" t="s">
        <v>84</v>
      </c>
      <c r="C1696">
        <v>12</v>
      </c>
      <c r="D1696">
        <f>COUNTIF(WeeklyPicks!$D$172:$F$181,C1696)</f>
        <v>0</v>
      </c>
    </row>
    <row r="1697" spans="1:4" x14ac:dyDescent="0.3">
      <c r="A1697">
        <v>18</v>
      </c>
      <c r="B1697" t="s">
        <v>84</v>
      </c>
      <c r="C1697">
        <v>13</v>
      </c>
      <c r="D1697">
        <f>COUNTIF(WeeklyPicks!$D$172:$F$181,C1697)</f>
        <v>0</v>
      </c>
    </row>
    <row r="1698" spans="1:4" x14ac:dyDescent="0.3">
      <c r="A1698">
        <v>18</v>
      </c>
      <c r="B1698" t="s">
        <v>84</v>
      </c>
      <c r="C1698">
        <v>14</v>
      </c>
      <c r="D1698">
        <f>COUNTIF(WeeklyPicks!$D$172:$F$181,C1698)</f>
        <v>0</v>
      </c>
    </row>
    <row r="1699" spans="1:4" x14ac:dyDescent="0.3">
      <c r="A1699">
        <v>18</v>
      </c>
      <c r="B1699" t="s">
        <v>84</v>
      </c>
      <c r="C1699">
        <v>15</v>
      </c>
      <c r="D1699">
        <f>COUNTIF(WeeklyPicks!$D$172:$F$181,C1699)</f>
        <v>0</v>
      </c>
    </row>
    <row r="1700" spans="1:4" x14ac:dyDescent="0.3">
      <c r="A1700">
        <v>18</v>
      </c>
      <c r="B1700" t="s">
        <v>84</v>
      </c>
      <c r="C1700">
        <v>16</v>
      </c>
      <c r="D1700">
        <f>COUNTIF(WeeklyPicks!$D$172:$F$181,C1700)</f>
        <v>0</v>
      </c>
    </row>
    <row r="1701" spans="1:4" x14ac:dyDescent="0.3">
      <c r="A1701">
        <v>18</v>
      </c>
      <c r="B1701" t="s">
        <v>84</v>
      </c>
      <c r="C1701">
        <v>17</v>
      </c>
      <c r="D1701">
        <f>COUNTIF(WeeklyPicks!$D$172:$F$181,C1701)</f>
        <v>0</v>
      </c>
    </row>
    <row r="1702" spans="1:4" x14ac:dyDescent="0.3">
      <c r="A1702">
        <v>18</v>
      </c>
      <c r="B1702" t="s">
        <v>84</v>
      </c>
      <c r="C1702">
        <v>18</v>
      </c>
      <c r="D1702">
        <f>COUNTIF(WeeklyPicks!$D$172:$F$181,C1702)</f>
        <v>0</v>
      </c>
    </row>
    <row r="1703" spans="1:4" x14ac:dyDescent="0.3">
      <c r="A1703">
        <v>18</v>
      </c>
      <c r="B1703" t="s">
        <v>84</v>
      </c>
      <c r="C1703">
        <v>19</v>
      </c>
      <c r="D1703">
        <f>COUNTIF(WeeklyPicks!$D$172:$F$181,C1703)</f>
        <v>0</v>
      </c>
    </row>
    <row r="1704" spans="1:4" x14ac:dyDescent="0.3">
      <c r="A1704">
        <v>18</v>
      </c>
      <c r="B1704" t="s">
        <v>84</v>
      </c>
      <c r="C1704">
        <v>20</v>
      </c>
      <c r="D1704">
        <f>COUNTIF(WeeklyPicks!$D$172:$F$181,C1704)</f>
        <v>0</v>
      </c>
    </row>
    <row r="1705" spans="1:4" x14ac:dyDescent="0.3">
      <c r="A1705">
        <v>18</v>
      </c>
      <c r="B1705" t="s">
        <v>84</v>
      </c>
      <c r="C1705">
        <v>21</v>
      </c>
      <c r="D1705">
        <f>COUNTIF(WeeklyPicks!$D$172:$F$181,C1705)</f>
        <v>0</v>
      </c>
    </row>
    <row r="1706" spans="1:4" x14ac:dyDescent="0.3">
      <c r="A1706">
        <v>18</v>
      </c>
      <c r="B1706" t="s">
        <v>84</v>
      </c>
      <c r="C1706">
        <v>22</v>
      </c>
      <c r="D1706">
        <f>COUNTIF(WeeklyPicks!$D$172:$F$181,C1706)</f>
        <v>0</v>
      </c>
    </row>
    <row r="1707" spans="1:4" x14ac:dyDescent="0.3">
      <c r="A1707">
        <v>18</v>
      </c>
      <c r="B1707" t="s">
        <v>84</v>
      </c>
      <c r="C1707">
        <v>23</v>
      </c>
      <c r="D1707">
        <f>COUNTIF(WeeklyPicks!$D$172:$F$181,C1707)</f>
        <v>0</v>
      </c>
    </row>
    <row r="1708" spans="1:4" x14ac:dyDescent="0.3">
      <c r="A1708">
        <v>18</v>
      </c>
      <c r="B1708" t="s">
        <v>84</v>
      </c>
      <c r="C1708">
        <v>24</v>
      </c>
      <c r="D1708">
        <f>COUNTIF(WeeklyPicks!$D$172:$F$181,C1708)</f>
        <v>0</v>
      </c>
    </row>
    <row r="1709" spans="1:4" x14ac:dyDescent="0.3">
      <c r="A1709">
        <v>18</v>
      </c>
      <c r="B1709" t="s">
        <v>84</v>
      </c>
      <c r="C1709">
        <v>25</v>
      </c>
      <c r="D1709">
        <f>COUNTIF(WeeklyPicks!$D$172:$F$181,C1709)</f>
        <v>0</v>
      </c>
    </row>
    <row r="1710" spans="1:4" x14ac:dyDescent="0.3">
      <c r="A1710">
        <v>18</v>
      </c>
      <c r="B1710" t="s">
        <v>84</v>
      </c>
      <c r="C1710">
        <v>26</v>
      </c>
      <c r="D1710">
        <f>COUNTIF(WeeklyPicks!$D$172:$F$181,C1710)</f>
        <v>0</v>
      </c>
    </row>
    <row r="1711" spans="1:4" x14ac:dyDescent="0.3">
      <c r="A1711">
        <v>18</v>
      </c>
      <c r="B1711" t="s">
        <v>84</v>
      </c>
      <c r="C1711">
        <v>27</v>
      </c>
      <c r="D1711">
        <f>COUNTIF(WeeklyPicks!$D$172:$F$181,C1711)</f>
        <v>0</v>
      </c>
    </row>
    <row r="1712" spans="1:4" x14ac:dyDescent="0.3">
      <c r="A1712">
        <v>18</v>
      </c>
      <c r="B1712" t="s">
        <v>84</v>
      </c>
      <c r="C1712">
        <v>28</v>
      </c>
      <c r="D1712">
        <f>COUNTIF(WeeklyPicks!$D$172:$F$181,C1712)</f>
        <v>0</v>
      </c>
    </row>
    <row r="1713" spans="1:4" x14ac:dyDescent="0.3">
      <c r="A1713">
        <v>18</v>
      </c>
      <c r="B1713" t="s">
        <v>84</v>
      </c>
      <c r="C1713">
        <v>29</v>
      </c>
      <c r="D1713">
        <f>COUNTIF(WeeklyPicks!$D$172:$F$181,C1713)</f>
        <v>0</v>
      </c>
    </row>
    <row r="1714" spans="1:4" x14ac:dyDescent="0.3">
      <c r="A1714">
        <v>18</v>
      </c>
      <c r="B1714" t="s">
        <v>84</v>
      </c>
      <c r="C1714">
        <v>30</v>
      </c>
      <c r="D1714">
        <f>COUNTIF(WeeklyPicks!$D$172:$F$181,C1714)</f>
        <v>0</v>
      </c>
    </row>
    <row r="1715" spans="1:4" x14ac:dyDescent="0.3">
      <c r="A1715">
        <v>18</v>
      </c>
      <c r="B1715" t="s">
        <v>84</v>
      </c>
      <c r="C1715">
        <v>31</v>
      </c>
      <c r="D1715">
        <f>COUNTIF(WeeklyPicks!$D$172:$F$181,C1715)</f>
        <v>0</v>
      </c>
    </row>
    <row r="1716" spans="1:4" x14ac:dyDescent="0.3">
      <c r="A1716">
        <v>18</v>
      </c>
      <c r="B1716" t="s">
        <v>84</v>
      </c>
      <c r="C1716">
        <v>32</v>
      </c>
      <c r="D1716">
        <f>COUNTIF(WeeklyPicks!$D$172:$F$181,C1716)</f>
        <v>0</v>
      </c>
    </row>
    <row r="1717" spans="1:4" x14ac:dyDescent="0.3">
      <c r="A1717">
        <v>18</v>
      </c>
      <c r="B1717" t="s">
        <v>84</v>
      </c>
      <c r="C1717">
        <v>33</v>
      </c>
      <c r="D1717">
        <f>COUNTIF(WeeklyPicks!$D$172:$F$181,C1717)</f>
        <v>0</v>
      </c>
    </row>
    <row r="1718" spans="1:4" x14ac:dyDescent="0.3">
      <c r="A1718">
        <v>18</v>
      </c>
      <c r="B1718" t="s">
        <v>84</v>
      </c>
      <c r="C1718">
        <v>34</v>
      </c>
      <c r="D1718">
        <f>COUNTIF(WeeklyPicks!$D$172:$F$181,C1718)</f>
        <v>0</v>
      </c>
    </row>
    <row r="1719" spans="1:4" x14ac:dyDescent="0.3">
      <c r="A1719">
        <v>18</v>
      </c>
      <c r="B1719" t="s">
        <v>84</v>
      </c>
      <c r="C1719">
        <v>35</v>
      </c>
      <c r="D1719">
        <f>COUNTIF(WeeklyPicks!$D$172:$F$181,C1719)</f>
        <v>0</v>
      </c>
    </row>
    <row r="1720" spans="1:4" x14ac:dyDescent="0.3">
      <c r="A1720">
        <v>18</v>
      </c>
      <c r="B1720" t="s">
        <v>84</v>
      </c>
      <c r="C1720">
        <v>36</v>
      </c>
      <c r="D1720">
        <f>COUNTIF(WeeklyPicks!$D$172:$F$181,C1720)</f>
        <v>0</v>
      </c>
    </row>
    <row r="1721" spans="1:4" x14ac:dyDescent="0.3">
      <c r="A1721">
        <v>18</v>
      </c>
      <c r="B1721" t="s">
        <v>84</v>
      </c>
      <c r="C1721">
        <v>37</v>
      </c>
      <c r="D1721">
        <f>COUNTIF(WeeklyPicks!$D$172:$F$181,C1721)</f>
        <v>0</v>
      </c>
    </row>
    <row r="1722" spans="1:4" x14ac:dyDescent="0.3">
      <c r="A1722">
        <v>18</v>
      </c>
      <c r="B1722" t="s">
        <v>84</v>
      </c>
      <c r="C1722">
        <v>38</v>
      </c>
      <c r="D1722">
        <f>COUNTIF(WeeklyPicks!$D$172:$F$181,C1722)</f>
        <v>0</v>
      </c>
    </row>
    <row r="1723" spans="1:4" x14ac:dyDescent="0.3">
      <c r="A1723">
        <v>18</v>
      </c>
      <c r="B1723" t="s">
        <v>84</v>
      </c>
      <c r="C1723">
        <v>39</v>
      </c>
      <c r="D1723">
        <f>COUNTIF(WeeklyPicks!$D$172:$F$181,C1723)</f>
        <v>0</v>
      </c>
    </row>
    <row r="1724" spans="1:4" x14ac:dyDescent="0.3">
      <c r="A1724">
        <v>18</v>
      </c>
      <c r="B1724" t="s">
        <v>84</v>
      </c>
      <c r="C1724">
        <v>40</v>
      </c>
      <c r="D1724">
        <f>COUNTIF(WeeklyPicks!$D$172:$F$181,C1724)</f>
        <v>0</v>
      </c>
    </row>
    <row r="1725" spans="1:4" x14ac:dyDescent="0.3">
      <c r="A1725">
        <v>18</v>
      </c>
      <c r="B1725" t="s">
        <v>84</v>
      </c>
      <c r="C1725">
        <v>41</v>
      </c>
      <c r="D1725">
        <f>COUNTIF(WeeklyPicks!$D$172:$F$181,C1725)</f>
        <v>0</v>
      </c>
    </row>
    <row r="1726" spans="1:4" x14ac:dyDescent="0.3">
      <c r="A1726">
        <v>18</v>
      </c>
      <c r="B1726" t="s">
        <v>84</v>
      </c>
      <c r="C1726">
        <v>42</v>
      </c>
      <c r="D1726">
        <f>COUNTIF(WeeklyPicks!$D$172:$F$181,C1726)</f>
        <v>0</v>
      </c>
    </row>
    <row r="1727" spans="1:4" x14ac:dyDescent="0.3">
      <c r="A1727">
        <v>18</v>
      </c>
      <c r="B1727" t="s">
        <v>84</v>
      </c>
      <c r="C1727">
        <v>43</v>
      </c>
      <c r="D1727">
        <f>COUNTIF(WeeklyPicks!$D$172:$F$181,C1727)</f>
        <v>0</v>
      </c>
    </row>
    <row r="1728" spans="1:4" x14ac:dyDescent="0.3">
      <c r="A1728">
        <v>18</v>
      </c>
      <c r="B1728" t="s">
        <v>84</v>
      </c>
      <c r="C1728">
        <v>44</v>
      </c>
      <c r="D1728">
        <f>COUNTIF(WeeklyPicks!$D$172:$F$181,C1728)</f>
        <v>0</v>
      </c>
    </row>
    <row r="1729" spans="1:4" x14ac:dyDescent="0.3">
      <c r="A1729">
        <v>18</v>
      </c>
      <c r="B1729" t="s">
        <v>84</v>
      </c>
      <c r="C1729">
        <v>45</v>
      </c>
      <c r="D1729">
        <f>COUNTIF(WeeklyPicks!$D$172:$F$181,C1729)</f>
        <v>0</v>
      </c>
    </row>
    <row r="1730" spans="1:4" x14ac:dyDescent="0.3">
      <c r="A1730">
        <v>18</v>
      </c>
      <c r="B1730" t="s">
        <v>84</v>
      </c>
      <c r="C1730">
        <v>46</v>
      </c>
      <c r="D1730">
        <f>COUNTIF(WeeklyPicks!$D$172:$F$181,C1730)</f>
        <v>0</v>
      </c>
    </row>
    <row r="1731" spans="1:4" x14ac:dyDescent="0.3">
      <c r="A1731">
        <v>18</v>
      </c>
      <c r="B1731" t="s">
        <v>84</v>
      </c>
      <c r="C1731">
        <v>47</v>
      </c>
      <c r="D1731">
        <f>COUNTIF(WeeklyPicks!$D$172:$F$181,C1731)</f>
        <v>0</v>
      </c>
    </row>
    <row r="1732" spans="1:4" x14ac:dyDescent="0.3">
      <c r="A1732">
        <v>18</v>
      </c>
      <c r="B1732" t="s">
        <v>84</v>
      </c>
      <c r="C1732">
        <v>48</v>
      </c>
      <c r="D1732">
        <f>COUNTIF(WeeklyPicks!$D$172:$F$181,C1732)</f>
        <v>0</v>
      </c>
    </row>
    <row r="1733" spans="1:4" x14ac:dyDescent="0.3">
      <c r="A1733">
        <v>18</v>
      </c>
      <c r="B1733" t="s">
        <v>84</v>
      </c>
      <c r="C1733">
        <v>49</v>
      </c>
      <c r="D1733">
        <f>COUNTIF(WeeklyPicks!$D$172:$F$181,C1733)</f>
        <v>0</v>
      </c>
    </row>
    <row r="1734" spans="1:4" x14ac:dyDescent="0.3">
      <c r="A1734">
        <v>18</v>
      </c>
      <c r="B1734" t="s">
        <v>84</v>
      </c>
      <c r="C1734">
        <v>50</v>
      </c>
      <c r="D1734">
        <f>COUNTIF(WeeklyPicks!$D$172:$F$181,C1734)</f>
        <v>0</v>
      </c>
    </row>
    <row r="1735" spans="1:4" x14ac:dyDescent="0.3">
      <c r="A1735">
        <v>18</v>
      </c>
      <c r="B1735" t="s">
        <v>84</v>
      </c>
      <c r="C1735">
        <v>51</v>
      </c>
      <c r="D1735">
        <f>COUNTIF(WeeklyPicks!$D$172:$F$181,C1735)</f>
        <v>0</v>
      </c>
    </row>
    <row r="1736" spans="1:4" x14ac:dyDescent="0.3">
      <c r="A1736">
        <v>18</v>
      </c>
      <c r="B1736" t="s">
        <v>84</v>
      </c>
      <c r="C1736">
        <v>52</v>
      </c>
      <c r="D1736">
        <f>COUNTIF(WeeklyPicks!$D$172:$F$181,C1736)</f>
        <v>0</v>
      </c>
    </row>
    <row r="1737" spans="1:4" x14ac:dyDescent="0.3">
      <c r="A1737">
        <v>18</v>
      </c>
      <c r="B1737" t="s">
        <v>84</v>
      </c>
      <c r="C1737">
        <v>53</v>
      </c>
      <c r="D1737">
        <f>COUNTIF(WeeklyPicks!$D$172:$F$181,C1737)</f>
        <v>0</v>
      </c>
    </row>
    <row r="1738" spans="1:4" x14ac:dyDescent="0.3">
      <c r="A1738">
        <v>18</v>
      </c>
      <c r="B1738" t="s">
        <v>84</v>
      </c>
      <c r="C1738">
        <v>54</v>
      </c>
      <c r="D1738">
        <f>COUNTIF(WeeklyPicks!$D$172:$F$181,C1738)</f>
        <v>0</v>
      </c>
    </row>
    <row r="1739" spans="1:4" x14ac:dyDescent="0.3">
      <c r="A1739">
        <v>18</v>
      </c>
      <c r="B1739" t="s">
        <v>84</v>
      </c>
      <c r="C1739">
        <v>55</v>
      </c>
      <c r="D1739">
        <f>COUNTIF(WeeklyPicks!$D$172:$F$181,C1739)</f>
        <v>0</v>
      </c>
    </row>
    <row r="1740" spans="1:4" x14ac:dyDescent="0.3">
      <c r="A1740">
        <v>18</v>
      </c>
      <c r="B1740" t="s">
        <v>84</v>
      </c>
      <c r="C1740">
        <v>56</v>
      </c>
      <c r="D1740">
        <f>COUNTIF(WeeklyPicks!$D$172:$F$181,C1740)</f>
        <v>0</v>
      </c>
    </row>
    <row r="1741" spans="1:4" x14ac:dyDescent="0.3">
      <c r="A1741">
        <v>18</v>
      </c>
      <c r="B1741" t="s">
        <v>84</v>
      </c>
      <c r="C1741">
        <v>57</v>
      </c>
      <c r="D1741">
        <f>COUNTIF(WeeklyPicks!$D$172:$F$181,C1741)</f>
        <v>0</v>
      </c>
    </row>
    <row r="1742" spans="1:4" x14ac:dyDescent="0.3">
      <c r="A1742">
        <v>18</v>
      </c>
      <c r="B1742" t="s">
        <v>84</v>
      </c>
      <c r="C1742">
        <v>58</v>
      </c>
      <c r="D1742">
        <f>COUNTIF(WeeklyPicks!$D$172:$F$181,C1742)</f>
        <v>0</v>
      </c>
    </row>
    <row r="1743" spans="1:4" x14ac:dyDescent="0.3">
      <c r="A1743">
        <v>18</v>
      </c>
      <c r="B1743" t="s">
        <v>84</v>
      </c>
      <c r="C1743">
        <v>59</v>
      </c>
      <c r="D1743">
        <f>COUNTIF(WeeklyPicks!$D$172:$F$181,C1743)</f>
        <v>0</v>
      </c>
    </row>
    <row r="1744" spans="1:4" x14ac:dyDescent="0.3">
      <c r="A1744">
        <v>18</v>
      </c>
      <c r="B1744" t="s">
        <v>84</v>
      </c>
      <c r="C1744">
        <v>60</v>
      </c>
      <c r="D1744">
        <f>COUNTIF(WeeklyPicks!$D$172:$F$181,C1744)</f>
        <v>0</v>
      </c>
    </row>
    <row r="1745" spans="1:4" x14ac:dyDescent="0.3">
      <c r="A1745">
        <v>18</v>
      </c>
      <c r="B1745" t="s">
        <v>84</v>
      </c>
      <c r="C1745">
        <v>61</v>
      </c>
      <c r="D1745">
        <f>COUNTIF(WeeklyPicks!$D$172:$F$181,C1745)</f>
        <v>0</v>
      </c>
    </row>
    <row r="1746" spans="1:4" x14ac:dyDescent="0.3">
      <c r="A1746">
        <v>18</v>
      </c>
      <c r="B1746" t="s">
        <v>84</v>
      </c>
      <c r="C1746">
        <v>62</v>
      </c>
      <c r="D1746">
        <f>COUNTIF(WeeklyPicks!$D$172:$F$181,C1746)</f>
        <v>0</v>
      </c>
    </row>
    <row r="1747" spans="1:4" x14ac:dyDescent="0.3">
      <c r="A1747">
        <v>18</v>
      </c>
      <c r="B1747" t="s">
        <v>84</v>
      </c>
      <c r="C1747">
        <v>63</v>
      </c>
      <c r="D1747">
        <f>COUNTIF(WeeklyPicks!$D$172:$F$181,C1747)</f>
        <v>0</v>
      </c>
    </row>
    <row r="1748" spans="1:4" x14ac:dyDescent="0.3">
      <c r="A1748">
        <v>18</v>
      </c>
      <c r="B1748" t="s">
        <v>84</v>
      </c>
      <c r="C1748">
        <v>64</v>
      </c>
      <c r="D1748">
        <f>COUNTIF(WeeklyPicks!$D$172:$F$181,C1748)</f>
        <v>0</v>
      </c>
    </row>
    <row r="1749" spans="1:4" x14ac:dyDescent="0.3">
      <c r="A1749">
        <v>18</v>
      </c>
      <c r="B1749" t="s">
        <v>84</v>
      </c>
      <c r="C1749">
        <v>65</v>
      </c>
      <c r="D1749">
        <f>COUNTIF(WeeklyPicks!$D$172:$F$181,C1749)</f>
        <v>0</v>
      </c>
    </row>
    <row r="1750" spans="1:4" x14ac:dyDescent="0.3">
      <c r="A1750">
        <v>18</v>
      </c>
      <c r="B1750" t="s">
        <v>84</v>
      </c>
      <c r="C1750">
        <v>66</v>
      </c>
      <c r="D1750">
        <f>COUNTIF(WeeklyPicks!$D$172:$F$181,C1750)</f>
        <v>0</v>
      </c>
    </row>
    <row r="1751" spans="1:4" x14ac:dyDescent="0.3">
      <c r="A1751">
        <v>18</v>
      </c>
      <c r="B1751" t="s">
        <v>84</v>
      </c>
      <c r="C1751">
        <v>67</v>
      </c>
      <c r="D1751">
        <f>COUNTIF(WeeklyPicks!$D$172:$F$181,C1751)</f>
        <v>0</v>
      </c>
    </row>
    <row r="1752" spans="1:4" x14ac:dyDescent="0.3">
      <c r="A1752">
        <v>18</v>
      </c>
      <c r="B1752" t="s">
        <v>84</v>
      </c>
      <c r="C1752">
        <v>68</v>
      </c>
      <c r="D1752">
        <f>COUNTIF(WeeklyPicks!$D$172:$F$181,C1752)</f>
        <v>0</v>
      </c>
    </row>
    <row r="1753" spans="1:4" x14ac:dyDescent="0.3">
      <c r="A1753">
        <v>18</v>
      </c>
      <c r="B1753" t="s">
        <v>84</v>
      </c>
      <c r="C1753">
        <v>69</v>
      </c>
      <c r="D1753">
        <f>COUNTIF(WeeklyPicks!$D$172:$F$181,C1753)</f>
        <v>0</v>
      </c>
    </row>
    <row r="1754" spans="1:4" x14ac:dyDescent="0.3">
      <c r="A1754">
        <v>18</v>
      </c>
      <c r="B1754" t="s">
        <v>84</v>
      </c>
      <c r="C1754">
        <v>70</v>
      </c>
      <c r="D1754">
        <f>COUNTIF(WeeklyPicks!$D$172:$F$181,C1754)</f>
        <v>0</v>
      </c>
    </row>
    <row r="1755" spans="1:4" x14ac:dyDescent="0.3">
      <c r="A1755">
        <v>18</v>
      </c>
      <c r="B1755" t="s">
        <v>84</v>
      </c>
      <c r="C1755">
        <v>71</v>
      </c>
      <c r="D1755">
        <f>COUNTIF(WeeklyPicks!$D$172:$F$181,C1755)</f>
        <v>0</v>
      </c>
    </row>
    <row r="1756" spans="1:4" x14ac:dyDescent="0.3">
      <c r="A1756">
        <v>18</v>
      </c>
      <c r="B1756" t="s">
        <v>84</v>
      </c>
      <c r="C1756">
        <v>72</v>
      </c>
      <c r="D1756">
        <f>COUNTIF(WeeklyPicks!$D$172:$F$181,C1756)</f>
        <v>0</v>
      </c>
    </row>
    <row r="1757" spans="1:4" x14ac:dyDescent="0.3">
      <c r="A1757">
        <v>18</v>
      </c>
      <c r="B1757" t="s">
        <v>84</v>
      </c>
      <c r="C1757">
        <v>73</v>
      </c>
      <c r="D1757">
        <f>COUNTIF(WeeklyPicks!$D$172:$F$181,C1757)</f>
        <v>0</v>
      </c>
    </row>
    <row r="1758" spans="1:4" x14ac:dyDescent="0.3">
      <c r="A1758">
        <v>18</v>
      </c>
      <c r="B1758" t="s">
        <v>84</v>
      </c>
      <c r="C1758">
        <v>74</v>
      </c>
      <c r="D1758">
        <f>COUNTIF(WeeklyPicks!$D$172:$F$181,C1758)</f>
        <v>0</v>
      </c>
    </row>
    <row r="1759" spans="1:4" x14ac:dyDescent="0.3">
      <c r="A1759">
        <v>18</v>
      </c>
      <c r="B1759" t="s">
        <v>84</v>
      </c>
      <c r="C1759">
        <v>75</v>
      </c>
      <c r="D1759">
        <f>COUNTIF(WeeklyPicks!$D$172:$F$181,C1759)</f>
        <v>0</v>
      </c>
    </row>
    <row r="1760" spans="1:4" x14ac:dyDescent="0.3">
      <c r="A1760">
        <v>18</v>
      </c>
      <c r="B1760" t="s">
        <v>84</v>
      </c>
      <c r="C1760">
        <v>76</v>
      </c>
      <c r="D1760">
        <f>COUNTIF(WeeklyPicks!$D$172:$F$181,C1760)</f>
        <v>0</v>
      </c>
    </row>
    <row r="1761" spans="1:4" x14ac:dyDescent="0.3">
      <c r="A1761">
        <v>18</v>
      </c>
      <c r="B1761" t="s">
        <v>84</v>
      </c>
      <c r="C1761">
        <v>77</v>
      </c>
      <c r="D1761">
        <f>COUNTIF(WeeklyPicks!$D$172:$F$181,C1761)</f>
        <v>0</v>
      </c>
    </row>
    <row r="1762" spans="1:4" x14ac:dyDescent="0.3">
      <c r="A1762">
        <v>18</v>
      </c>
      <c r="B1762" t="s">
        <v>84</v>
      </c>
      <c r="C1762">
        <v>78</v>
      </c>
      <c r="D1762">
        <f>COUNTIF(WeeklyPicks!$D$172:$F$181,C1762)</f>
        <v>0</v>
      </c>
    </row>
    <row r="1763" spans="1:4" x14ac:dyDescent="0.3">
      <c r="A1763">
        <v>18</v>
      </c>
      <c r="B1763" t="s">
        <v>84</v>
      </c>
      <c r="C1763">
        <v>79</v>
      </c>
      <c r="D1763">
        <f>COUNTIF(WeeklyPicks!$D$172:$F$181,C1763)</f>
        <v>0</v>
      </c>
    </row>
    <row r="1764" spans="1:4" x14ac:dyDescent="0.3">
      <c r="A1764">
        <v>18</v>
      </c>
      <c r="B1764" t="s">
        <v>84</v>
      </c>
      <c r="C1764">
        <v>80</v>
      </c>
      <c r="D1764">
        <f>COUNTIF(WeeklyPicks!$D$172:$F$181,C1764)</f>
        <v>0</v>
      </c>
    </row>
    <row r="1765" spans="1:4" x14ac:dyDescent="0.3">
      <c r="A1765">
        <v>18</v>
      </c>
      <c r="B1765" t="s">
        <v>84</v>
      </c>
      <c r="C1765">
        <v>81</v>
      </c>
      <c r="D1765">
        <f>COUNTIF(WeeklyPicks!$D$172:$F$181,C1765)</f>
        <v>0</v>
      </c>
    </row>
    <row r="1766" spans="1:4" x14ac:dyDescent="0.3">
      <c r="A1766">
        <v>18</v>
      </c>
      <c r="B1766" t="s">
        <v>84</v>
      </c>
      <c r="C1766">
        <v>82</v>
      </c>
      <c r="D1766">
        <f>COUNTIF(WeeklyPicks!$D$172:$F$181,C1766)</f>
        <v>0</v>
      </c>
    </row>
    <row r="1767" spans="1:4" x14ac:dyDescent="0.3">
      <c r="A1767">
        <v>18</v>
      </c>
      <c r="B1767" t="s">
        <v>84</v>
      </c>
      <c r="C1767">
        <v>83</v>
      </c>
      <c r="D1767">
        <f>COUNTIF(WeeklyPicks!$D$172:$F$181,C1767)</f>
        <v>0</v>
      </c>
    </row>
    <row r="1768" spans="1:4" x14ac:dyDescent="0.3">
      <c r="A1768">
        <v>18</v>
      </c>
      <c r="B1768" t="s">
        <v>84</v>
      </c>
      <c r="C1768">
        <v>84</v>
      </c>
      <c r="D1768">
        <f>COUNTIF(WeeklyPicks!$D$172:$F$181,C1768)</f>
        <v>0</v>
      </c>
    </row>
    <row r="1769" spans="1:4" x14ac:dyDescent="0.3">
      <c r="A1769">
        <v>18</v>
      </c>
      <c r="B1769" t="s">
        <v>84</v>
      </c>
      <c r="C1769">
        <v>85</v>
      </c>
      <c r="D1769">
        <f>COUNTIF(WeeklyPicks!$D$172:$F$181,C1769)</f>
        <v>0</v>
      </c>
    </row>
    <row r="1770" spans="1:4" x14ac:dyDescent="0.3">
      <c r="A1770">
        <v>18</v>
      </c>
      <c r="B1770" t="s">
        <v>84</v>
      </c>
      <c r="C1770">
        <v>86</v>
      </c>
      <c r="D1770">
        <f>COUNTIF(WeeklyPicks!$D$172:$F$181,C1770)</f>
        <v>0</v>
      </c>
    </row>
    <row r="1771" spans="1:4" x14ac:dyDescent="0.3">
      <c r="A1771">
        <v>18</v>
      </c>
      <c r="B1771" t="s">
        <v>84</v>
      </c>
      <c r="C1771">
        <v>87</v>
      </c>
      <c r="D1771">
        <f>COUNTIF(WeeklyPicks!$D$172:$F$181,C1771)</f>
        <v>0</v>
      </c>
    </row>
    <row r="1772" spans="1:4" x14ac:dyDescent="0.3">
      <c r="A1772">
        <v>18</v>
      </c>
      <c r="B1772" t="s">
        <v>84</v>
      </c>
      <c r="C1772">
        <v>88</v>
      </c>
      <c r="D1772">
        <f>COUNTIF(WeeklyPicks!$D$172:$F$181,C1772)</f>
        <v>0</v>
      </c>
    </row>
    <row r="1773" spans="1:4" x14ac:dyDescent="0.3">
      <c r="A1773">
        <v>18</v>
      </c>
      <c r="B1773" t="s">
        <v>84</v>
      </c>
      <c r="C1773">
        <v>89</v>
      </c>
      <c r="D1773">
        <f>COUNTIF(WeeklyPicks!$D$172:$F$181,C1773)</f>
        <v>0</v>
      </c>
    </row>
    <row r="1774" spans="1:4" x14ac:dyDescent="0.3">
      <c r="A1774">
        <v>18</v>
      </c>
      <c r="B1774" t="s">
        <v>84</v>
      </c>
      <c r="C1774">
        <v>90</v>
      </c>
      <c r="D1774">
        <f>COUNTIF(WeeklyPicks!$D$172:$F$181,C1774)</f>
        <v>0</v>
      </c>
    </row>
    <row r="1775" spans="1:4" x14ac:dyDescent="0.3">
      <c r="A1775">
        <v>18</v>
      </c>
      <c r="B1775" t="s">
        <v>84</v>
      </c>
      <c r="C1775">
        <v>91</v>
      </c>
      <c r="D1775">
        <f>COUNTIF(WeeklyPicks!$D$172:$F$181,C1775)</f>
        <v>0</v>
      </c>
    </row>
    <row r="1776" spans="1:4" x14ac:dyDescent="0.3">
      <c r="A1776">
        <v>18</v>
      </c>
      <c r="B1776" t="s">
        <v>84</v>
      </c>
      <c r="C1776">
        <v>92</v>
      </c>
      <c r="D1776">
        <f>COUNTIF(WeeklyPicks!$D$172:$F$181,C1776)</f>
        <v>0</v>
      </c>
    </row>
    <row r="1777" spans="1:4" x14ac:dyDescent="0.3">
      <c r="A1777">
        <v>18</v>
      </c>
      <c r="B1777" t="s">
        <v>84</v>
      </c>
      <c r="C1777">
        <v>93</v>
      </c>
      <c r="D1777">
        <f>COUNTIF(WeeklyPicks!$D$172:$F$181,C1777)</f>
        <v>0</v>
      </c>
    </row>
    <row r="1778" spans="1:4" x14ac:dyDescent="0.3">
      <c r="A1778">
        <v>18</v>
      </c>
      <c r="B1778" t="s">
        <v>84</v>
      </c>
      <c r="C1778">
        <v>94</v>
      </c>
      <c r="D1778">
        <f>COUNTIF(WeeklyPicks!$D$172:$F$181,C1778)</f>
        <v>0</v>
      </c>
    </row>
    <row r="1779" spans="1:4" x14ac:dyDescent="0.3">
      <c r="A1779">
        <v>18</v>
      </c>
      <c r="B1779" t="s">
        <v>84</v>
      </c>
      <c r="C1779">
        <v>95</v>
      </c>
      <c r="D1779">
        <f>COUNTIF(WeeklyPicks!$D$172:$F$181,C1779)</f>
        <v>0</v>
      </c>
    </row>
    <row r="1780" spans="1:4" x14ac:dyDescent="0.3">
      <c r="A1780">
        <v>18</v>
      </c>
      <c r="B1780" t="s">
        <v>84</v>
      </c>
      <c r="C1780">
        <v>96</v>
      </c>
      <c r="D1780">
        <f>COUNTIF(WeeklyPicks!$D$172:$F$181,C1780)</f>
        <v>0</v>
      </c>
    </row>
    <row r="1781" spans="1:4" x14ac:dyDescent="0.3">
      <c r="A1781">
        <v>18</v>
      </c>
      <c r="B1781" t="s">
        <v>84</v>
      </c>
      <c r="C1781">
        <v>97</v>
      </c>
      <c r="D1781">
        <f>COUNTIF(WeeklyPicks!$D$172:$F$181,C1781)</f>
        <v>0</v>
      </c>
    </row>
    <row r="1782" spans="1:4" x14ac:dyDescent="0.3">
      <c r="A1782">
        <v>18</v>
      </c>
      <c r="B1782" t="s">
        <v>84</v>
      </c>
      <c r="C1782">
        <v>98</v>
      </c>
      <c r="D1782">
        <f>COUNTIF(WeeklyPicks!$D$172:$F$181,C1782)</f>
        <v>0</v>
      </c>
    </row>
    <row r="1783" spans="1:4" x14ac:dyDescent="0.3">
      <c r="A1783">
        <v>18</v>
      </c>
      <c r="B1783" t="s">
        <v>84</v>
      </c>
      <c r="C1783">
        <v>99</v>
      </c>
      <c r="D1783">
        <f>COUNTIF(WeeklyPicks!$D$172:$F$181,C1783)</f>
        <v>0</v>
      </c>
    </row>
    <row r="1784" spans="1:4" x14ac:dyDescent="0.3">
      <c r="A1784">
        <v>19</v>
      </c>
      <c r="B1784" t="s">
        <v>87</v>
      </c>
      <c r="C1784">
        <v>1</v>
      </c>
      <c r="D1784">
        <f>COUNTIF(WeeklyPicks!$D$182:$F$191,C1784)</f>
        <v>0</v>
      </c>
    </row>
    <row r="1785" spans="1:4" x14ac:dyDescent="0.3">
      <c r="A1785">
        <v>19</v>
      </c>
      <c r="B1785" t="s">
        <v>87</v>
      </c>
      <c r="C1785">
        <v>2</v>
      </c>
      <c r="D1785">
        <f>COUNTIF(WeeklyPicks!$D$182:$F$191,C1785)</f>
        <v>0</v>
      </c>
    </row>
    <row r="1786" spans="1:4" x14ac:dyDescent="0.3">
      <c r="A1786">
        <v>19</v>
      </c>
      <c r="B1786" t="s">
        <v>87</v>
      </c>
      <c r="C1786">
        <v>3</v>
      </c>
      <c r="D1786">
        <f>COUNTIF(WeeklyPicks!$D$182:$F$191,C1786)</f>
        <v>0</v>
      </c>
    </row>
    <row r="1787" spans="1:4" x14ac:dyDescent="0.3">
      <c r="A1787">
        <v>19</v>
      </c>
      <c r="B1787" t="s">
        <v>87</v>
      </c>
      <c r="C1787">
        <v>4</v>
      </c>
      <c r="D1787">
        <f>COUNTIF(WeeklyPicks!$D$182:$F$191,C1787)</f>
        <v>0</v>
      </c>
    </row>
    <row r="1788" spans="1:4" x14ac:dyDescent="0.3">
      <c r="A1788">
        <v>19</v>
      </c>
      <c r="B1788" t="s">
        <v>87</v>
      </c>
      <c r="C1788">
        <v>5</v>
      </c>
      <c r="D1788">
        <f>COUNTIF(WeeklyPicks!$D$182:$F$191,C1788)</f>
        <v>0</v>
      </c>
    </row>
    <row r="1789" spans="1:4" x14ac:dyDescent="0.3">
      <c r="A1789">
        <v>19</v>
      </c>
      <c r="B1789" t="s">
        <v>87</v>
      </c>
      <c r="C1789">
        <v>6</v>
      </c>
      <c r="D1789">
        <f>COUNTIF(WeeklyPicks!$D$182:$F$191,C1789)</f>
        <v>0</v>
      </c>
    </row>
    <row r="1790" spans="1:4" x14ac:dyDescent="0.3">
      <c r="A1790">
        <v>19</v>
      </c>
      <c r="B1790" t="s">
        <v>87</v>
      </c>
      <c r="C1790">
        <v>7</v>
      </c>
      <c r="D1790">
        <f>COUNTIF(WeeklyPicks!$D$182:$F$191,C1790)</f>
        <v>0</v>
      </c>
    </row>
    <row r="1791" spans="1:4" x14ac:dyDescent="0.3">
      <c r="A1791">
        <v>19</v>
      </c>
      <c r="B1791" t="s">
        <v>87</v>
      </c>
      <c r="C1791">
        <v>8</v>
      </c>
      <c r="D1791">
        <f>COUNTIF(WeeklyPicks!$D$182:$F$191,C1791)</f>
        <v>0</v>
      </c>
    </row>
    <row r="1792" spans="1:4" x14ac:dyDescent="0.3">
      <c r="A1792">
        <v>19</v>
      </c>
      <c r="B1792" t="s">
        <v>87</v>
      </c>
      <c r="C1792">
        <v>9</v>
      </c>
      <c r="D1792">
        <f>COUNTIF(WeeklyPicks!$D$182:$F$191,C1792)</f>
        <v>0</v>
      </c>
    </row>
    <row r="1793" spans="1:4" x14ac:dyDescent="0.3">
      <c r="A1793">
        <v>19</v>
      </c>
      <c r="B1793" t="s">
        <v>87</v>
      </c>
      <c r="C1793">
        <v>10</v>
      </c>
      <c r="D1793">
        <f>COUNTIF(WeeklyPicks!$D$182:$F$191,C1793)</f>
        <v>0</v>
      </c>
    </row>
    <row r="1794" spans="1:4" x14ac:dyDescent="0.3">
      <c r="A1794">
        <v>19</v>
      </c>
      <c r="B1794" t="s">
        <v>87</v>
      </c>
      <c r="C1794">
        <v>11</v>
      </c>
      <c r="D1794">
        <f>COUNTIF(WeeklyPicks!$D$182:$F$191,C1794)</f>
        <v>0</v>
      </c>
    </row>
    <row r="1795" spans="1:4" x14ac:dyDescent="0.3">
      <c r="A1795">
        <v>19</v>
      </c>
      <c r="B1795" t="s">
        <v>87</v>
      </c>
      <c r="C1795">
        <v>12</v>
      </c>
      <c r="D1795">
        <f>COUNTIF(WeeklyPicks!$D$182:$F$191,C1795)</f>
        <v>0</v>
      </c>
    </row>
    <row r="1796" spans="1:4" x14ac:dyDescent="0.3">
      <c r="A1796">
        <v>19</v>
      </c>
      <c r="B1796" t="s">
        <v>87</v>
      </c>
      <c r="C1796">
        <v>13</v>
      </c>
      <c r="D1796">
        <f>COUNTIF(WeeklyPicks!$D$182:$F$191,C1796)</f>
        <v>0</v>
      </c>
    </row>
    <row r="1797" spans="1:4" x14ac:dyDescent="0.3">
      <c r="A1797">
        <v>19</v>
      </c>
      <c r="B1797" t="s">
        <v>87</v>
      </c>
      <c r="C1797">
        <v>14</v>
      </c>
      <c r="D1797">
        <f>COUNTIF(WeeklyPicks!$D$182:$F$191,C1797)</f>
        <v>0</v>
      </c>
    </row>
    <row r="1798" spans="1:4" x14ac:dyDescent="0.3">
      <c r="A1798">
        <v>19</v>
      </c>
      <c r="B1798" t="s">
        <v>87</v>
      </c>
      <c r="C1798">
        <v>15</v>
      </c>
      <c r="D1798">
        <f>COUNTIF(WeeklyPicks!$D$182:$F$191,C1798)</f>
        <v>0</v>
      </c>
    </row>
    <row r="1799" spans="1:4" x14ac:dyDescent="0.3">
      <c r="A1799">
        <v>19</v>
      </c>
      <c r="B1799" t="s">
        <v>87</v>
      </c>
      <c r="C1799">
        <v>16</v>
      </c>
      <c r="D1799">
        <f>COUNTIF(WeeklyPicks!$D$182:$F$191,C1799)</f>
        <v>0</v>
      </c>
    </row>
    <row r="1800" spans="1:4" x14ac:dyDescent="0.3">
      <c r="A1800">
        <v>19</v>
      </c>
      <c r="B1800" t="s">
        <v>87</v>
      </c>
      <c r="C1800">
        <v>17</v>
      </c>
      <c r="D1800">
        <f>COUNTIF(WeeklyPicks!$D$182:$F$191,C1800)</f>
        <v>0</v>
      </c>
    </row>
    <row r="1801" spans="1:4" x14ac:dyDescent="0.3">
      <c r="A1801">
        <v>19</v>
      </c>
      <c r="B1801" t="s">
        <v>87</v>
      </c>
      <c r="C1801">
        <v>18</v>
      </c>
      <c r="D1801">
        <f>COUNTIF(WeeklyPicks!$D$182:$F$191,C1801)</f>
        <v>0</v>
      </c>
    </row>
    <row r="1802" spans="1:4" x14ac:dyDescent="0.3">
      <c r="A1802">
        <v>19</v>
      </c>
      <c r="B1802" t="s">
        <v>87</v>
      </c>
      <c r="C1802">
        <v>19</v>
      </c>
      <c r="D1802">
        <f>COUNTIF(WeeklyPicks!$D$182:$F$191,C1802)</f>
        <v>0</v>
      </c>
    </row>
    <row r="1803" spans="1:4" x14ac:dyDescent="0.3">
      <c r="A1803">
        <v>19</v>
      </c>
      <c r="B1803" t="s">
        <v>87</v>
      </c>
      <c r="C1803">
        <v>20</v>
      </c>
      <c r="D1803">
        <f>COUNTIF(WeeklyPicks!$D$182:$F$191,C1803)</f>
        <v>0</v>
      </c>
    </row>
    <row r="1804" spans="1:4" x14ac:dyDescent="0.3">
      <c r="A1804">
        <v>19</v>
      </c>
      <c r="B1804" t="s">
        <v>87</v>
      </c>
      <c r="C1804">
        <v>21</v>
      </c>
      <c r="D1804">
        <f>COUNTIF(WeeklyPicks!$D$182:$F$191,C1804)</f>
        <v>0</v>
      </c>
    </row>
    <row r="1805" spans="1:4" x14ac:dyDescent="0.3">
      <c r="A1805">
        <v>19</v>
      </c>
      <c r="B1805" t="s">
        <v>87</v>
      </c>
      <c r="C1805">
        <v>22</v>
      </c>
      <c r="D1805">
        <f>COUNTIF(WeeklyPicks!$D$182:$F$191,C1805)</f>
        <v>0</v>
      </c>
    </row>
    <row r="1806" spans="1:4" x14ac:dyDescent="0.3">
      <c r="A1806">
        <v>19</v>
      </c>
      <c r="B1806" t="s">
        <v>87</v>
      </c>
      <c r="C1806">
        <v>23</v>
      </c>
      <c r="D1806">
        <f>COUNTIF(WeeklyPicks!$D$182:$F$191,C1806)</f>
        <v>0</v>
      </c>
    </row>
    <row r="1807" spans="1:4" x14ac:dyDescent="0.3">
      <c r="A1807">
        <v>19</v>
      </c>
      <c r="B1807" t="s">
        <v>87</v>
      </c>
      <c r="C1807">
        <v>24</v>
      </c>
      <c r="D1807">
        <f>COUNTIF(WeeklyPicks!$D$182:$F$191,C1807)</f>
        <v>0</v>
      </c>
    </row>
    <row r="1808" spans="1:4" x14ac:dyDescent="0.3">
      <c r="A1808">
        <v>19</v>
      </c>
      <c r="B1808" t="s">
        <v>87</v>
      </c>
      <c r="C1808">
        <v>25</v>
      </c>
      <c r="D1808">
        <f>COUNTIF(WeeklyPicks!$D$182:$F$191,C1808)</f>
        <v>0</v>
      </c>
    </row>
    <row r="1809" spans="1:4" x14ac:dyDescent="0.3">
      <c r="A1809">
        <v>19</v>
      </c>
      <c r="B1809" t="s">
        <v>87</v>
      </c>
      <c r="C1809">
        <v>26</v>
      </c>
      <c r="D1809">
        <f>COUNTIF(WeeklyPicks!$D$182:$F$191,C1809)</f>
        <v>0</v>
      </c>
    </row>
    <row r="1810" spans="1:4" x14ac:dyDescent="0.3">
      <c r="A1810">
        <v>19</v>
      </c>
      <c r="B1810" t="s">
        <v>87</v>
      </c>
      <c r="C1810">
        <v>27</v>
      </c>
      <c r="D1810">
        <f>COUNTIF(WeeklyPicks!$D$182:$F$191,C1810)</f>
        <v>0</v>
      </c>
    </row>
    <row r="1811" spans="1:4" x14ac:dyDescent="0.3">
      <c r="A1811">
        <v>19</v>
      </c>
      <c r="B1811" t="s">
        <v>87</v>
      </c>
      <c r="C1811">
        <v>28</v>
      </c>
      <c r="D1811">
        <f>COUNTIF(WeeklyPicks!$D$182:$F$191,C1811)</f>
        <v>0</v>
      </c>
    </row>
    <row r="1812" spans="1:4" x14ac:dyDescent="0.3">
      <c r="A1812">
        <v>19</v>
      </c>
      <c r="B1812" t="s">
        <v>87</v>
      </c>
      <c r="C1812">
        <v>29</v>
      </c>
      <c r="D1812">
        <f>COUNTIF(WeeklyPicks!$D$182:$F$191,C1812)</f>
        <v>0</v>
      </c>
    </row>
    <row r="1813" spans="1:4" x14ac:dyDescent="0.3">
      <c r="A1813">
        <v>19</v>
      </c>
      <c r="B1813" t="s">
        <v>87</v>
      </c>
      <c r="C1813">
        <v>30</v>
      </c>
      <c r="D1813">
        <f>COUNTIF(WeeklyPicks!$D$182:$F$191,C1813)</f>
        <v>0</v>
      </c>
    </row>
    <row r="1814" spans="1:4" x14ac:dyDescent="0.3">
      <c r="A1814">
        <v>19</v>
      </c>
      <c r="B1814" t="s">
        <v>87</v>
      </c>
      <c r="C1814">
        <v>31</v>
      </c>
      <c r="D1814">
        <f>COUNTIF(WeeklyPicks!$D$182:$F$191,C1814)</f>
        <v>0</v>
      </c>
    </row>
    <row r="1815" spans="1:4" x14ac:dyDescent="0.3">
      <c r="A1815">
        <v>19</v>
      </c>
      <c r="B1815" t="s">
        <v>87</v>
      </c>
      <c r="C1815">
        <v>32</v>
      </c>
      <c r="D1815">
        <f>COUNTIF(WeeklyPicks!$D$182:$F$191,C1815)</f>
        <v>0</v>
      </c>
    </row>
    <row r="1816" spans="1:4" x14ac:dyDescent="0.3">
      <c r="A1816">
        <v>19</v>
      </c>
      <c r="B1816" t="s">
        <v>87</v>
      </c>
      <c r="C1816">
        <v>33</v>
      </c>
      <c r="D1816">
        <f>COUNTIF(WeeklyPicks!$D$182:$F$191,C1816)</f>
        <v>0</v>
      </c>
    </row>
    <row r="1817" spans="1:4" x14ac:dyDescent="0.3">
      <c r="A1817">
        <v>19</v>
      </c>
      <c r="B1817" t="s">
        <v>87</v>
      </c>
      <c r="C1817">
        <v>34</v>
      </c>
      <c r="D1817">
        <f>COUNTIF(WeeklyPicks!$D$182:$F$191,C1817)</f>
        <v>0</v>
      </c>
    </row>
    <row r="1818" spans="1:4" x14ac:dyDescent="0.3">
      <c r="A1818">
        <v>19</v>
      </c>
      <c r="B1818" t="s">
        <v>87</v>
      </c>
      <c r="C1818">
        <v>35</v>
      </c>
      <c r="D1818">
        <f>COUNTIF(WeeklyPicks!$D$182:$F$191,C1818)</f>
        <v>0</v>
      </c>
    </row>
    <row r="1819" spans="1:4" x14ac:dyDescent="0.3">
      <c r="A1819">
        <v>19</v>
      </c>
      <c r="B1819" t="s">
        <v>87</v>
      </c>
      <c r="C1819">
        <v>36</v>
      </c>
      <c r="D1819">
        <f>COUNTIF(WeeklyPicks!$D$182:$F$191,C1819)</f>
        <v>0</v>
      </c>
    </row>
    <row r="1820" spans="1:4" x14ac:dyDescent="0.3">
      <c r="A1820">
        <v>19</v>
      </c>
      <c r="B1820" t="s">
        <v>87</v>
      </c>
      <c r="C1820">
        <v>37</v>
      </c>
      <c r="D1820">
        <f>COUNTIF(WeeklyPicks!$D$182:$F$191,C1820)</f>
        <v>0</v>
      </c>
    </row>
    <row r="1821" spans="1:4" x14ac:dyDescent="0.3">
      <c r="A1821">
        <v>19</v>
      </c>
      <c r="B1821" t="s">
        <v>87</v>
      </c>
      <c r="C1821">
        <v>38</v>
      </c>
      <c r="D1821">
        <f>COUNTIF(WeeklyPicks!$D$182:$F$191,C1821)</f>
        <v>0</v>
      </c>
    </row>
    <row r="1822" spans="1:4" x14ac:dyDescent="0.3">
      <c r="A1822">
        <v>19</v>
      </c>
      <c r="B1822" t="s">
        <v>87</v>
      </c>
      <c r="C1822">
        <v>39</v>
      </c>
      <c r="D1822">
        <f>COUNTIF(WeeklyPicks!$D$182:$F$191,C1822)</f>
        <v>0</v>
      </c>
    </row>
    <row r="1823" spans="1:4" x14ac:dyDescent="0.3">
      <c r="A1823">
        <v>19</v>
      </c>
      <c r="B1823" t="s">
        <v>87</v>
      </c>
      <c r="C1823">
        <v>40</v>
      </c>
      <c r="D1823">
        <f>COUNTIF(WeeklyPicks!$D$182:$F$191,C1823)</f>
        <v>0</v>
      </c>
    </row>
    <row r="1824" spans="1:4" x14ac:dyDescent="0.3">
      <c r="A1824">
        <v>19</v>
      </c>
      <c r="B1824" t="s">
        <v>87</v>
      </c>
      <c r="C1824">
        <v>41</v>
      </c>
      <c r="D1824">
        <f>COUNTIF(WeeklyPicks!$D$182:$F$191,C1824)</f>
        <v>0</v>
      </c>
    </row>
    <row r="1825" spans="1:4" x14ac:dyDescent="0.3">
      <c r="A1825">
        <v>19</v>
      </c>
      <c r="B1825" t="s">
        <v>87</v>
      </c>
      <c r="C1825">
        <v>42</v>
      </c>
      <c r="D1825">
        <f>COUNTIF(WeeklyPicks!$D$182:$F$191,C1825)</f>
        <v>0</v>
      </c>
    </row>
    <row r="1826" spans="1:4" x14ac:dyDescent="0.3">
      <c r="A1826">
        <v>19</v>
      </c>
      <c r="B1826" t="s">
        <v>87</v>
      </c>
      <c r="C1826">
        <v>43</v>
      </c>
      <c r="D1826">
        <f>COUNTIF(WeeklyPicks!$D$182:$F$191,C1826)</f>
        <v>0</v>
      </c>
    </row>
    <row r="1827" spans="1:4" x14ac:dyDescent="0.3">
      <c r="A1827">
        <v>19</v>
      </c>
      <c r="B1827" t="s">
        <v>87</v>
      </c>
      <c r="C1827">
        <v>44</v>
      </c>
      <c r="D1827">
        <f>COUNTIF(WeeklyPicks!$D$182:$F$191,C1827)</f>
        <v>0</v>
      </c>
    </row>
    <row r="1828" spans="1:4" x14ac:dyDescent="0.3">
      <c r="A1828">
        <v>19</v>
      </c>
      <c r="B1828" t="s">
        <v>87</v>
      </c>
      <c r="C1828">
        <v>45</v>
      </c>
      <c r="D1828">
        <f>COUNTIF(WeeklyPicks!$D$182:$F$191,C1828)</f>
        <v>0</v>
      </c>
    </row>
    <row r="1829" spans="1:4" x14ac:dyDescent="0.3">
      <c r="A1829">
        <v>19</v>
      </c>
      <c r="B1829" t="s">
        <v>87</v>
      </c>
      <c r="C1829">
        <v>46</v>
      </c>
      <c r="D1829">
        <f>COUNTIF(WeeklyPicks!$D$182:$F$191,C1829)</f>
        <v>0</v>
      </c>
    </row>
    <row r="1830" spans="1:4" x14ac:dyDescent="0.3">
      <c r="A1830">
        <v>19</v>
      </c>
      <c r="B1830" t="s">
        <v>87</v>
      </c>
      <c r="C1830">
        <v>47</v>
      </c>
      <c r="D1830">
        <f>COUNTIF(WeeklyPicks!$D$182:$F$191,C1830)</f>
        <v>0</v>
      </c>
    </row>
    <row r="1831" spans="1:4" x14ac:dyDescent="0.3">
      <c r="A1831">
        <v>19</v>
      </c>
      <c r="B1831" t="s">
        <v>87</v>
      </c>
      <c r="C1831">
        <v>48</v>
      </c>
      <c r="D1831">
        <f>COUNTIF(WeeklyPicks!$D$182:$F$191,C1831)</f>
        <v>0</v>
      </c>
    </row>
    <row r="1832" spans="1:4" x14ac:dyDescent="0.3">
      <c r="A1832">
        <v>19</v>
      </c>
      <c r="B1832" t="s">
        <v>87</v>
      </c>
      <c r="C1832">
        <v>49</v>
      </c>
      <c r="D1832">
        <f>COUNTIF(WeeklyPicks!$D$182:$F$191,C1832)</f>
        <v>0</v>
      </c>
    </row>
    <row r="1833" spans="1:4" x14ac:dyDescent="0.3">
      <c r="A1833">
        <v>19</v>
      </c>
      <c r="B1833" t="s">
        <v>87</v>
      </c>
      <c r="C1833">
        <v>50</v>
      </c>
      <c r="D1833">
        <f>COUNTIF(WeeklyPicks!$D$182:$F$191,C1833)</f>
        <v>0</v>
      </c>
    </row>
    <row r="1834" spans="1:4" x14ac:dyDescent="0.3">
      <c r="A1834">
        <v>19</v>
      </c>
      <c r="B1834" t="s">
        <v>87</v>
      </c>
      <c r="C1834">
        <v>51</v>
      </c>
      <c r="D1834">
        <f>COUNTIF(WeeklyPicks!$D$182:$F$191,C1834)</f>
        <v>0</v>
      </c>
    </row>
    <row r="1835" spans="1:4" x14ac:dyDescent="0.3">
      <c r="A1835">
        <v>19</v>
      </c>
      <c r="B1835" t="s">
        <v>87</v>
      </c>
      <c r="C1835">
        <v>52</v>
      </c>
      <c r="D1835">
        <f>COUNTIF(WeeklyPicks!$D$182:$F$191,C1835)</f>
        <v>0</v>
      </c>
    </row>
    <row r="1836" spans="1:4" x14ac:dyDescent="0.3">
      <c r="A1836">
        <v>19</v>
      </c>
      <c r="B1836" t="s">
        <v>87</v>
      </c>
      <c r="C1836">
        <v>53</v>
      </c>
      <c r="D1836">
        <f>COUNTIF(WeeklyPicks!$D$182:$F$191,C1836)</f>
        <v>0</v>
      </c>
    </row>
    <row r="1837" spans="1:4" x14ac:dyDescent="0.3">
      <c r="A1837">
        <v>19</v>
      </c>
      <c r="B1837" t="s">
        <v>87</v>
      </c>
      <c r="C1837">
        <v>54</v>
      </c>
      <c r="D1837">
        <f>COUNTIF(WeeklyPicks!$D$182:$F$191,C1837)</f>
        <v>0</v>
      </c>
    </row>
    <row r="1838" spans="1:4" x14ac:dyDescent="0.3">
      <c r="A1838">
        <v>19</v>
      </c>
      <c r="B1838" t="s">
        <v>87</v>
      </c>
      <c r="C1838">
        <v>55</v>
      </c>
      <c r="D1838">
        <f>COUNTIF(WeeklyPicks!$D$182:$F$191,C1838)</f>
        <v>0</v>
      </c>
    </row>
    <row r="1839" spans="1:4" x14ac:dyDescent="0.3">
      <c r="A1839">
        <v>19</v>
      </c>
      <c r="B1839" t="s">
        <v>87</v>
      </c>
      <c r="C1839">
        <v>56</v>
      </c>
      <c r="D1839">
        <f>COUNTIF(WeeklyPicks!$D$182:$F$191,C1839)</f>
        <v>0</v>
      </c>
    </row>
    <row r="1840" spans="1:4" x14ac:dyDescent="0.3">
      <c r="A1840">
        <v>19</v>
      </c>
      <c r="B1840" t="s">
        <v>87</v>
      </c>
      <c r="C1840">
        <v>57</v>
      </c>
      <c r="D1840">
        <f>COUNTIF(WeeklyPicks!$D$182:$F$191,C1840)</f>
        <v>0</v>
      </c>
    </row>
    <row r="1841" spans="1:4" x14ac:dyDescent="0.3">
      <c r="A1841">
        <v>19</v>
      </c>
      <c r="B1841" t="s">
        <v>87</v>
      </c>
      <c r="C1841">
        <v>58</v>
      </c>
      <c r="D1841">
        <f>COUNTIF(WeeklyPicks!$D$182:$F$191,C1841)</f>
        <v>0</v>
      </c>
    </row>
    <row r="1842" spans="1:4" x14ac:dyDescent="0.3">
      <c r="A1842">
        <v>19</v>
      </c>
      <c r="B1842" t="s">
        <v>87</v>
      </c>
      <c r="C1842">
        <v>59</v>
      </c>
      <c r="D1842">
        <f>COUNTIF(WeeklyPicks!$D$182:$F$191,C1842)</f>
        <v>0</v>
      </c>
    </row>
    <row r="1843" spans="1:4" x14ac:dyDescent="0.3">
      <c r="A1843">
        <v>19</v>
      </c>
      <c r="B1843" t="s">
        <v>87</v>
      </c>
      <c r="C1843">
        <v>60</v>
      </c>
      <c r="D1843">
        <f>COUNTIF(WeeklyPicks!$D$182:$F$191,C1843)</f>
        <v>0</v>
      </c>
    </row>
    <row r="1844" spans="1:4" x14ac:dyDescent="0.3">
      <c r="A1844">
        <v>19</v>
      </c>
      <c r="B1844" t="s">
        <v>87</v>
      </c>
      <c r="C1844">
        <v>61</v>
      </c>
      <c r="D1844">
        <f>COUNTIF(WeeklyPicks!$D$182:$F$191,C1844)</f>
        <v>0</v>
      </c>
    </row>
    <row r="1845" spans="1:4" x14ac:dyDescent="0.3">
      <c r="A1845">
        <v>19</v>
      </c>
      <c r="B1845" t="s">
        <v>87</v>
      </c>
      <c r="C1845">
        <v>62</v>
      </c>
      <c r="D1845">
        <f>COUNTIF(WeeklyPicks!$D$182:$F$191,C1845)</f>
        <v>0</v>
      </c>
    </row>
    <row r="1846" spans="1:4" x14ac:dyDescent="0.3">
      <c r="A1846">
        <v>19</v>
      </c>
      <c r="B1846" t="s">
        <v>87</v>
      </c>
      <c r="C1846">
        <v>63</v>
      </c>
      <c r="D1846">
        <f>COUNTIF(WeeklyPicks!$D$182:$F$191,C1846)</f>
        <v>0</v>
      </c>
    </row>
    <row r="1847" spans="1:4" x14ac:dyDescent="0.3">
      <c r="A1847">
        <v>19</v>
      </c>
      <c r="B1847" t="s">
        <v>87</v>
      </c>
      <c r="C1847">
        <v>64</v>
      </c>
      <c r="D1847">
        <f>COUNTIF(WeeklyPicks!$D$182:$F$191,C1847)</f>
        <v>0</v>
      </c>
    </row>
    <row r="1848" spans="1:4" x14ac:dyDescent="0.3">
      <c r="A1848">
        <v>19</v>
      </c>
      <c r="B1848" t="s">
        <v>87</v>
      </c>
      <c r="C1848">
        <v>65</v>
      </c>
      <c r="D1848">
        <f>COUNTIF(WeeklyPicks!$D$182:$F$191,C1848)</f>
        <v>0</v>
      </c>
    </row>
    <row r="1849" spans="1:4" x14ac:dyDescent="0.3">
      <c r="A1849">
        <v>19</v>
      </c>
      <c r="B1849" t="s">
        <v>87</v>
      </c>
      <c r="C1849">
        <v>66</v>
      </c>
      <c r="D1849">
        <f>COUNTIF(WeeklyPicks!$D$182:$F$191,C1849)</f>
        <v>0</v>
      </c>
    </row>
    <row r="1850" spans="1:4" x14ac:dyDescent="0.3">
      <c r="A1850">
        <v>19</v>
      </c>
      <c r="B1850" t="s">
        <v>87</v>
      </c>
      <c r="C1850">
        <v>67</v>
      </c>
      <c r="D1850">
        <f>COUNTIF(WeeklyPicks!$D$182:$F$191,C1850)</f>
        <v>0</v>
      </c>
    </row>
    <row r="1851" spans="1:4" x14ac:dyDescent="0.3">
      <c r="A1851">
        <v>19</v>
      </c>
      <c r="B1851" t="s">
        <v>87</v>
      </c>
      <c r="C1851">
        <v>68</v>
      </c>
      <c r="D1851">
        <f>COUNTIF(WeeklyPicks!$D$182:$F$191,C1851)</f>
        <v>0</v>
      </c>
    </row>
    <row r="1852" spans="1:4" x14ac:dyDescent="0.3">
      <c r="A1852">
        <v>19</v>
      </c>
      <c r="B1852" t="s">
        <v>87</v>
      </c>
      <c r="C1852">
        <v>69</v>
      </c>
      <c r="D1852">
        <f>COUNTIF(WeeklyPicks!$D$182:$F$191,C1852)</f>
        <v>0</v>
      </c>
    </row>
    <row r="1853" spans="1:4" x14ac:dyDescent="0.3">
      <c r="A1853">
        <v>19</v>
      </c>
      <c r="B1853" t="s">
        <v>87</v>
      </c>
      <c r="C1853">
        <v>70</v>
      </c>
      <c r="D1853">
        <f>COUNTIF(WeeklyPicks!$D$182:$F$191,C1853)</f>
        <v>0</v>
      </c>
    </row>
    <row r="1854" spans="1:4" x14ac:dyDescent="0.3">
      <c r="A1854">
        <v>19</v>
      </c>
      <c r="B1854" t="s">
        <v>87</v>
      </c>
      <c r="C1854">
        <v>71</v>
      </c>
      <c r="D1854">
        <f>COUNTIF(WeeklyPicks!$D$182:$F$191,C1854)</f>
        <v>0</v>
      </c>
    </row>
    <row r="1855" spans="1:4" x14ac:dyDescent="0.3">
      <c r="A1855">
        <v>19</v>
      </c>
      <c r="B1855" t="s">
        <v>87</v>
      </c>
      <c r="C1855">
        <v>72</v>
      </c>
      <c r="D1855">
        <f>COUNTIF(WeeklyPicks!$D$182:$F$191,C1855)</f>
        <v>0</v>
      </c>
    </row>
    <row r="1856" spans="1:4" x14ac:dyDescent="0.3">
      <c r="A1856">
        <v>19</v>
      </c>
      <c r="B1856" t="s">
        <v>87</v>
      </c>
      <c r="C1856">
        <v>73</v>
      </c>
      <c r="D1856">
        <f>COUNTIF(WeeklyPicks!$D$182:$F$191,C1856)</f>
        <v>0</v>
      </c>
    </row>
    <row r="1857" spans="1:4" x14ac:dyDescent="0.3">
      <c r="A1857">
        <v>19</v>
      </c>
      <c r="B1857" t="s">
        <v>87</v>
      </c>
      <c r="C1857">
        <v>74</v>
      </c>
      <c r="D1857">
        <f>COUNTIF(WeeklyPicks!$D$182:$F$191,C1857)</f>
        <v>0</v>
      </c>
    </row>
    <row r="1858" spans="1:4" x14ac:dyDescent="0.3">
      <c r="A1858">
        <v>19</v>
      </c>
      <c r="B1858" t="s">
        <v>87</v>
      </c>
      <c r="C1858">
        <v>75</v>
      </c>
      <c r="D1858">
        <f>COUNTIF(WeeklyPicks!$D$182:$F$191,C1858)</f>
        <v>0</v>
      </c>
    </row>
    <row r="1859" spans="1:4" x14ac:dyDescent="0.3">
      <c r="A1859">
        <v>19</v>
      </c>
      <c r="B1859" t="s">
        <v>87</v>
      </c>
      <c r="C1859">
        <v>76</v>
      </c>
      <c r="D1859">
        <f>COUNTIF(WeeklyPicks!$D$182:$F$191,C1859)</f>
        <v>0</v>
      </c>
    </row>
    <row r="1860" spans="1:4" x14ac:dyDescent="0.3">
      <c r="A1860">
        <v>19</v>
      </c>
      <c r="B1860" t="s">
        <v>87</v>
      </c>
      <c r="C1860">
        <v>77</v>
      </c>
      <c r="D1860">
        <f>COUNTIF(WeeklyPicks!$D$182:$F$191,C1860)</f>
        <v>0</v>
      </c>
    </row>
    <row r="1861" spans="1:4" x14ac:dyDescent="0.3">
      <c r="A1861">
        <v>19</v>
      </c>
      <c r="B1861" t="s">
        <v>87</v>
      </c>
      <c r="C1861">
        <v>78</v>
      </c>
      <c r="D1861">
        <f>COUNTIF(WeeklyPicks!$D$182:$F$191,C1861)</f>
        <v>0</v>
      </c>
    </row>
    <row r="1862" spans="1:4" x14ac:dyDescent="0.3">
      <c r="A1862">
        <v>19</v>
      </c>
      <c r="B1862" t="s">
        <v>87</v>
      </c>
      <c r="C1862">
        <v>79</v>
      </c>
      <c r="D1862">
        <f>COUNTIF(WeeklyPicks!$D$182:$F$191,C1862)</f>
        <v>0</v>
      </c>
    </row>
    <row r="1863" spans="1:4" x14ac:dyDescent="0.3">
      <c r="A1863">
        <v>19</v>
      </c>
      <c r="B1863" t="s">
        <v>87</v>
      </c>
      <c r="C1863">
        <v>80</v>
      </c>
      <c r="D1863">
        <f>COUNTIF(WeeklyPicks!$D$182:$F$191,C1863)</f>
        <v>0</v>
      </c>
    </row>
    <row r="1864" spans="1:4" x14ac:dyDescent="0.3">
      <c r="A1864">
        <v>19</v>
      </c>
      <c r="B1864" t="s">
        <v>87</v>
      </c>
      <c r="C1864">
        <v>81</v>
      </c>
      <c r="D1864">
        <f>COUNTIF(WeeklyPicks!$D$182:$F$191,C1864)</f>
        <v>0</v>
      </c>
    </row>
    <row r="1865" spans="1:4" x14ac:dyDescent="0.3">
      <c r="A1865">
        <v>19</v>
      </c>
      <c r="B1865" t="s">
        <v>87</v>
      </c>
      <c r="C1865">
        <v>82</v>
      </c>
      <c r="D1865">
        <f>COUNTIF(WeeklyPicks!$D$182:$F$191,C1865)</f>
        <v>0</v>
      </c>
    </row>
    <row r="1866" spans="1:4" x14ac:dyDescent="0.3">
      <c r="A1866">
        <v>19</v>
      </c>
      <c r="B1866" t="s">
        <v>87</v>
      </c>
      <c r="C1866">
        <v>83</v>
      </c>
      <c r="D1866">
        <f>COUNTIF(WeeklyPicks!$D$182:$F$191,C1866)</f>
        <v>0</v>
      </c>
    </row>
    <row r="1867" spans="1:4" x14ac:dyDescent="0.3">
      <c r="A1867">
        <v>19</v>
      </c>
      <c r="B1867" t="s">
        <v>87</v>
      </c>
      <c r="C1867">
        <v>84</v>
      </c>
      <c r="D1867">
        <f>COUNTIF(WeeklyPicks!$D$182:$F$191,C1867)</f>
        <v>0</v>
      </c>
    </row>
    <row r="1868" spans="1:4" x14ac:dyDescent="0.3">
      <c r="A1868">
        <v>19</v>
      </c>
      <c r="B1868" t="s">
        <v>87</v>
      </c>
      <c r="C1868">
        <v>85</v>
      </c>
      <c r="D1868">
        <f>COUNTIF(WeeklyPicks!$D$182:$F$191,C1868)</f>
        <v>0</v>
      </c>
    </row>
    <row r="1869" spans="1:4" x14ac:dyDescent="0.3">
      <c r="A1869">
        <v>19</v>
      </c>
      <c r="B1869" t="s">
        <v>87</v>
      </c>
      <c r="C1869">
        <v>86</v>
      </c>
      <c r="D1869">
        <f>COUNTIF(WeeklyPicks!$D$182:$F$191,C1869)</f>
        <v>0</v>
      </c>
    </row>
    <row r="1870" spans="1:4" x14ac:dyDescent="0.3">
      <c r="A1870">
        <v>19</v>
      </c>
      <c r="B1870" t="s">
        <v>87</v>
      </c>
      <c r="C1870">
        <v>87</v>
      </c>
      <c r="D1870">
        <f>COUNTIF(WeeklyPicks!$D$182:$F$191,C1870)</f>
        <v>0</v>
      </c>
    </row>
    <row r="1871" spans="1:4" x14ac:dyDescent="0.3">
      <c r="A1871">
        <v>19</v>
      </c>
      <c r="B1871" t="s">
        <v>87</v>
      </c>
      <c r="C1871">
        <v>88</v>
      </c>
      <c r="D1871">
        <f>COUNTIF(WeeklyPicks!$D$182:$F$191,C1871)</f>
        <v>0</v>
      </c>
    </row>
    <row r="1872" spans="1:4" x14ac:dyDescent="0.3">
      <c r="A1872">
        <v>19</v>
      </c>
      <c r="B1872" t="s">
        <v>87</v>
      </c>
      <c r="C1872">
        <v>89</v>
      </c>
      <c r="D1872">
        <f>COUNTIF(WeeklyPicks!$D$182:$F$191,C1872)</f>
        <v>0</v>
      </c>
    </row>
    <row r="1873" spans="1:4" x14ac:dyDescent="0.3">
      <c r="A1873">
        <v>19</v>
      </c>
      <c r="B1873" t="s">
        <v>87</v>
      </c>
      <c r="C1873">
        <v>90</v>
      </c>
      <c r="D1873">
        <f>COUNTIF(WeeklyPicks!$D$182:$F$191,C1873)</f>
        <v>0</v>
      </c>
    </row>
    <row r="1874" spans="1:4" x14ac:dyDescent="0.3">
      <c r="A1874">
        <v>19</v>
      </c>
      <c r="B1874" t="s">
        <v>87</v>
      </c>
      <c r="C1874">
        <v>91</v>
      </c>
      <c r="D1874">
        <f>COUNTIF(WeeklyPicks!$D$182:$F$191,C1874)</f>
        <v>0</v>
      </c>
    </row>
    <row r="1875" spans="1:4" x14ac:dyDescent="0.3">
      <c r="A1875">
        <v>19</v>
      </c>
      <c r="B1875" t="s">
        <v>87</v>
      </c>
      <c r="C1875">
        <v>92</v>
      </c>
      <c r="D1875">
        <f>COUNTIF(WeeklyPicks!$D$182:$F$191,C1875)</f>
        <v>0</v>
      </c>
    </row>
    <row r="1876" spans="1:4" x14ac:dyDescent="0.3">
      <c r="A1876">
        <v>19</v>
      </c>
      <c r="B1876" t="s">
        <v>87</v>
      </c>
      <c r="C1876">
        <v>93</v>
      </c>
      <c r="D1876">
        <f>COUNTIF(WeeklyPicks!$D$182:$F$191,C1876)</f>
        <v>0</v>
      </c>
    </row>
    <row r="1877" spans="1:4" x14ac:dyDescent="0.3">
      <c r="A1877">
        <v>19</v>
      </c>
      <c r="B1877" t="s">
        <v>87</v>
      </c>
      <c r="C1877">
        <v>94</v>
      </c>
      <c r="D1877">
        <f>COUNTIF(WeeklyPicks!$D$182:$F$191,C1877)</f>
        <v>0</v>
      </c>
    </row>
    <row r="1878" spans="1:4" x14ac:dyDescent="0.3">
      <c r="A1878">
        <v>19</v>
      </c>
      <c r="B1878" t="s">
        <v>87</v>
      </c>
      <c r="C1878">
        <v>95</v>
      </c>
      <c r="D1878">
        <f>COUNTIF(WeeklyPicks!$D$182:$F$191,C1878)</f>
        <v>0</v>
      </c>
    </row>
    <row r="1879" spans="1:4" x14ac:dyDescent="0.3">
      <c r="A1879">
        <v>19</v>
      </c>
      <c r="B1879" t="s">
        <v>87</v>
      </c>
      <c r="C1879">
        <v>96</v>
      </c>
      <c r="D1879">
        <f>COUNTIF(WeeklyPicks!$D$182:$F$191,C1879)</f>
        <v>0</v>
      </c>
    </row>
    <row r="1880" spans="1:4" x14ac:dyDescent="0.3">
      <c r="A1880">
        <v>19</v>
      </c>
      <c r="B1880" t="s">
        <v>87</v>
      </c>
      <c r="C1880">
        <v>97</v>
      </c>
      <c r="D1880">
        <f>COUNTIF(WeeklyPicks!$D$182:$F$191,C1880)</f>
        <v>0</v>
      </c>
    </row>
    <row r="1881" spans="1:4" x14ac:dyDescent="0.3">
      <c r="A1881">
        <v>19</v>
      </c>
      <c r="B1881" t="s">
        <v>87</v>
      </c>
      <c r="C1881">
        <v>98</v>
      </c>
      <c r="D1881">
        <f>COUNTIF(WeeklyPicks!$D$182:$F$191,C1881)</f>
        <v>0</v>
      </c>
    </row>
    <row r="1882" spans="1:4" x14ac:dyDescent="0.3">
      <c r="A1882">
        <v>19</v>
      </c>
      <c r="B1882" t="s">
        <v>87</v>
      </c>
      <c r="C1882">
        <v>99</v>
      </c>
      <c r="D1882">
        <f>COUNTIF(WeeklyPicks!$D$182:$F$191,C1882)</f>
        <v>0</v>
      </c>
    </row>
    <row r="1883" spans="1:4" x14ac:dyDescent="0.3">
      <c r="A1883">
        <v>20</v>
      </c>
      <c r="B1883" t="s">
        <v>50</v>
      </c>
      <c r="C1883">
        <v>1</v>
      </c>
      <c r="D1883">
        <f>COUNTIF(WeeklyPicks!$D$192:$F$201,C1883)</f>
        <v>0</v>
      </c>
    </row>
    <row r="1884" spans="1:4" x14ac:dyDescent="0.3">
      <c r="A1884">
        <v>20</v>
      </c>
      <c r="B1884" t="s">
        <v>50</v>
      </c>
      <c r="C1884">
        <v>2</v>
      </c>
      <c r="D1884">
        <f>COUNTIF(WeeklyPicks!$D$192:$F$201,C1884)</f>
        <v>0</v>
      </c>
    </row>
    <row r="1885" spans="1:4" x14ac:dyDescent="0.3">
      <c r="A1885">
        <v>20</v>
      </c>
      <c r="B1885" t="s">
        <v>50</v>
      </c>
      <c r="C1885">
        <v>3</v>
      </c>
      <c r="D1885">
        <f>COUNTIF(WeeklyPicks!$D$192:$F$201,C1885)</f>
        <v>0</v>
      </c>
    </row>
    <row r="1886" spans="1:4" x14ac:dyDescent="0.3">
      <c r="A1886">
        <v>20</v>
      </c>
      <c r="B1886" t="s">
        <v>50</v>
      </c>
      <c r="C1886">
        <v>4</v>
      </c>
      <c r="D1886">
        <f>COUNTIF(WeeklyPicks!$D$192:$F$201,C1886)</f>
        <v>0</v>
      </c>
    </row>
    <row r="1887" spans="1:4" x14ac:dyDescent="0.3">
      <c r="A1887">
        <v>20</v>
      </c>
      <c r="B1887" t="s">
        <v>50</v>
      </c>
      <c r="C1887">
        <v>5</v>
      </c>
      <c r="D1887">
        <f>COUNTIF(WeeklyPicks!$D$192:$F$201,C1887)</f>
        <v>0</v>
      </c>
    </row>
    <row r="1888" spans="1:4" x14ac:dyDescent="0.3">
      <c r="A1888">
        <v>20</v>
      </c>
      <c r="B1888" t="s">
        <v>50</v>
      </c>
      <c r="C1888">
        <v>6</v>
      </c>
      <c r="D1888">
        <f>COUNTIF(WeeklyPicks!$D$192:$F$201,C1888)</f>
        <v>0</v>
      </c>
    </row>
    <row r="1889" spans="1:4" x14ac:dyDescent="0.3">
      <c r="A1889">
        <v>20</v>
      </c>
      <c r="B1889" t="s">
        <v>50</v>
      </c>
      <c r="C1889">
        <v>7</v>
      </c>
      <c r="D1889">
        <f>COUNTIF(WeeklyPicks!$D$192:$F$201,C1889)</f>
        <v>0</v>
      </c>
    </row>
    <row r="1890" spans="1:4" x14ac:dyDescent="0.3">
      <c r="A1890">
        <v>20</v>
      </c>
      <c r="B1890" t="s">
        <v>50</v>
      </c>
      <c r="C1890">
        <v>8</v>
      </c>
      <c r="D1890">
        <f>COUNTIF(WeeklyPicks!$D$192:$F$201,C1890)</f>
        <v>0</v>
      </c>
    </row>
    <row r="1891" spans="1:4" x14ac:dyDescent="0.3">
      <c r="A1891">
        <v>20</v>
      </c>
      <c r="B1891" t="s">
        <v>50</v>
      </c>
      <c r="C1891">
        <v>9</v>
      </c>
      <c r="D1891">
        <f>COUNTIF(WeeklyPicks!$D$192:$F$201,C1891)</f>
        <v>0</v>
      </c>
    </row>
    <row r="1892" spans="1:4" x14ac:dyDescent="0.3">
      <c r="A1892">
        <v>20</v>
      </c>
      <c r="B1892" t="s">
        <v>50</v>
      </c>
      <c r="C1892">
        <v>10</v>
      </c>
      <c r="D1892">
        <f>COUNTIF(WeeklyPicks!$D$192:$F$201,C1892)</f>
        <v>0</v>
      </c>
    </row>
    <row r="1893" spans="1:4" x14ac:dyDescent="0.3">
      <c r="A1893">
        <v>20</v>
      </c>
      <c r="B1893" t="s">
        <v>50</v>
      </c>
      <c r="C1893">
        <v>11</v>
      </c>
      <c r="D1893">
        <f>COUNTIF(WeeklyPicks!$D$192:$F$201,C1893)</f>
        <v>0</v>
      </c>
    </row>
    <row r="1894" spans="1:4" x14ac:dyDescent="0.3">
      <c r="A1894">
        <v>20</v>
      </c>
      <c r="B1894" t="s">
        <v>50</v>
      </c>
      <c r="C1894">
        <v>12</v>
      </c>
      <c r="D1894">
        <f>COUNTIF(WeeklyPicks!$D$192:$F$201,C1894)</f>
        <v>0</v>
      </c>
    </row>
    <row r="1895" spans="1:4" x14ac:dyDescent="0.3">
      <c r="A1895">
        <v>20</v>
      </c>
      <c r="B1895" t="s">
        <v>50</v>
      </c>
      <c r="C1895">
        <v>13</v>
      </c>
      <c r="D1895">
        <f>COUNTIF(WeeklyPicks!$D$192:$F$201,C1895)</f>
        <v>0</v>
      </c>
    </row>
    <row r="1896" spans="1:4" x14ac:dyDescent="0.3">
      <c r="A1896">
        <v>20</v>
      </c>
      <c r="B1896" t="s">
        <v>50</v>
      </c>
      <c r="C1896">
        <v>14</v>
      </c>
      <c r="D1896">
        <f>COUNTIF(WeeklyPicks!$D$192:$F$201,C1896)</f>
        <v>0</v>
      </c>
    </row>
    <row r="1897" spans="1:4" x14ac:dyDescent="0.3">
      <c r="A1897">
        <v>20</v>
      </c>
      <c r="B1897" t="s">
        <v>50</v>
      </c>
      <c r="C1897">
        <v>15</v>
      </c>
      <c r="D1897">
        <f>COUNTIF(WeeklyPicks!$D$192:$F$201,C1897)</f>
        <v>0</v>
      </c>
    </row>
    <row r="1898" spans="1:4" x14ac:dyDescent="0.3">
      <c r="A1898">
        <v>20</v>
      </c>
      <c r="B1898" t="s">
        <v>50</v>
      </c>
      <c r="C1898">
        <v>16</v>
      </c>
      <c r="D1898">
        <f>COUNTIF(WeeklyPicks!$D$192:$F$201,C1898)</f>
        <v>0</v>
      </c>
    </row>
    <row r="1899" spans="1:4" x14ac:dyDescent="0.3">
      <c r="A1899">
        <v>20</v>
      </c>
      <c r="B1899" t="s">
        <v>50</v>
      </c>
      <c r="C1899">
        <v>17</v>
      </c>
      <c r="D1899">
        <f>COUNTIF(WeeklyPicks!$D$192:$F$201,C1899)</f>
        <v>0</v>
      </c>
    </row>
    <row r="1900" spans="1:4" x14ac:dyDescent="0.3">
      <c r="A1900">
        <v>20</v>
      </c>
      <c r="B1900" t="s">
        <v>50</v>
      </c>
      <c r="C1900">
        <v>18</v>
      </c>
      <c r="D1900">
        <f>COUNTIF(WeeklyPicks!$D$192:$F$201,C1900)</f>
        <v>0</v>
      </c>
    </row>
    <row r="1901" spans="1:4" x14ac:dyDescent="0.3">
      <c r="A1901">
        <v>20</v>
      </c>
      <c r="B1901" t="s">
        <v>50</v>
      </c>
      <c r="C1901">
        <v>19</v>
      </c>
      <c r="D1901">
        <f>COUNTIF(WeeklyPicks!$D$192:$F$201,C1901)</f>
        <v>0</v>
      </c>
    </row>
    <row r="1902" spans="1:4" x14ac:dyDescent="0.3">
      <c r="A1902">
        <v>20</v>
      </c>
      <c r="B1902" t="s">
        <v>50</v>
      </c>
      <c r="C1902">
        <v>20</v>
      </c>
      <c r="D1902">
        <f>COUNTIF(WeeklyPicks!$D$192:$F$201,C1902)</f>
        <v>0</v>
      </c>
    </row>
    <row r="1903" spans="1:4" x14ac:dyDescent="0.3">
      <c r="A1903">
        <v>20</v>
      </c>
      <c r="B1903" t="s">
        <v>50</v>
      </c>
      <c r="C1903">
        <v>21</v>
      </c>
      <c r="D1903">
        <f>COUNTIF(WeeklyPicks!$D$192:$F$201,C1903)</f>
        <v>0</v>
      </c>
    </row>
    <row r="1904" spans="1:4" x14ac:dyDescent="0.3">
      <c r="A1904">
        <v>20</v>
      </c>
      <c r="B1904" t="s">
        <v>50</v>
      </c>
      <c r="C1904">
        <v>22</v>
      </c>
      <c r="D1904">
        <f>COUNTIF(WeeklyPicks!$D$192:$F$201,C1904)</f>
        <v>0</v>
      </c>
    </row>
    <row r="1905" spans="1:4" x14ac:dyDescent="0.3">
      <c r="A1905">
        <v>20</v>
      </c>
      <c r="B1905" t="s">
        <v>50</v>
      </c>
      <c r="C1905">
        <v>23</v>
      </c>
      <c r="D1905">
        <f>COUNTIF(WeeklyPicks!$D$192:$F$201,C1905)</f>
        <v>0</v>
      </c>
    </row>
    <row r="1906" spans="1:4" x14ac:dyDescent="0.3">
      <c r="A1906">
        <v>20</v>
      </c>
      <c r="B1906" t="s">
        <v>50</v>
      </c>
      <c r="C1906">
        <v>24</v>
      </c>
      <c r="D1906">
        <f>COUNTIF(WeeklyPicks!$D$192:$F$201,C1906)</f>
        <v>0</v>
      </c>
    </row>
    <row r="1907" spans="1:4" x14ac:dyDescent="0.3">
      <c r="A1907">
        <v>20</v>
      </c>
      <c r="B1907" t="s">
        <v>50</v>
      </c>
      <c r="C1907">
        <v>25</v>
      </c>
      <c r="D1907">
        <f>COUNTIF(WeeklyPicks!$D$192:$F$201,C1907)</f>
        <v>0</v>
      </c>
    </row>
    <row r="1908" spans="1:4" x14ac:dyDescent="0.3">
      <c r="A1908">
        <v>20</v>
      </c>
      <c r="B1908" t="s">
        <v>50</v>
      </c>
      <c r="C1908">
        <v>26</v>
      </c>
      <c r="D1908">
        <f>COUNTIF(WeeklyPicks!$D$192:$F$201,C1908)</f>
        <v>0</v>
      </c>
    </row>
    <row r="1909" spans="1:4" x14ac:dyDescent="0.3">
      <c r="A1909">
        <v>20</v>
      </c>
      <c r="B1909" t="s">
        <v>50</v>
      </c>
      <c r="C1909">
        <v>27</v>
      </c>
      <c r="D1909">
        <f>COUNTIF(WeeklyPicks!$D$192:$F$201,C1909)</f>
        <v>0</v>
      </c>
    </row>
    <row r="1910" spans="1:4" x14ac:dyDescent="0.3">
      <c r="A1910">
        <v>20</v>
      </c>
      <c r="B1910" t="s">
        <v>50</v>
      </c>
      <c r="C1910">
        <v>28</v>
      </c>
      <c r="D1910">
        <f>COUNTIF(WeeklyPicks!$D$192:$F$201,C1910)</f>
        <v>0</v>
      </c>
    </row>
    <row r="1911" spans="1:4" x14ac:dyDescent="0.3">
      <c r="A1911">
        <v>20</v>
      </c>
      <c r="B1911" t="s">
        <v>50</v>
      </c>
      <c r="C1911">
        <v>29</v>
      </c>
      <c r="D1911">
        <f>COUNTIF(WeeklyPicks!$D$192:$F$201,C1911)</f>
        <v>0</v>
      </c>
    </row>
    <row r="1912" spans="1:4" x14ac:dyDescent="0.3">
      <c r="A1912">
        <v>20</v>
      </c>
      <c r="B1912" t="s">
        <v>50</v>
      </c>
      <c r="C1912">
        <v>30</v>
      </c>
      <c r="D1912">
        <f>COUNTIF(WeeklyPicks!$D$192:$F$201,C1912)</f>
        <v>0</v>
      </c>
    </row>
    <row r="1913" spans="1:4" x14ac:dyDescent="0.3">
      <c r="A1913">
        <v>20</v>
      </c>
      <c r="B1913" t="s">
        <v>50</v>
      </c>
      <c r="C1913">
        <v>31</v>
      </c>
      <c r="D1913">
        <f>COUNTIF(WeeklyPicks!$D$192:$F$201,C1913)</f>
        <v>0</v>
      </c>
    </row>
    <row r="1914" spans="1:4" x14ac:dyDescent="0.3">
      <c r="A1914">
        <v>20</v>
      </c>
      <c r="B1914" t="s">
        <v>50</v>
      </c>
      <c r="C1914">
        <v>32</v>
      </c>
      <c r="D1914">
        <f>COUNTIF(WeeklyPicks!$D$192:$F$201,C1914)</f>
        <v>0</v>
      </c>
    </row>
    <row r="1915" spans="1:4" x14ac:dyDescent="0.3">
      <c r="A1915">
        <v>20</v>
      </c>
      <c r="B1915" t="s">
        <v>50</v>
      </c>
      <c r="C1915">
        <v>33</v>
      </c>
      <c r="D1915">
        <f>COUNTIF(WeeklyPicks!$D$192:$F$201,C1915)</f>
        <v>0</v>
      </c>
    </row>
    <row r="1916" spans="1:4" x14ac:dyDescent="0.3">
      <c r="A1916">
        <v>20</v>
      </c>
      <c r="B1916" t="s">
        <v>50</v>
      </c>
      <c r="C1916">
        <v>34</v>
      </c>
      <c r="D1916">
        <f>COUNTIF(WeeklyPicks!$D$192:$F$201,C1916)</f>
        <v>0</v>
      </c>
    </row>
    <row r="1917" spans="1:4" x14ac:dyDescent="0.3">
      <c r="A1917">
        <v>20</v>
      </c>
      <c r="B1917" t="s">
        <v>50</v>
      </c>
      <c r="C1917">
        <v>35</v>
      </c>
      <c r="D1917">
        <f>COUNTIF(WeeklyPicks!$D$192:$F$201,C1917)</f>
        <v>0</v>
      </c>
    </row>
    <row r="1918" spans="1:4" x14ac:dyDescent="0.3">
      <c r="A1918">
        <v>20</v>
      </c>
      <c r="B1918" t="s">
        <v>50</v>
      </c>
      <c r="C1918">
        <v>36</v>
      </c>
      <c r="D1918">
        <f>COUNTIF(WeeklyPicks!$D$192:$F$201,C1918)</f>
        <v>0</v>
      </c>
    </row>
    <row r="1919" spans="1:4" x14ac:dyDescent="0.3">
      <c r="A1919">
        <v>20</v>
      </c>
      <c r="B1919" t="s">
        <v>50</v>
      </c>
      <c r="C1919">
        <v>37</v>
      </c>
      <c r="D1919">
        <f>COUNTIF(WeeklyPicks!$D$192:$F$201,C1919)</f>
        <v>0</v>
      </c>
    </row>
    <row r="1920" spans="1:4" x14ac:dyDescent="0.3">
      <c r="A1920">
        <v>20</v>
      </c>
      <c r="B1920" t="s">
        <v>50</v>
      </c>
      <c r="C1920">
        <v>38</v>
      </c>
      <c r="D1920">
        <f>COUNTIF(WeeklyPicks!$D$192:$F$201,C1920)</f>
        <v>0</v>
      </c>
    </row>
    <row r="1921" spans="1:4" x14ac:dyDescent="0.3">
      <c r="A1921">
        <v>20</v>
      </c>
      <c r="B1921" t="s">
        <v>50</v>
      </c>
      <c r="C1921">
        <v>39</v>
      </c>
      <c r="D1921">
        <f>COUNTIF(WeeklyPicks!$D$192:$F$201,C1921)</f>
        <v>0</v>
      </c>
    </row>
    <row r="1922" spans="1:4" x14ac:dyDescent="0.3">
      <c r="A1922">
        <v>20</v>
      </c>
      <c r="B1922" t="s">
        <v>50</v>
      </c>
      <c r="C1922">
        <v>40</v>
      </c>
      <c r="D1922">
        <f>COUNTIF(WeeklyPicks!$D$192:$F$201,C1922)</f>
        <v>0</v>
      </c>
    </row>
    <row r="1923" spans="1:4" x14ac:dyDescent="0.3">
      <c r="A1923">
        <v>20</v>
      </c>
      <c r="B1923" t="s">
        <v>50</v>
      </c>
      <c r="C1923">
        <v>41</v>
      </c>
      <c r="D1923">
        <f>COUNTIF(WeeklyPicks!$D$192:$F$201,C1923)</f>
        <v>0</v>
      </c>
    </row>
    <row r="1924" spans="1:4" x14ac:dyDescent="0.3">
      <c r="A1924">
        <v>20</v>
      </c>
      <c r="B1924" t="s">
        <v>50</v>
      </c>
      <c r="C1924">
        <v>42</v>
      </c>
      <c r="D1924">
        <f>COUNTIF(WeeklyPicks!$D$192:$F$201,C1924)</f>
        <v>0</v>
      </c>
    </row>
    <row r="1925" spans="1:4" x14ac:dyDescent="0.3">
      <c r="A1925">
        <v>20</v>
      </c>
      <c r="B1925" t="s">
        <v>50</v>
      </c>
      <c r="C1925">
        <v>43</v>
      </c>
      <c r="D1925">
        <f>COUNTIF(WeeklyPicks!$D$192:$F$201,C1925)</f>
        <v>0</v>
      </c>
    </row>
    <row r="1926" spans="1:4" x14ac:dyDescent="0.3">
      <c r="A1926">
        <v>20</v>
      </c>
      <c r="B1926" t="s">
        <v>50</v>
      </c>
      <c r="C1926">
        <v>44</v>
      </c>
      <c r="D1926">
        <f>COUNTIF(WeeklyPicks!$D$192:$F$201,C1926)</f>
        <v>0</v>
      </c>
    </row>
    <row r="1927" spans="1:4" x14ac:dyDescent="0.3">
      <c r="A1927">
        <v>20</v>
      </c>
      <c r="B1927" t="s">
        <v>50</v>
      </c>
      <c r="C1927">
        <v>45</v>
      </c>
      <c r="D1927">
        <f>COUNTIF(WeeklyPicks!$D$192:$F$201,C1927)</f>
        <v>0</v>
      </c>
    </row>
    <row r="1928" spans="1:4" x14ac:dyDescent="0.3">
      <c r="A1928">
        <v>20</v>
      </c>
      <c r="B1928" t="s">
        <v>50</v>
      </c>
      <c r="C1928">
        <v>46</v>
      </c>
      <c r="D1928">
        <f>COUNTIF(WeeklyPicks!$D$192:$F$201,C1928)</f>
        <v>0</v>
      </c>
    </row>
    <row r="1929" spans="1:4" x14ac:dyDescent="0.3">
      <c r="A1929">
        <v>20</v>
      </c>
      <c r="B1929" t="s">
        <v>50</v>
      </c>
      <c r="C1929">
        <v>47</v>
      </c>
      <c r="D1929">
        <f>COUNTIF(WeeklyPicks!$D$192:$F$201,C1929)</f>
        <v>0</v>
      </c>
    </row>
    <row r="1930" spans="1:4" x14ac:dyDescent="0.3">
      <c r="A1930">
        <v>20</v>
      </c>
      <c r="B1930" t="s">
        <v>50</v>
      </c>
      <c r="C1930">
        <v>48</v>
      </c>
      <c r="D1930">
        <f>COUNTIF(WeeklyPicks!$D$192:$F$201,C1930)</f>
        <v>0</v>
      </c>
    </row>
    <row r="1931" spans="1:4" x14ac:dyDescent="0.3">
      <c r="A1931">
        <v>20</v>
      </c>
      <c r="B1931" t="s">
        <v>50</v>
      </c>
      <c r="C1931">
        <v>49</v>
      </c>
      <c r="D1931">
        <f>COUNTIF(WeeklyPicks!$D$192:$F$201,C1931)</f>
        <v>0</v>
      </c>
    </row>
    <row r="1932" spans="1:4" x14ac:dyDescent="0.3">
      <c r="A1932">
        <v>20</v>
      </c>
      <c r="B1932" t="s">
        <v>50</v>
      </c>
      <c r="C1932">
        <v>50</v>
      </c>
      <c r="D1932">
        <f>COUNTIF(WeeklyPicks!$D$192:$F$201,C1932)</f>
        <v>0</v>
      </c>
    </row>
    <row r="1933" spans="1:4" x14ac:dyDescent="0.3">
      <c r="A1933">
        <v>20</v>
      </c>
      <c r="B1933" t="s">
        <v>50</v>
      </c>
      <c r="C1933">
        <v>51</v>
      </c>
      <c r="D1933">
        <f>COUNTIF(WeeklyPicks!$D$192:$F$201,C1933)</f>
        <v>0</v>
      </c>
    </row>
    <row r="1934" spans="1:4" x14ac:dyDescent="0.3">
      <c r="A1934">
        <v>20</v>
      </c>
      <c r="B1934" t="s">
        <v>50</v>
      </c>
      <c r="C1934">
        <v>52</v>
      </c>
      <c r="D1934">
        <f>COUNTIF(WeeklyPicks!$D$192:$F$201,C1934)</f>
        <v>0</v>
      </c>
    </row>
    <row r="1935" spans="1:4" x14ac:dyDescent="0.3">
      <c r="A1935">
        <v>20</v>
      </c>
      <c r="B1935" t="s">
        <v>50</v>
      </c>
      <c r="C1935">
        <v>53</v>
      </c>
      <c r="D1935">
        <f>COUNTIF(WeeklyPicks!$D$192:$F$201,C1935)</f>
        <v>0</v>
      </c>
    </row>
    <row r="1936" spans="1:4" x14ac:dyDescent="0.3">
      <c r="A1936">
        <v>20</v>
      </c>
      <c r="B1936" t="s">
        <v>50</v>
      </c>
      <c r="C1936">
        <v>54</v>
      </c>
      <c r="D1936">
        <f>COUNTIF(WeeklyPicks!$D$192:$F$201,C1936)</f>
        <v>0</v>
      </c>
    </row>
    <row r="1937" spans="1:4" x14ac:dyDescent="0.3">
      <c r="A1937">
        <v>20</v>
      </c>
      <c r="B1937" t="s">
        <v>50</v>
      </c>
      <c r="C1937">
        <v>55</v>
      </c>
      <c r="D1937">
        <f>COUNTIF(WeeklyPicks!$D$192:$F$201,C1937)</f>
        <v>0</v>
      </c>
    </row>
    <row r="1938" spans="1:4" x14ac:dyDescent="0.3">
      <c r="A1938">
        <v>20</v>
      </c>
      <c r="B1938" t="s">
        <v>50</v>
      </c>
      <c r="C1938">
        <v>56</v>
      </c>
      <c r="D1938">
        <f>COUNTIF(WeeklyPicks!$D$192:$F$201,C1938)</f>
        <v>0</v>
      </c>
    </row>
    <row r="1939" spans="1:4" x14ac:dyDescent="0.3">
      <c r="A1939">
        <v>20</v>
      </c>
      <c r="B1939" t="s">
        <v>50</v>
      </c>
      <c r="C1939">
        <v>57</v>
      </c>
      <c r="D1939">
        <f>COUNTIF(WeeklyPicks!$D$192:$F$201,C1939)</f>
        <v>0</v>
      </c>
    </row>
    <row r="1940" spans="1:4" x14ac:dyDescent="0.3">
      <c r="A1940">
        <v>20</v>
      </c>
      <c r="B1940" t="s">
        <v>50</v>
      </c>
      <c r="C1940">
        <v>58</v>
      </c>
      <c r="D1940">
        <f>COUNTIF(WeeklyPicks!$D$192:$F$201,C1940)</f>
        <v>0</v>
      </c>
    </row>
    <row r="1941" spans="1:4" x14ac:dyDescent="0.3">
      <c r="A1941">
        <v>20</v>
      </c>
      <c r="B1941" t="s">
        <v>50</v>
      </c>
      <c r="C1941">
        <v>59</v>
      </c>
      <c r="D1941">
        <f>COUNTIF(WeeklyPicks!$D$192:$F$201,C1941)</f>
        <v>0</v>
      </c>
    </row>
    <row r="1942" spans="1:4" x14ac:dyDescent="0.3">
      <c r="A1942">
        <v>20</v>
      </c>
      <c r="B1942" t="s">
        <v>50</v>
      </c>
      <c r="C1942">
        <v>60</v>
      </c>
      <c r="D1942">
        <f>COUNTIF(WeeklyPicks!$D$192:$F$201,C1942)</f>
        <v>0</v>
      </c>
    </row>
    <row r="1943" spans="1:4" x14ac:dyDescent="0.3">
      <c r="A1943">
        <v>20</v>
      </c>
      <c r="B1943" t="s">
        <v>50</v>
      </c>
      <c r="C1943">
        <v>61</v>
      </c>
      <c r="D1943">
        <f>COUNTIF(WeeklyPicks!$D$192:$F$201,C1943)</f>
        <v>0</v>
      </c>
    </row>
    <row r="1944" spans="1:4" x14ac:dyDescent="0.3">
      <c r="A1944">
        <v>20</v>
      </c>
      <c r="B1944" t="s">
        <v>50</v>
      </c>
      <c r="C1944">
        <v>62</v>
      </c>
      <c r="D1944">
        <f>COUNTIF(WeeklyPicks!$D$192:$F$201,C1944)</f>
        <v>0</v>
      </c>
    </row>
    <row r="1945" spans="1:4" x14ac:dyDescent="0.3">
      <c r="A1945">
        <v>20</v>
      </c>
      <c r="B1945" t="s">
        <v>50</v>
      </c>
      <c r="C1945">
        <v>63</v>
      </c>
      <c r="D1945">
        <f>COUNTIF(WeeklyPicks!$D$192:$F$201,C1945)</f>
        <v>0</v>
      </c>
    </row>
    <row r="1946" spans="1:4" x14ac:dyDescent="0.3">
      <c r="A1946">
        <v>20</v>
      </c>
      <c r="B1946" t="s">
        <v>50</v>
      </c>
      <c r="C1946">
        <v>64</v>
      </c>
      <c r="D1946">
        <f>COUNTIF(WeeklyPicks!$D$192:$F$201,C1946)</f>
        <v>0</v>
      </c>
    </row>
    <row r="1947" spans="1:4" x14ac:dyDescent="0.3">
      <c r="A1947">
        <v>20</v>
      </c>
      <c r="B1947" t="s">
        <v>50</v>
      </c>
      <c r="C1947">
        <v>65</v>
      </c>
      <c r="D1947">
        <f>COUNTIF(WeeklyPicks!$D$192:$F$201,C1947)</f>
        <v>0</v>
      </c>
    </row>
    <row r="1948" spans="1:4" x14ac:dyDescent="0.3">
      <c r="A1948">
        <v>20</v>
      </c>
      <c r="B1948" t="s">
        <v>50</v>
      </c>
      <c r="C1948">
        <v>66</v>
      </c>
      <c r="D1948">
        <f>COUNTIF(WeeklyPicks!$D$192:$F$201,C1948)</f>
        <v>0</v>
      </c>
    </row>
    <row r="1949" spans="1:4" x14ac:dyDescent="0.3">
      <c r="A1949">
        <v>20</v>
      </c>
      <c r="B1949" t="s">
        <v>50</v>
      </c>
      <c r="C1949">
        <v>67</v>
      </c>
      <c r="D1949">
        <f>COUNTIF(WeeklyPicks!$D$192:$F$201,C1949)</f>
        <v>0</v>
      </c>
    </row>
    <row r="1950" spans="1:4" x14ac:dyDescent="0.3">
      <c r="A1950">
        <v>20</v>
      </c>
      <c r="B1950" t="s">
        <v>50</v>
      </c>
      <c r="C1950">
        <v>68</v>
      </c>
      <c r="D1950">
        <f>COUNTIF(WeeklyPicks!$D$192:$F$201,C1950)</f>
        <v>0</v>
      </c>
    </row>
    <row r="1951" spans="1:4" x14ac:dyDescent="0.3">
      <c r="A1951">
        <v>20</v>
      </c>
      <c r="B1951" t="s">
        <v>50</v>
      </c>
      <c r="C1951">
        <v>69</v>
      </c>
      <c r="D1951">
        <f>COUNTIF(WeeklyPicks!$D$192:$F$201,C1951)</f>
        <v>0</v>
      </c>
    </row>
    <row r="1952" spans="1:4" x14ac:dyDescent="0.3">
      <c r="A1952">
        <v>20</v>
      </c>
      <c r="B1952" t="s">
        <v>50</v>
      </c>
      <c r="C1952">
        <v>70</v>
      </c>
      <c r="D1952">
        <f>COUNTIF(WeeklyPicks!$D$192:$F$201,C1952)</f>
        <v>0</v>
      </c>
    </row>
    <row r="1953" spans="1:4" x14ac:dyDescent="0.3">
      <c r="A1953">
        <v>20</v>
      </c>
      <c r="B1953" t="s">
        <v>50</v>
      </c>
      <c r="C1953">
        <v>71</v>
      </c>
      <c r="D1953">
        <f>COUNTIF(WeeklyPicks!$D$192:$F$201,C1953)</f>
        <v>0</v>
      </c>
    </row>
    <row r="1954" spans="1:4" x14ac:dyDescent="0.3">
      <c r="A1954">
        <v>20</v>
      </c>
      <c r="B1954" t="s">
        <v>50</v>
      </c>
      <c r="C1954">
        <v>72</v>
      </c>
      <c r="D1954">
        <f>COUNTIF(WeeklyPicks!$D$192:$F$201,C1954)</f>
        <v>0</v>
      </c>
    </row>
    <row r="1955" spans="1:4" x14ac:dyDescent="0.3">
      <c r="A1955">
        <v>20</v>
      </c>
      <c r="B1955" t="s">
        <v>50</v>
      </c>
      <c r="C1955">
        <v>73</v>
      </c>
      <c r="D1955">
        <f>COUNTIF(WeeklyPicks!$D$192:$F$201,C1955)</f>
        <v>0</v>
      </c>
    </row>
    <row r="1956" spans="1:4" x14ac:dyDescent="0.3">
      <c r="A1956">
        <v>20</v>
      </c>
      <c r="B1956" t="s">
        <v>50</v>
      </c>
      <c r="C1956">
        <v>74</v>
      </c>
      <c r="D1956">
        <f>COUNTIF(WeeklyPicks!$D$192:$F$201,C1956)</f>
        <v>0</v>
      </c>
    </row>
    <row r="1957" spans="1:4" x14ac:dyDescent="0.3">
      <c r="A1957">
        <v>20</v>
      </c>
      <c r="B1957" t="s">
        <v>50</v>
      </c>
      <c r="C1957">
        <v>75</v>
      </c>
      <c r="D1957">
        <f>COUNTIF(WeeklyPicks!$D$192:$F$201,C1957)</f>
        <v>0</v>
      </c>
    </row>
    <row r="1958" spans="1:4" x14ac:dyDescent="0.3">
      <c r="A1958">
        <v>20</v>
      </c>
      <c r="B1958" t="s">
        <v>50</v>
      </c>
      <c r="C1958">
        <v>76</v>
      </c>
      <c r="D1958">
        <f>COUNTIF(WeeklyPicks!$D$192:$F$201,C1958)</f>
        <v>0</v>
      </c>
    </row>
    <row r="1959" spans="1:4" x14ac:dyDescent="0.3">
      <c r="A1959">
        <v>20</v>
      </c>
      <c r="B1959" t="s">
        <v>50</v>
      </c>
      <c r="C1959">
        <v>77</v>
      </c>
      <c r="D1959">
        <f>COUNTIF(WeeklyPicks!$D$192:$F$201,C1959)</f>
        <v>0</v>
      </c>
    </row>
    <row r="1960" spans="1:4" x14ac:dyDescent="0.3">
      <c r="A1960">
        <v>20</v>
      </c>
      <c r="B1960" t="s">
        <v>50</v>
      </c>
      <c r="C1960">
        <v>78</v>
      </c>
      <c r="D1960">
        <f>COUNTIF(WeeklyPicks!$D$192:$F$201,C1960)</f>
        <v>0</v>
      </c>
    </row>
    <row r="1961" spans="1:4" x14ac:dyDescent="0.3">
      <c r="A1961">
        <v>20</v>
      </c>
      <c r="B1961" t="s">
        <v>50</v>
      </c>
      <c r="C1961">
        <v>79</v>
      </c>
      <c r="D1961">
        <f>COUNTIF(WeeklyPicks!$D$192:$F$201,C1961)</f>
        <v>0</v>
      </c>
    </row>
    <row r="1962" spans="1:4" x14ac:dyDescent="0.3">
      <c r="A1962">
        <v>20</v>
      </c>
      <c r="B1962" t="s">
        <v>50</v>
      </c>
      <c r="C1962">
        <v>80</v>
      </c>
      <c r="D1962">
        <f>COUNTIF(WeeklyPicks!$D$192:$F$201,C1962)</f>
        <v>0</v>
      </c>
    </row>
    <row r="1963" spans="1:4" x14ac:dyDescent="0.3">
      <c r="A1963">
        <v>20</v>
      </c>
      <c r="B1963" t="s">
        <v>50</v>
      </c>
      <c r="C1963">
        <v>81</v>
      </c>
      <c r="D1963">
        <f>COUNTIF(WeeklyPicks!$D$192:$F$201,C1963)</f>
        <v>0</v>
      </c>
    </row>
    <row r="1964" spans="1:4" x14ac:dyDescent="0.3">
      <c r="A1964">
        <v>20</v>
      </c>
      <c r="B1964" t="s">
        <v>50</v>
      </c>
      <c r="C1964">
        <v>82</v>
      </c>
      <c r="D1964">
        <f>COUNTIF(WeeklyPicks!$D$192:$F$201,C1964)</f>
        <v>0</v>
      </c>
    </row>
    <row r="1965" spans="1:4" x14ac:dyDescent="0.3">
      <c r="A1965">
        <v>20</v>
      </c>
      <c r="B1965" t="s">
        <v>50</v>
      </c>
      <c r="C1965">
        <v>83</v>
      </c>
      <c r="D1965">
        <f>COUNTIF(WeeklyPicks!$D$192:$F$201,C1965)</f>
        <v>0</v>
      </c>
    </row>
    <row r="1966" spans="1:4" x14ac:dyDescent="0.3">
      <c r="A1966">
        <v>20</v>
      </c>
      <c r="B1966" t="s">
        <v>50</v>
      </c>
      <c r="C1966">
        <v>84</v>
      </c>
      <c r="D1966">
        <f>COUNTIF(WeeklyPicks!$D$192:$F$201,C1966)</f>
        <v>0</v>
      </c>
    </row>
    <row r="1967" spans="1:4" x14ac:dyDescent="0.3">
      <c r="A1967">
        <v>20</v>
      </c>
      <c r="B1967" t="s">
        <v>50</v>
      </c>
      <c r="C1967">
        <v>85</v>
      </c>
      <c r="D1967">
        <f>COUNTIF(WeeklyPicks!$D$192:$F$201,C1967)</f>
        <v>0</v>
      </c>
    </row>
    <row r="1968" spans="1:4" x14ac:dyDescent="0.3">
      <c r="A1968">
        <v>20</v>
      </c>
      <c r="B1968" t="s">
        <v>50</v>
      </c>
      <c r="C1968">
        <v>86</v>
      </c>
      <c r="D1968">
        <f>COUNTIF(WeeklyPicks!$D$192:$F$201,C1968)</f>
        <v>0</v>
      </c>
    </row>
    <row r="1969" spans="1:4" x14ac:dyDescent="0.3">
      <c r="A1969">
        <v>20</v>
      </c>
      <c r="B1969" t="s">
        <v>50</v>
      </c>
      <c r="C1969">
        <v>87</v>
      </c>
      <c r="D1969">
        <f>COUNTIF(WeeklyPicks!$D$192:$F$201,C1969)</f>
        <v>0</v>
      </c>
    </row>
    <row r="1970" spans="1:4" x14ac:dyDescent="0.3">
      <c r="A1970">
        <v>20</v>
      </c>
      <c r="B1970" t="s">
        <v>50</v>
      </c>
      <c r="C1970">
        <v>88</v>
      </c>
      <c r="D1970">
        <f>COUNTIF(WeeklyPicks!$D$192:$F$201,C1970)</f>
        <v>0</v>
      </c>
    </row>
    <row r="1971" spans="1:4" x14ac:dyDescent="0.3">
      <c r="A1971">
        <v>20</v>
      </c>
      <c r="B1971" t="s">
        <v>50</v>
      </c>
      <c r="C1971">
        <v>89</v>
      </c>
      <c r="D1971">
        <f>COUNTIF(WeeklyPicks!$D$192:$F$201,C1971)</f>
        <v>0</v>
      </c>
    </row>
    <row r="1972" spans="1:4" x14ac:dyDescent="0.3">
      <c r="A1972">
        <v>20</v>
      </c>
      <c r="B1972" t="s">
        <v>50</v>
      </c>
      <c r="C1972">
        <v>90</v>
      </c>
      <c r="D1972">
        <f>COUNTIF(WeeklyPicks!$D$192:$F$201,C1972)</f>
        <v>0</v>
      </c>
    </row>
    <row r="1973" spans="1:4" x14ac:dyDescent="0.3">
      <c r="A1973">
        <v>20</v>
      </c>
      <c r="B1973" t="s">
        <v>50</v>
      </c>
      <c r="C1973">
        <v>91</v>
      </c>
      <c r="D1973">
        <f>COUNTIF(WeeklyPicks!$D$192:$F$201,C1973)</f>
        <v>0</v>
      </c>
    </row>
    <row r="1974" spans="1:4" x14ac:dyDescent="0.3">
      <c r="A1974">
        <v>20</v>
      </c>
      <c r="B1974" t="s">
        <v>50</v>
      </c>
      <c r="C1974">
        <v>92</v>
      </c>
      <c r="D1974">
        <f>COUNTIF(WeeklyPicks!$D$192:$F$201,C1974)</f>
        <v>0</v>
      </c>
    </row>
    <row r="1975" spans="1:4" x14ac:dyDescent="0.3">
      <c r="A1975">
        <v>20</v>
      </c>
      <c r="B1975" t="s">
        <v>50</v>
      </c>
      <c r="C1975">
        <v>93</v>
      </c>
      <c r="D1975">
        <f>COUNTIF(WeeklyPicks!$D$192:$F$201,C1975)</f>
        <v>0</v>
      </c>
    </row>
    <row r="1976" spans="1:4" x14ac:dyDescent="0.3">
      <c r="A1976">
        <v>20</v>
      </c>
      <c r="B1976" t="s">
        <v>50</v>
      </c>
      <c r="C1976">
        <v>94</v>
      </c>
      <c r="D1976">
        <f>COUNTIF(WeeklyPicks!$D$192:$F$201,C1976)</f>
        <v>0</v>
      </c>
    </row>
    <row r="1977" spans="1:4" x14ac:dyDescent="0.3">
      <c r="A1977">
        <v>20</v>
      </c>
      <c r="B1977" t="s">
        <v>50</v>
      </c>
      <c r="C1977">
        <v>95</v>
      </c>
      <c r="D1977">
        <f>COUNTIF(WeeklyPicks!$D$192:$F$201,C1977)</f>
        <v>0</v>
      </c>
    </row>
    <row r="1978" spans="1:4" x14ac:dyDescent="0.3">
      <c r="A1978">
        <v>20</v>
      </c>
      <c r="B1978" t="s">
        <v>50</v>
      </c>
      <c r="C1978">
        <v>96</v>
      </c>
      <c r="D1978">
        <f>COUNTIF(WeeklyPicks!$D$192:$F$201,C1978)</f>
        <v>0</v>
      </c>
    </row>
    <row r="1979" spans="1:4" x14ac:dyDescent="0.3">
      <c r="A1979">
        <v>20</v>
      </c>
      <c r="B1979" t="s">
        <v>50</v>
      </c>
      <c r="C1979">
        <v>97</v>
      </c>
      <c r="D1979">
        <f>COUNTIF(WeeklyPicks!$D$192:$F$201,C1979)</f>
        <v>0</v>
      </c>
    </row>
    <row r="1980" spans="1:4" x14ac:dyDescent="0.3">
      <c r="A1980">
        <v>20</v>
      </c>
      <c r="B1980" t="s">
        <v>50</v>
      </c>
      <c r="C1980">
        <v>98</v>
      </c>
      <c r="D1980">
        <f>COUNTIF(WeeklyPicks!$D$192:$F$201,C1980)</f>
        <v>0</v>
      </c>
    </row>
    <row r="1981" spans="1:4" x14ac:dyDescent="0.3">
      <c r="A1981">
        <v>20</v>
      </c>
      <c r="B1981" t="s">
        <v>50</v>
      </c>
      <c r="C1981">
        <v>99</v>
      </c>
      <c r="D1981">
        <f>COUNTIF(WeeklyPicks!$D$192:$F$201,C1981)</f>
        <v>0</v>
      </c>
    </row>
    <row r="1982" spans="1:4" x14ac:dyDescent="0.3">
      <c r="A1982">
        <v>21</v>
      </c>
      <c r="B1982" t="s">
        <v>90</v>
      </c>
      <c r="C1982">
        <v>1</v>
      </c>
      <c r="D1982">
        <f>COUNTIF(WeeklyPicks!$D$202:$F$211,C1982)</f>
        <v>0</v>
      </c>
    </row>
    <row r="1983" spans="1:4" x14ac:dyDescent="0.3">
      <c r="A1983">
        <v>21</v>
      </c>
      <c r="B1983" t="s">
        <v>90</v>
      </c>
      <c r="C1983">
        <v>2</v>
      </c>
      <c r="D1983">
        <f>COUNTIF(WeeklyPicks!$D$202:$F$211,C1983)</f>
        <v>0</v>
      </c>
    </row>
    <row r="1984" spans="1:4" x14ac:dyDescent="0.3">
      <c r="A1984">
        <v>21</v>
      </c>
      <c r="B1984" t="s">
        <v>90</v>
      </c>
      <c r="C1984">
        <v>3</v>
      </c>
      <c r="D1984">
        <f>COUNTIF(WeeklyPicks!$D$202:$F$211,C1984)</f>
        <v>0</v>
      </c>
    </row>
    <row r="1985" spans="1:4" x14ac:dyDescent="0.3">
      <c r="A1985">
        <v>21</v>
      </c>
      <c r="B1985" t="s">
        <v>90</v>
      </c>
      <c r="C1985">
        <v>4</v>
      </c>
      <c r="D1985">
        <f>COUNTIF(WeeklyPicks!$D$202:$F$211,C1985)</f>
        <v>0</v>
      </c>
    </row>
    <row r="1986" spans="1:4" x14ac:dyDescent="0.3">
      <c r="A1986">
        <v>21</v>
      </c>
      <c r="B1986" t="s">
        <v>90</v>
      </c>
      <c r="C1986">
        <v>5</v>
      </c>
      <c r="D1986">
        <f>COUNTIF(WeeklyPicks!$D$202:$F$211,C1986)</f>
        <v>0</v>
      </c>
    </row>
    <row r="1987" spans="1:4" x14ac:dyDescent="0.3">
      <c r="A1987">
        <v>21</v>
      </c>
      <c r="B1987" t="s">
        <v>90</v>
      </c>
      <c r="C1987">
        <v>6</v>
      </c>
      <c r="D1987">
        <f>COUNTIF(WeeklyPicks!$D$202:$F$211,C1987)</f>
        <v>0</v>
      </c>
    </row>
    <row r="1988" spans="1:4" x14ac:dyDescent="0.3">
      <c r="A1988">
        <v>21</v>
      </c>
      <c r="B1988" t="s">
        <v>90</v>
      </c>
      <c r="C1988">
        <v>7</v>
      </c>
      <c r="D1988">
        <f>COUNTIF(WeeklyPicks!$D$202:$F$211,C1988)</f>
        <v>0</v>
      </c>
    </row>
    <row r="1989" spans="1:4" x14ac:dyDescent="0.3">
      <c r="A1989">
        <v>21</v>
      </c>
      <c r="B1989" t="s">
        <v>90</v>
      </c>
      <c r="C1989">
        <v>8</v>
      </c>
      <c r="D1989">
        <f>COUNTIF(WeeklyPicks!$D$202:$F$211,C1989)</f>
        <v>0</v>
      </c>
    </row>
    <row r="1990" spans="1:4" x14ac:dyDescent="0.3">
      <c r="A1990">
        <v>21</v>
      </c>
      <c r="B1990" t="s">
        <v>90</v>
      </c>
      <c r="C1990">
        <v>9</v>
      </c>
      <c r="D1990">
        <f>COUNTIF(WeeklyPicks!$D$202:$F$211,C1990)</f>
        <v>0</v>
      </c>
    </row>
    <row r="1991" spans="1:4" x14ac:dyDescent="0.3">
      <c r="A1991">
        <v>21</v>
      </c>
      <c r="B1991" t="s">
        <v>90</v>
      </c>
      <c r="C1991">
        <v>10</v>
      </c>
      <c r="D1991">
        <f>COUNTIF(WeeklyPicks!$D$202:$F$211,C1991)</f>
        <v>0</v>
      </c>
    </row>
    <row r="1992" spans="1:4" x14ac:dyDescent="0.3">
      <c r="A1992">
        <v>21</v>
      </c>
      <c r="B1992" t="s">
        <v>90</v>
      </c>
      <c r="C1992">
        <v>11</v>
      </c>
      <c r="D1992">
        <f>COUNTIF(WeeklyPicks!$D$202:$F$211,C1992)</f>
        <v>0</v>
      </c>
    </row>
    <row r="1993" spans="1:4" x14ac:dyDescent="0.3">
      <c r="A1993">
        <v>21</v>
      </c>
      <c r="B1993" t="s">
        <v>90</v>
      </c>
      <c r="C1993">
        <v>12</v>
      </c>
      <c r="D1993">
        <f>COUNTIF(WeeklyPicks!$D$202:$F$211,C1993)</f>
        <v>0</v>
      </c>
    </row>
    <row r="1994" spans="1:4" x14ac:dyDescent="0.3">
      <c r="A1994">
        <v>21</v>
      </c>
      <c r="B1994" t="s">
        <v>90</v>
      </c>
      <c r="C1994">
        <v>13</v>
      </c>
      <c r="D1994">
        <f>COUNTIF(WeeklyPicks!$D$202:$F$211,C1994)</f>
        <v>0</v>
      </c>
    </row>
    <row r="1995" spans="1:4" x14ac:dyDescent="0.3">
      <c r="A1995">
        <v>21</v>
      </c>
      <c r="B1995" t="s">
        <v>90</v>
      </c>
      <c r="C1995">
        <v>14</v>
      </c>
      <c r="D1995">
        <f>COUNTIF(WeeklyPicks!$D$202:$F$211,C1995)</f>
        <v>0</v>
      </c>
    </row>
    <row r="1996" spans="1:4" x14ac:dyDescent="0.3">
      <c r="A1996">
        <v>21</v>
      </c>
      <c r="B1996" t="s">
        <v>90</v>
      </c>
      <c r="C1996">
        <v>15</v>
      </c>
      <c r="D1996">
        <f>COUNTIF(WeeklyPicks!$D$202:$F$211,C1996)</f>
        <v>0</v>
      </c>
    </row>
    <row r="1997" spans="1:4" x14ac:dyDescent="0.3">
      <c r="A1997">
        <v>21</v>
      </c>
      <c r="B1997" t="s">
        <v>90</v>
      </c>
      <c r="C1997">
        <v>16</v>
      </c>
      <c r="D1997">
        <f>COUNTIF(WeeklyPicks!$D$202:$F$211,C1997)</f>
        <v>0</v>
      </c>
    </row>
    <row r="1998" spans="1:4" x14ac:dyDescent="0.3">
      <c r="A1998">
        <v>21</v>
      </c>
      <c r="B1998" t="s">
        <v>90</v>
      </c>
      <c r="C1998">
        <v>17</v>
      </c>
      <c r="D1998">
        <f>COUNTIF(WeeklyPicks!$D$202:$F$211,C1998)</f>
        <v>0</v>
      </c>
    </row>
    <row r="1999" spans="1:4" x14ac:dyDescent="0.3">
      <c r="A1999">
        <v>21</v>
      </c>
      <c r="B1999" t="s">
        <v>90</v>
      </c>
      <c r="C1999">
        <v>18</v>
      </c>
      <c r="D1999">
        <f>COUNTIF(WeeklyPicks!$D$202:$F$211,C1999)</f>
        <v>0</v>
      </c>
    </row>
    <row r="2000" spans="1:4" x14ac:dyDescent="0.3">
      <c r="A2000">
        <v>21</v>
      </c>
      <c r="B2000" t="s">
        <v>90</v>
      </c>
      <c r="C2000">
        <v>19</v>
      </c>
      <c r="D2000">
        <f>COUNTIF(WeeklyPicks!$D$202:$F$211,C2000)</f>
        <v>0</v>
      </c>
    </row>
    <row r="2001" spans="1:4" x14ac:dyDescent="0.3">
      <c r="A2001">
        <v>21</v>
      </c>
      <c r="B2001" t="s">
        <v>90</v>
      </c>
      <c r="C2001">
        <v>20</v>
      </c>
      <c r="D2001">
        <f>COUNTIF(WeeklyPicks!$D$202:$F$211,C2001)</f>
        <v>0</v>
      </c>
    </row>
    <row r="2002" spans="1:4" x14ac:dyDescent="0.3">
      <c r="A2002">
        <v>21</v>
      </c>
      <c r="B2002" t="s">
        <v>90</v>
      </c>
      <c r="C2002">
        <v>21</v>
      </c>
      <c r="D2002">
        <f>COUNTIF(WeeklyPicks!$D$202:$F$211,C2002)</f>
        <v>0</v>
      </c>
    </row>
    <row r="2003" spans="1:4" x14ac:dyDescent="0.3">
      <c r="A2003">
        <v>21</v>
      </c>
      <c r="B2003" t="s">
        <v>90</v>
      </c>
      <c r="C2003">
        <v>22</v>
      </c>
      <c r="D2003">
        <f>COUNTIF(WeeklyPicks!$D$202:$F$211,C2003)</f>
        <v>0</v>
      </c>
    </row>
    <row r="2004" spans="1:4" x14ac:dyDescent="0.3">
      <c r="A2004">
        <v>21</v>
      </c>
      <c r="B2004" t="s">
        <v>90</v>
      </c>
      <c r="C2004">
        <v>23</v>
      </c>
      <c r="D2004">
        <f>COUNTIF(WeeklyPicks!$D$202:$F$211,C2004)</f>
        <v>0</v>
      </c>
    </row>
    <row r="2005" spans="1:4" x14ac:dyDescent="0.3">
      <c r="A2005">
        <v>21</v>
      </c>
      <c r="B2005" t="s">
        <v>90</v>
      </c>
      <c r="C2005">
        <v>24</v>
      </c>
      <c r="D2005">
        <f>COUNTIF(WeeklyPicks!$D$202:$F$211,C2005)</f>
        <v>0</v>
      </c>
    </row>
    <row r="2006" spans="1:4" x14ac:dyDescent="0.3">
      <c r="A2006">
        <v>21</v>
      </c>
      <c r="B2006" t="s">
        <v>90</v>
      </c>
      <c r="C2006">
        <v>25</v>
      </c>
      <c r="D2006">
        <f>COUNTIF(WeeklyPicks!$D$202:$F$211,C2006)</f>
        <v>0</v>
      </c>
    </row>
    <row r="2007" spans="1:4" x14ac:dyDescent="0.3">
      <c r="A2007">
        <v>21</v>
      </c>
      <c r="B2007" t="s">
        <v>90</v>
      </c>
      <c r="C2007">
        <v>26</v>
      </c>
      <c r="D2007">
        <f>COUNTIF(WeeklyPicks!$D$202:$F$211,C2007)</f>
        <v>0</v>
      </c>
    </row>
    <row r="2008" spans="1:4" x14ac:dyDescent="0.3">
      <c r="A2008">
        <v>21</v>
      </c>
      <c r="B2008" t="s">
        <v>90</v>
      </c>
      <c r="C2008">
        <v>27</v>
      </c>
      <c r="D2008">
        <f>COUNTIF(WeeklyPicks!$D$202:$F$211,C2008)</f>
        <v>0</v>
      </c>
    </row>
    <row r="2009" spans="1:4" x14ac:dyDescent="0.3">
      <c r="A2009">
        <v>21</v>
      </c>
      <c r="B2009" t="s">
        <v>90</v>
      </c>
      <c r="C2009">
        <v>28</v>
      </c>
      <c r="D2009">
        <f>COUNTIF(WeeklyPicks!$D$202:$F$211,C2009)</f>
        <v>0</v>
      </c>
    </row>
    <row r="2010" spans="1:4" x14ac:dyDescent="0.3">
      <c r="A2010">
        <v>21</v>
      </c>
      <c r="B2010" t="s">
        <v>90</v>
      </c>
      <c r="C2010">
        <v>29</v>
      </c>
      <c r="D2010">
        <f>COUNTIF(WeeklyPicks!$D$202:$F$211,C2010)</f>
        <v>0</v>
      </c>
    </row>
    <row r="2011" spans="1:4" x14ac:dyDescent="0.3">
      <c r="A2011">
        <v>21</v>
      </c>
      <c r="B2011" t="s">
        <v>90</v>
      </c>
      <c r="C2011">
        <v>30</v>
      </c>
      <c r="D2011">
        <f>COUNTIF(WeeklyPicks!$D$202:$F$211,C2011)</f>
        <v>0</v>
      </c>
    </row>
    <row r="2012" spans="1:4" x14ac:dyDescent="0.3">
      <c r="A2012">
        <v>21</v>
      </c>
      <c r="B2012" t="s">
        <v>90</v>
      </c>
      <c r="C2012">
        <v>31</v>
      </c>
      <c r="D2012">
        <f>COUNTIF(WeeklyPicks!$D$202:$F$211,C2012)</f>
        <v>0</v>
      </c>
    </row>
    <row r="2013" spans="1:4" x14ac:dyDescent="0.3">
      <c r="A2013">
        <v>21</v>
      </c>
      <c r="B2013" t="s">
        <v>90</v>
      </c>
      <c r="C2013">
        <v>32</v>
      </c>
      <c r="D2013">
        <f>COUNTIF(WeeklyPicks!$D$202:$F$211,C2013)</f>
        <v>0</v>
      </c>
    </row>
    <row r="2014" spans="1:4" x14ac:dyDescent="0.3">
      <c r="A2014">
        <v>21</v>
      </c>
      <c r="B2014" t="s">
        <v>90</v>
      </c>
      <c r="C2014">
        <v>33</v>
      </c>
      <c r="D2014">
        <f>COUNTIF(WeeklyPicks!$D$202:$F$211,C2014)</f>
        <v>0</v>
      </c>
    </row>
    <row r="2015" spans="1:4" x14ac:dyDescent="0.3">
      <c r="A2015">
        <v>21</v>
      </c>
      <c r="B2015" t="s">
        <v>90</v>
      </c>
      <c r="C2015">
        <v>34</v>
      </c>
      <c r="D2015">
        <f>COUNTIF(WeeklyPicks!$D$202:$F$211,C2015)</f>
        <v>0</v>
      </c>
    </row>
    <row r="2016" spans="1:4" x14ac:dyDescent="0.3">
      <c r="A2016">
        <v>21</v>
      </c>
      <c r="B2016" t="s">
        <v>90</v>
      </c>
      <c r="C2016">
        <v>35</v>
      </c>
      <c r="D2016">
        <f>COUNTIF(WeeklyPicks!$D$202:$F$211,C2016)</f>
        <v>0</v>
      </c>
    </row>
    <row r="2017" spans="1:4" x14ac:dyDescent="0.3">
      <c r="A2017">
        <v>21</v>
      </c>
      <c r="B2017" t="s">
        <v>90</v>
      </c>
      <c r="C2017">
        <v>36</v>
      </c>
      <c r="D2017">
        <f>COUNTIF(WeeklyPicks!$D$202:$F$211,C2017)</f>
        <v>0</v>
      </c>
    </row>
    <row r="2018" spans="1:4" x14ac:dyDescent="0.3">
      <c r="A2018">
        <v>21</v>
      </c>
      <c r="B2018" t="s">
        <v>90</v>
      </c>
      <c r="C2018">
        <v>37</v>
      </c>
      <c r="D2018">
        <f>COUNTIF(WeeklyPicks!$D$202:$F$211,C2018)</f>
        <v>0</v>
      </c>
    </row>
    <row r="2019" spans="1:4" x14ac:dyDescent="0.3">
      <c r="A2019">
        <v>21</v>
      </c>
      <c r="B2019" t="s">
        <v>90</v>
      </c>
      <c r="C2019">
        <v>38</v>
      </c>
      <c r="D2019">
        <f>COUNTIF(WeeklyPicks!$D$202:$F$211,C2019)</f>
        <v>0</v>
      </c>
    </row>
    <row r="2020" spans="1:4" x14ac:dyDescent="0.3">
      <c r="A2020">
        <v>21</v>
      </c>
      <c r="B2020" t="s">
        <v>90</v>
      </c>
      <c r="C2020">
        <v>39</v>
      </c>
      <c r="D2020">
        <f>COUNTIF(WeeklyPicks!$D$202:$F$211,C2020)</f>
        <v>0</v>
      </c>
    </row>
    <row r="2021" spans="1:4" x14ac:dyDescent="0.3">
      <c r="A2021">
        <v>21</v>
      </c>
      <c r="B2021" t="s">
        <v>90</v>
      </c>
      <c r="C2021">
        <v>40</v>
      </c>
      <c r="D2021">
        <f>COUNTIF(WeeklyPicks!$D$202:$F$211,C2021)</f>
        <v>0</v>
      </c>
    </row>
    <row r="2022" spans="1:4" x14ac:dyDescent="0.3">
      <c r="A2022">
        <v>21</v>
      </c>
      <c r="B2022" t="s">
        <v>90</v>
      </c>
      <c r="C2022">
        <v>41</v>
      </c>
      <c r="D2022">
        <f>COUNTIF(WeeklyPicks!$D$202:$F$211,C2022)</f>
        <v>0</v>
      </c>
    </row>
    <row r="2023" spans="1:4" x14ac:dyDescent="0.3">
      <c r="A2023">
        <v>21</v>
      </c>
      <c r="B2023" t="s">
        <v>90</v>
      </c>
      <c r="C2023">
        <v>42</v>
      </c>
      <c r="D2023">
        <f>COUNTIF(WeeklyPicks!$D$202:$F$211,C2023)</f>
        <v>0</v>
      </c>
    </row>
    <row r="2024" spans="1:4" x14ac:dyDescent="0.3">
      <c r="A2024">
        <v>21</v>
      </c>
      <c r="B2024" t="s">
        <v>90</v>
      </c>
      <c r="C2024">
        <v>43</v>
      </c>
      <c r="D2024">
        <f>COUNTIF(WeeklyPicks!$D$202:$F$211,C2024)</f>
        <v>0</v>
      </c>
    </row>
    <row r="2025" spans="1:4" x14ac:dyDescent="0.3">
      <c r="A2025">
        <v>21</v>
      </c>
      <c r="B2025" t="s">
        <v>90</v>
      </c>
      <c r="C2025">
        <v>44</v>
      </c>
      <c r="D2025">
        <f>COUNTIF(WeeklyPicks!$D$202:$F$211,C2025)</f>
        <v>0</v>
      </c>
    </row>
    <row r="2026" spans="1:4" x14ac:dyDescent="0.3">
      <c r="A2026">
        <v>21</v>
      </c>
      <c r="B2026" t="s">
        <v>90</v>
      </c>
      <c r="C2026">
        <v>45</v>
      </c>
      <c r="D2026">
        <f>COUNTIF(WeeklyPicks!$D$202:$F$211,C2026)</f>
        <v>0</v>
      </c>
    </row>
    <row r="2027" spans="1:4" x14ac:dyDescent="0.3">
      <c r="A2027">
        <v>21</v>
      </c>
      <c r="B2027" t="s">
        <v>90</v>
      </c>
      <c r="C2027">
        <v>46</v>
      </c>
      <c r="D2027">
        <f>COUNTIF(WeeklyPicks!$D$202:$F$211,C2027)</f>
        <v>0</v>
      </c>
    </row>
    <row r="2028" spans="1:4" x14ac:dyDescent="0.3">
      <c r="A2028">
        <v>21</v>
      </c>
      <c r="B2028" t="s">
        <v>90</v>
      </c>
      <c r="C2028">
        <v>47</v>
      </c>
      <c r="D2028">
        <f>COUNTIF(WeeklyPicks!$D$202:$F$211,C2028)</f>
        <v>0</v>
      </c>
    </row>
    <row r="2029" spans="1:4" x14ac:dyDescent="0.3">
      <c r="A2029">
        <v>21</v>
      </c>
      <c r="B2029" t="s">
        <v>90</v>
      </c>
      <c r="C2029">
        <v>48</v>
      </c>
      <c r="D2029">
        <f>COUNTIF(WeeklyPicks!$D$202:$F$211,C2029)</f>
        <v>0</v>
      </c>
    </row>
    <row r="2030" spans="1:4" x14ac:dyDescent="0.3">
      <c r="A2030">
        <v>21</v>
      </c>
      <c r="B2030" t="s">
        <v>90</v>
      </c>
      <c r="C2030">
        <v>49</v>
      </c>
      <c r="D2030">
        <f>COUNTIF(WeeklyPicks!$D$202:$F$211,C2030)</f>
        <v>0</v>
      </c>
    </row>
    <row r="2031" spans="1:4" x14ac:dyDescent="0.3">
      <c r="A2031">
        <v>21</v>
      </c>
      <c r="B2031" t="s">
        <v>90</v>
      </c>
      <c r="C2031">
        <v>50</v>
      </c>
      <c r="D2031">
        <f>COUNTIF(WeeklyPicks!$D$202:$F$211,C2031)</f>
        <v>0</v>
      </c>
    </row>
    <row r="2032" spans="1:4" x14ac:dyDescent="0.3">
      <c r="A2032">
        <v>21</v>
      </c>
      <c r="B2032" t="s">
        <v>90</v>
      </c>
      <c r="C2032">
        <v>51</v>
      </c>
      <c r="D2032">
        <f>COUNTIF(WeeklyPicks!$D$202:$F$211,C2032)</f>
        <v>0</v>
      </c>
    </row>
    <row r="2033" spans="1:4" x14ac:dyDescent="0.3">
      <c r="A2033">
        <v>21</v>
      </c>
      <c r="B2033" t="s">
        <v>90</v>
      </c>
      <c r="C2033">
        <v>52</v>
      </c>
      <c r="D2033">
        <f>COUNTIF(WeeklyPicks!$D$202:$F$211,C2033)</f>
        <v>0</v>
      </c>
    </row>
    <row r="2034" spans="1:4" x14ac:dyDescent="0.3">
      <c r="A2034">
        <v>21</v>
      </c>
      <c r="B2034" t="s">
        <v>90</v>
      </c>
      <c r="C2034">
        <v>53</v>
      </c>
      <c r="D2034">
        <f>COUNTIF(WeeklyPicks!$D$202:$F$211,C2034)</f>
        <v>0</v>
      </c>
    </row>
    <row r="2035" spans="1:4" x14ac:dyDescent="0.3">
      <c r="A2035">
        <v>21</v>
      </c>
      <c r="B2035" t="s">
        <v>90</v>
      </c>
      <c r="C2035">
        <v>54</v>
      </c>
      <c r="D2035">
        <f>COUNTIF(WeeklyPicks!$D$202:$F$211,C2035)</f>
        <v>0</v>
      </c>
    </row>
    <row r="2036" spans="1:4" x14ac:dyDescent="0.3">
      <c r="A2036">
        <v>21</v>
      </c>
      <c r="B2036" t="s">
        <v>90</v>
      </c>
      <c r="C2036">
        <v>55</v>
      </c>
      <c r="D2036">
        <f>COUNTIF(WeeklyPicks!$D$202:$F$211,C2036)</f>
        <v>0</v>
      </c>
    </row>
    <row r="2037" spans="1:4" x14ac:dyDescent="0.3">
      <c r="A2037">
        <v>21</v>
      </c>
      <c r="B2037" t="s">
        <v>90</v>
      </c>
      <c r="C2037">
        <v>56</v>
      </c>
      <c r="D2037">
        <f>COUNTIF(WeeklyPicks!$D$202:$F$211,C2037)</f>
        <v>0</v>
      </c>
    </row>
    <row r="2038" spans="1:4" x14ac:dyDescent="0.3">
      <c r="A2038">
        <v>21</v>
      </c>
      <c r="B2038" t="s">
        <v>90</v>
      </c>
      <c r="C2038">
        <v>57</v>
      </c>
      <c r="D2038">
        <f>COUNTIF(WeeklyPicks!$D$202:$F$211,C2038)</f>
        <v>0</v>
      </c>
    </row>
    <row r="2039" spans="1:4" x14ac:dyDescent="0.3">
      <c r="A2039">
        <v>21</v>
      </c>
      <c r="B2039" t="s">
        <v>90</v>
      </c>
      <c r="C2039">
        <v>58</v>
      </c>
      <c r="D2039">
        <f>COUNTIF(WeeklyPicks!$D$202:$F$211,C2039)</f>
        <v>0</v>
      </c>
    </row>
    <row r="2040" spans="1:4" x14ac:dyDescent="0.3">
      <c r="A2040">
        <v>21</v>
      </c>
      <c r="B2040" t="s">
        <v>90</v>
      </c>
      <c r="C2040">
        <v>59</v>
      </c>
      <c r="D2040">
        <f>COUNTIF(WeeklyPicks!$D$202:$F$211,C2040)</f>
        <v>0</v>
      </c>
    </row>
    <row r="2041" spans="1:4" x14ac:dyDescent="0.3">
      <c r="A2041">
        <v>21</v>
      </c>
      <c r="B2041" t="s">
        <v>90</v>
      </c>
      <c r="C2041">
        <v>60</v>
      </c>
      <c r="D2041">
        <f>COUNTIF(WeeklyPicks!$D$202:$F$211,C2041)</f>
        <v>0</v>
      </c>
    </row>
    <row r="2042" spans="1:4" x14ac:dyDescent="0.3">
      <c r="A2042">
        <v>21</v>
      </c>
      <c r="B2042" t="s">
        <v>90</v>
      </c>
      <c r="C2042">
        <v>61</v>
      </c>
      <c r="D2042">
        <f>COUNTIF(WeeklyPicks!$D$202:$F$211,C2042)</f>
        <v>0</v>
      </c>
    </row>
    <row r="2043" spans="1:4" x14ac:dyDescent="0.3">
      <c r="A2043">
        <v>21</v>
      </c>
      <c r="B2043" t="s">
        <v>90</v>
      </c>
      <c r="C2043">
        <v>62</v>
      </c>
      <c r="D2043">
        <f>COUNTIF(WeeklyPicks!$D$202:$F$211,C2043)</f>
        <v>0</v>
      </c>
    </row>
    <row r="2044" spans="1:4" x14ac:dyDescent="0.3">
      <c r="A2044">
        <v>21</v>
      </c>
      <c r="B2044" t="s">
        <v>90</v>
      </c>
      <c r="C2044">
        <v>63</v>
      </c>
      <c r="D2044">
        <f>COUNTIF(WeeklyPicks!$D$202:$F$211,C2044)</f>
        <v>0</v>
      </c>
    </row>
    <row r="2045" spans="1:4" x14ac:dyDescent="0.3">
      <c r="A2045">
        <v>21</v>
      </c>
      <c r="B2045" t="s">
        <v>90</v>
      </c>
      <c r="C2045">
        <v>64</v>
      </c>
      <c r="D2045">
        <f>COUNTIF(WeeklyPicks!$D$202:$F$211,C2045)</f>
        <v>0</v>
      </c>
    </row>
    <row r="2046" spans="1:4" x14ac:dyDescent="0.3">
      <c r="A2046">
        <v>21</v>
      </c>
      <c r="B2046" t="s">
        <v>90</v>
      </c>
      <c r="C2046">
        <v>65</v>
      </c>
      <c r="D2046">
        <f>COUNTIF(WeeklyPicks!$D$202:$F$211,C2046)</f>
        <v>0</v>
      </c>
    </row>
    <row r="2047" spans="1:4" x14ac:dyDescent="0.3">
      <c r="A2047">
        <v>21</v>
      </c>
      <c r="B2047" t="s">
        <v>90</v>
      </c>
      <c r="C2047">
        <v>66</v>
      </c>
      <c r="D2047">
        <f>COUNTIF(WeeklyPicks!$D$202:$F$211,C2047)</f>
        <v>0</v>
      </c>
    </row>
    <row r="2048" spans="1:4" x14ac:dyDescent="0.3">
      <c r="A2048">
        <v>21</v>
      </c>
      <c r="B2048" t="s">
        <v>90</v>
      </c>
      <c r="C2048">
        <v>67</v>
      </c>
      <c r="D2048">
        <f>COUNTIF(WeeklyPicks!$D$202:$F$211,C2048)</f>
        <v>0</v>
      </c>
    </row>
    <row r="2049" spans="1:4" x14ac:dyDescent="0.3">
      <c r="A2049">
        <v>21</v>
      </c>
      <c r="B2049" t="s">
        <v>90</v>
      </c>
      <c r="C2049">
        <v>68</v>
      </c>
      <c r="D2049">
        <f>COUNTIF(WeeklyPicks!$D$202:$F$211,C2049)</f>
        <v>0</v>
      </c>
    </row>
    <row r="2050" spans="1:4" x14ac:dyDescent="0.3">
      <c r="A2050">
        <v>21</v>
      </c>
      <c r="B2050" t="s">
        <v>90</v>
      </c>
      <c r="C2050">
        <v>69</v>
      </c>
      <c r="D2050">
        <f>COUNTIF(WeeklyPicks!$D$202:$F$211,C2050)</f>
        <v>0</v>
      </c>
    </row>
    <row r="2051" spans="1:4" x14ac:dyDescent="0.3">
      <c r="A2051">
        <v>21</v>
      </c>
      <c r="B2051" t="s">
        <v>90</v>
      </c>
      <c r="C2051">
        <v>70</v>
      </c>
      <c r="D2051">
        <f>COUNTIF(WeeklyPicks!$D$202:$F$211,C2051)</f>
        <v>0</v>
      </c>
    </row>
    <row r="2052" spans="1:4" x14ac:dyDescent="0.3">
      <c r="A2052">
        <v>21</v>
      </c>
      <c r="B2052" t="s">
        <v>90</v>
      </c>
      <c r="C2052">
        <v>71</v>
      </c>
      <c r="D2052">
        <f>COUNTIF(WeeklyPicks!$D$202:$F$211,C2052)</f>
        <v>0</v>
      </c>
    </row>
    <row r="2053" spans="1:4" x14ac:dyDescent="0.3">
      <c r="A2053">
        <v>21</v>
      </c>
      <c r="B2053" t="s">
        <v>90</v>
      </c>
      <c r="C2053">
        <v>72</v>
      </c>
      <c r="D2053">
        <f>COUNTIF(WeeklyPicks!$D$202:$F$211,C2053)</f>
        <v>0</v>
      </c>
    </row>
    <row r="2054" spans="1:4" x14ac:dyDescent="0.3">
      <c r="A2054">
        <v>21</v>
      </c>
      <c r="B2054" t="s">
        <v>90</v>
      </c>
      <c r="C2054">
        <v>73</v>
      </c>
      <c r="D2054">
        <f>COUNTIF(WeeklyPicks!$D$202:$F$211,C2054)</f>
        <v>0</v>
      </c>
    </row>
    <row r="2055" spans="1:4" x14ac:dyDescent="0.3">
      <c r="A2055">
        <v>21</v>
      </c>
      <c r="B2055" t="s">
        <v>90</v>
      </c>
      <c r="C2055">
        <v>74</v>
      </c>
      <c r="D2055">
        <f>COUNTIF(WeeklyPicks!$D$202:$F$211,C2055)</f>
        <v>0</v>
      </c>
    </row>
    <row r="2056" spans="1:4" x14ac:dyDescent="0.3">
      <c r="A2056">
        <v>21</v>
      </c>
      <c r="B2056" t="s">
        <v>90</v>
      </c>
      <c r="C2056">
        <v>75</v>
      </c>
      <c r="D2056">
        <f>COUNTIF(WeeklyPicks!$D$202:$F$211,C2056)</f>
        <v>0</v>
      </c>
    </row>
    <row r="2057" spans="1:4" x14ac:dyDescent="0.3">
      <c r="A2057">
        <v>21</v>
      </c>
      <c r="B2057" t="s">
        <v>90</v>
      </c>
      <c r="C2057">
        <v>76</v>
      </c>
      <c r="D2057">
        <f>COUNTIF(WeeklyPicks!$D$202:$F$211,C2057)</f>
        <v>0</v>
      </c>
    </row>
    <row r="2058" spans="1:4" x14ac:dyDescent="0.3">
      <c r="A2058">
        <v>21</v>
      </c>
      <c r="B2058" t="s">
        <v>90</v>
      </c>
      <c r="C2058">
        <v>77</v>
      </c>
      <c r="D2058">
        <f>COUNTIF(WeeklyPicks!$D$202:$F$211,C2058)</f>
        <v>0</v>
      </c>
    </row>
    <row r="2059" spans="1:4" x14ac:dyDescent="0.3">
      <c r="A2059">
        <v>21</v>
      </c>
      <c r="B2059" t="s">
        <v>90</v>
      </c>
      <c r="C2059">
        <v>78</v>
      </c>
      <c r="D2059">
        <f>COUNTIF(WeeklyPicks!$D$202:$F$211,C2059)</f>
        <v>0</v>
      </c>
    </row>
    <row r="2060" spans="1:4" x14ac:dyDescent="0.3">
      <c r="A2060">
        <v>21</v>
      </c>
      <c r="B2060" t="s">
        <v>90</v>
      </c>
      <c r="C2060">
        <v>79</v>
      </c>
      <c r="D2060">
        <f>COUNTIF(WeeklyPicks!$D$202:$F$211,C2060)</f>
        <v>0</v>
      </c>
    </row>
    <row r="2061" spans="1:4" x14ac:dyDescent="0.3">
      <c r="A2061">
        <v>21</v>
      </c>
      <c r="B2061" t="s">
        <v>90</v>
      </c>
      <c r="C2061">
        <v>80</v>
      </c>
      <c r="D2061">
        <f>COUNTIF(WeeklyPicks!$D$202:$F$211,C2061)</f>
        <v>0</v>
      </c>
    </row>
    <row r="2062" spans="1:4" x14ac:dyDescent="0.3">
      <c r="A2062">
        <v>21</v>
      </c>
      <c r="B2062" t="s">
        <v>90</v>
      </c>
      <c r="C2062">
        <v>81</v>
      </c>
      <c r="D2062">
        <f>COUNTIF(WeeklyPicks!$D$202:$F$211,C2062)</f>
        <v>0</v>
      </c>
    </row>
    <row r="2063" spans="1:4" x14ac:dyDescent="0.3">
      <c r="A2063">
        <v>21</v>
      </c>
      <c r="B2063" t="s">
        <v>90</v>
      </c>
      <c r="C2063">
        <v>82</v>
      </c>
      <c r="D2063">
        <f>COUNTIF(WeeklyPicks!$D$202:$F$211,C2063)</f>
        <v>0</v>
      </c>
    </row>
    <row r="2064" spans="1:4" x14ac:dyDescent="0.3">
      <c r="A2064">
        <v>21</v>
      </c>
      <c r="B2064" t="s">
        <v>90</v>
      </c>
      <c r="C2064">
        <v>83</v>
      </c>
      <c r="D2064">
        <f>COUNTIF(WeeklyPicks!$D$202:$F$211,C2064)</f>
        <v>0</v>
      </c>
    </row>
    <row r="2065" spans="1:4" x14ac:dyDescent="0.3">
      <c r="A2065">
        <v>21</v>
      </c>
      <c r="B2065" t="s">
        <v>90</v>
      </c>
      <c r="C2065">
        <v>84</v>
      </c>
      <c r="D2065">
        <f>COUNTIF(WeeklyPicks!$D$202:$F$211,C2065)</f>
        <v>0</v>
      </c>
    </row>
    <row r="2066" spans="1:4" x14ac:dyDescent="0.3">
      <c r="A2066">
        <v>21</v>
      </c>
      <c r="B2066" t="s">
        <v>90</v>
      </c>
      <c r="C2066">
        <v>85</v>
      </c>
      <c r="D2066">
        <f>COUNTIF(WeeklyPicks!$D$202:$F$211,C2066)</f>
        <v>0</v>
      </c>
    </row>
    <row r="2067" spans="1:4" x14ac:dyDescent="0.3">
      <c r="A2067">
        <v>21</v>
      </c>
      <c r="B2067" t="s">
        <v>90</v>
      </c>
      <c r="C2067">
        <v>86</v>
      </c>
      <c r="D2067">
        <f>COUNTIF(WeeklyPicks!$D$202:$F$211,C2067)</f>
        <v>0</v>
      </c>
    </row>
    <row r="2068" spans="1:4" x14ac:dyDescent="0.3">
      <c r="A2068">
        <v>21</v>
      </c>
      <c r="B2068" t="s">
        <v>90</v>
      </c>
      <c r="C2068">
        <v>87</v>
      </c>
      <c r="D2068">
        <f>COUNTIF(WeeklyPicks!$D$202:$F$211,C2068)</f>
        <v>0</v>
      </c>
    </row>
    <row r="2069" spans="1:4" x14ac:dyDescent="0.3">
      <c r="A2069">
        <v>21</v>
      </c>
      <c r="B2069" t="s">
        <v>90</v>
      </c>
      <c r="C2069">
        <v>88</v>
      </c>
      <c r="D2069">
        <f>COUNTIF(WeeklyPicks!$D$202:$F$211,C2069)</f>
        <v>0</v>
      </c>
    </row>
    <row r="2070" spans="1:4" x14ac:dyDescent="0.3">
      <c r="A2070">
        <v>21</v>
      </c>
      <c r="B2070" t="s">
        <v>90</v>
      </c>
      <c r="C2070">
        <v>89</v>
      </c>
      <c r="D2070">
        <f>COUNTIF(WeeklyPicks!$D$202:$F$211,C2070)</f>
        <v>0</v>
      </c>
    </row>
    <row r="2071" spans="1:4" x14ac:dyDescent="0.3">
      <c r="A2071">
        <v>21</v>
      </c>
      <c r="B2071" t="s">
        <v>90</v>
      </c>
      <c r="C2071">
        <v>90</v>
      </c>
      <c r="D2071">
        <f>COUNTIF(WeeklyPicks!$D$202:$F$211,C2071)</f>
        <v>0</v>
      </c>
    </row>
    <row r="2072" spans="1:4" x14ac:dyDescent="0.3">
      <c r="A2072">
        <v>21</v>
      </c>
      <c r="B2072" t="s">
        <v>90</v>
      </c>
      <c r="C2072">
        <v>91</v>
      </c>
      <c r="D2072">
        <f>COUNTIF(WeeklyPicks!$D$202:$F$211,C2072)</f>
        <v>0</v>
      </c>
    </row>
    <row r="2073" spans="1:4" x14ac:dyDescent="0.3">
      <c r="A2073">
        <v>21</v>
      </c>
      <c r="B2073" t="s">
        <v>90</v>
      </c>
      <c r="C2073">
        <v>92</v>
      </c>
      <c r="D2073">
        <f>COUNTIF(WeeklyPicks!$D$202:$F$211,C2073)</f>
        <v>0</v>
      </c>
    </row>
    <row r="2074" spans="1:4" x14ac:dyDescent="0.3">
      <c r="A2074">
        <v>21</v>
      </c>
      <c r="B2074" t="s">
        <v>90</v>
      </c>
      <c r="C2074">
        <v>93</v>
      </c>
      <c r="D2074">
        <f>COUNTIF(WeeklyPicks!$D$202:$F$211,C2074)</f>
        <v>0</v>
      </c>
    </row>
    <row r="2075" spans="1:4" x14ac:dyDescent="0.3">
      <c r="A2075">
        <v>21</v>
      </c>
      <c r="B2075" t="s">
        <v>90</v>
      </c>
      <c r="C2075">
        <v>94</v>
      </c>
      <c r="D2075">
        <f>COUNTIF(WeeklyPicks!$D$202:$F$211,C2075)</f>
        <v>0</v>
      </c>
    </row>
    <row r="2076" spans="1:4" x14ac:dyDescent="0.3">
      <c r="A2076">
        <v>21</v>
      </c>
      <c r="B2076" t="s">
        <v>90</v>
      </c>
      <c r="C2076">
        <v>95</v>
      </c>
      <c r="D2076">
        <f>COUNTIF(WeeklyPicks!$D$202:$F$211,C2076)</f>
        <v>0</v>
      </c>
    </row>
    <row r="2077" spans="1:4" x14ac:dyDescent="0.3">
      <c r="A2077">
        <v>21</v>
      </c>
      <c r="B2077" t="s">
        <v>90</v>
      </c>
      <c r="C2077">
        <v>96</v>
      </c>
      <c r="D2077">
        <f>COUNTIF(WeeklyPicks!$D$202:$F$211,C2077)</f>
        <v>0</v>
      </c>
    </row>
    <row r="2078" spans="1:4" x14ac:dyDescent="0.3">
      <c r="A2078">
        <v>21</v>
      </c>
      <c r="B2078" t="s">
        <v>90</v>
      </c>
      <c r="C2078">
        <v>97</v>
      </c>
      <c r="D2078">
        <f>COUNTIF(WeeklyPicks!$D$202:$F$211,C2078)</f>
        <v>0</v>
      </c>
    </row>
    <row r="2079" spans="1:4" x14ac:dyDescent="0.3">
      <c r="A2079">
        <v>21</v>
      </c>
      <c r="B2079" t="s">
        <v>90</v>
      </c>
      <c r="C2079">
        <v>98</v>
      </c>
      <c r="D2079">
        <f>COUNTIF(WeeklyPicks!$D$202:$F$211,C2079)</f>
        <v>0</v>
      </c>
    </row>
    <row r="2080" spans="1:4" x14ac:dyDescent="0.3">
      <c r="A2080">
        <v>21</v>
      </c>
      <c r="B2080" t="s">
        <v>90</v>
      </c>
      <c r="C2080">
        <v>99</v>
      </c>
      <c r="D2080">
        <f>COUNTIF(WeeklyPicks!$D$202:$F$211,C2080)</f>
        <v>0</v>
      </c>
    </row>
    <row r="2081" spans="1:4" x14ac:dyDescent="0.3">
      <c r="A2081">
        <v>22</v>
      </c>
      <c r="B2081" t="s">
        <v>92</v>
      </c>
      <c r="C2081">
        <v>1</v>
      </c>
      <c r="D2081">
        <f>COUNTIF(WeeklyPicks!$D$212:$F$221,C2081)</f>
        <v>0</v>
      </c>
    </row>
    <row r="2082" spans="1:4" x14ac:dyDescent="0.3">
      <c r="A2082">
        <v>22</v>
      </c>
      <c r="B2082" t="s">
        <v>92</v>
      </c>
      <c r="C2082">
        <v>2</v>
      </c>
      <c r="D2082">
        <f>COUNTIF(WeeklyPicks!$D$212:$F$221,C2082)</f>
        <v>0</v>
      </c>
    </row>
    <row r="2083" spans="1:4" x14ac:dyDescent="0.3">
      <c r="A2083">
        <v>22</v>
      </c>
      <c r="B2083" t="s">
        <v>92</v>
      </c>
      <c r="C2083">
        <v>3</v>
      </c>
      <c r="D2083">
        <f>COUNTIF(WeeklyPicks!$D$212:$F$221,C2083)</f>
        <v>0</v>
      </c>
    </row>
    <row r="2084" spans="1:4" x14ac:dyDescent="0.3">
      <c r="A2084">
        <v>22</v>
      </c>
      <c r="B2084" t="s">
        <v>92</v>
      </c>
      <c r="C2084">
        <v>4</v>
      </c>
      <c r="D2084">
        <f>COUNTIF(WeeklyPicks!$D$212:$F$221,C2084)</f>
        <v>0</v>
      </c>
    </row>
    <row r="2085" spans="1:4" x14ac:dyDescent="0.3">
      <c r="A2085">
        <v>22</v>
      </c>
      <c r="B2085" t="s">
        <v>92</v>
      </c>
      <c r="C2085">
        <v>5</v>
      </c>
      <c r="D2085">
        <f>COUNTIF(WeeklyPicks!$D$212:$F$221,C2085)</f>
        <v>0</v>
      </c>
    </row>
    <row r="2086" spans="1:4" x14ac:dyDescent="0.3">
      <c r="A2086">
        <v>22</v>
      </c>
      <c r="B2086" t="s">
        <v>92</v>
      </c>
      <c r="C2086">
        <v>6</v>
      </c>
      <c r="D2086">
        <f>COUNTIF(WeeklyPicks!$D$212:$F$221,C2086)</f>
        <v>0</v>
      </c>
    </row>
    <row r="2087" spans="1:4" x14ac:dyDescent="0.3">
      <c r="A2087">
        <v>22</v>
      </c>
      <c r="B2087" t="s">
        <v>92</v>
      </c>
      <c r="C2087">
        <v>7</v>
      </c>
      <c r="D2087">
        <f>COUNTIF(WeeklyPicks!$D$212:$F$221,C2087)</f>
        <v>0</v>
      </c>
    </row>
    <row r="2088" spans="1:4" x14ac:dyDescent="0.3">
      <c r="A2088">
        <v>22</v>
      </c>
      <c r="B2088" t="s">
        <v>92</v>
      </c>
      <c r="C2088">
        <v>8</v>
      </c>
      <c r="D2088">
        <f>COUNTIF(WeeklyPicks!$D$212:$F$221,C2088)</f>
        <v>0</v>
      </c>
    </row>
    <row r="2089" spans="1:4" x14ac:dyDescent="0.3">
      <c r="A2089">
        <v>22</v>
      </c>
      <c r="B2089" t="s">
        <v>92</v>
      </c>
      <c r="C2089">
        <v>9</v>
      </c>
      <c r="D2089">
        <f>COUNTIF(WeeklyPicks!$D$212:$F$221,C2089)</f>
        <v>0</v>
      </c>
    </row>
    <row r="2090" spans="1:4" x14ac:dyDescent="0.3">
      <c r="A2090">
        <v>22</v>
      </c>
      <c r="B2090" t="s">
        <v>92</v>
      </c>
      <c r="C2090">
        <v>10</v>
      </c>
      <c r="D2090">
        <f>COUNTIF(WeeklyPicks!$D$212:$F$221,C2090)</f>
        <v>0</v>
      </c>
    </row>
    <row r="2091" spans="1:4" x14ac:dyDescent="0.3">
      <c r="A2091">
        <v>22</v>
      </c>
      <c r="B2091" t="s">
        <v>92</v>
      </c>
      <c r="C2091">
        <v>11</v>
      </c>
      <c r="D2091">
        <f>COUNTIF(WeeklyPicks!$D$212:$F$221,C2091)</f>
        <v>0</v>
      </c>
    </row>
    <row r="2092" spans="1:4" x14ac:dyDescent="0.3">
      <c r="A2092">
        <v>22</v>
      </c>
      <c r="B2092" t="s">
        <v>92</v>
      </c>
      <c r="C2092">
        <v>12</v>
      </c>
      <c r="D2092">
        <f>COUNTIF(WeeklyPicks!$D$212:$F$221,C2092)</f>
        <v>0</v>
      </c>
    </row>
    <row r="2093" spans="1:4" x14ac:dyDescent="0.3">
      <c r="A2093">
        <v>22</v>
      </c>
      <c r="B2093" t="s">
        <v>92</v>
      </c>
      <c r="C2093">
        <v>13</v>
      </c>
      <c r="D2093">
        <f>COUNTIF(WeeklyPicks!$D$212:$F$221,C2093)</f>
        <v>0</v>
      </c>
    </row>
    <row r="2094" spans="1:4" x14ac:dyDescent="0.3">
      <c r="A2094">
        <v>22</v>
      </c>
      <c r="B2094" t="s">
        <v>92</v>
      </c>
      <c r="C2094">
        <v>14</v>
      </c>
      <c r="D2094">
        <f>COUNTIF(WeeklyPicks!$D$212:$F$221,C2094)</f>
        <v>0</v>
      </c>
    </row>
    <row r="2095" spans="1:4" x14ac:dyDescent="0.3">
      <c r="A2095">
        <v>22</v>
      </c>
      <c r="B2095" t="s">
        <v>92</v>
      </c>
      <c r="C2095">
        <v>15</v>
      </c>
      <c r="D2095">
        <f>COUNTIF(WeeklyPicks!$D$212:$F$221,C2095)</f>
        <v>0</v>
      </c>
    </row>
    <row r="2096" spans="1:4" x14ac:dyDescent="0.3">
      <c r="A2096">
        <v>22</v>
      </c>
      <c r="B2096" t="s">
        <v>92</v>
      </c>
      <c r="C2096">
        <v>16</v>
      </c>
      <c r="D2096">
        <f>COUNTIF(WeeklyPicks!$D$212:$F$221,C2096)</f>
        <v>0</v>
      </c>
    </row>
    <row r="2097" spans="1:4" x14ac:dyDescent="0.3">
      <c r="A2097">
        <v>22</v>
      </c>
      <c r="B2097" t="s">
        <v>92</v>
      </c>
      <c r="C2097">
        <v>17</v>
      </c>
      <c r="D2097">
        <f>COUNTIF(WeeklyPicks!$D$212:$F$221,C2097)</f>
        <v>0</v>
      </c>
    </row>
    <row r="2098" spans="1:4" x14ac:dyDescent="0.3">
      <c r="A2098">
        <v>22</v>
      </c>
      <c r="B2098" t="s">
        <v>92</v>
      </c>
      <c r="C2098">
        <v>18</v>
      </c>
      <c r="D2098">
        <f>COUNTIF(WeeklyPicks!$D$212:$F$221,C2098)</f>
        <v>0</v>
      </c>
    </row>
    <row r="2099" spans="1:4" x14ac:dyDescent="0.3">
      <c r="A2099">
        <v>22</v>
      </c>
      <c r="B2099" t="s">
        <v>92</v>
      </c>
      <c r="C2099">
        <v>19</v>
      </c>
      <c r="D2099">
        <f>COUNTIF(WeeklyPicks!$D$212:$F$221,C2099)</f>
        <v>0</v>
      </c>
    </row>
    <row r="2100" spans="1:4" x14ac:dyDescent="0.3">
      <c r="A2100">
        <v>22</v>
      </c>
      <c r="B2100" t="s">
        <v>92</v>
      </c>
      <c r="C2100">
        <v>20</v>
      </c>
      <c r="D2100">
        <f>COUNTIF(WeeklyPicks!$D$212:$F$221,C2100)</f>
        <v>0</v>
      </c>
    </row>
    <row r="2101" spans="1:4" x14ac:dyDescent="0.3">
      <c r="A2101">
        <v>22</v>
      </c>
      <c r="B2101" t="s">
        <v>92</v>
      </c>
      <c r="C2101">
        <v>21</v>
      </c>
      <c r="D2101">
        <f>COUNTIF(WeeklyPicks!$D$212:$F$221,C2101)</f>
        <v>0</v>
      </c>
    </row>
    <row r="2102" spans="1:4" x14ac:dyDescent="0.3">
      <c r="A2102">
        <v>22</v>
      </c>
      <c r="B2102" t="s">
        <v>92</v>
      </c>
      <c r="C2102">
        <v>22</v>
      </c>
      <c r="D2102">
        <f>COUNTIF(WeeklyPicks!$D$212:$F$221,C2102)</f>
        <v>0</v>
      </c>
    </row>
    <row r="2103" spans="1:4" x14ac:dyDescent="0.3">
      <c r="A2103">
        <v>22</v>
      </c>
      <c r="B2103" t="s">
        <v>92</v>
      </c>
      <c r="C2103">
        <v>23</v>
      </c>
      <c r="D2103">
        <f>COUNTIF(WeeklyPicks!$D$212:$F$221,C2103)</f>
        <v>0</v>
      </c>
    </row>
    <row r="2104" spans="1:4" x14ac:dyDescent="0.3">
      <c r="A2104">
        <v>22</v>
      </c>
      <c r="B2104" t="s">
        <v>92</v>
      </c>
      <c r="C2104">
        <v>24</v>
      </c>
      <c r="D2104">
        <f>COUNTIF(WeeklyPicks!$D$212:$F$221,C2104)</f>
        <v>0</v>
      </c>
    </row>
    <row r="2105" spans="1:4" x14ac:dyDescent="0.3">
      <c r="A2105">
        <v>22</v>
      </c>
      <c r="B2105" t="s">
        <v>92</v>
      </c>
      <c r="C2105">
        <v>25</v>
      </c>
      <c r="D2105">
        <f>COUNTIF(WeeklyPicks!$D$212:$F$221,C2105)</f>
        <v>0</v>
      </c>
    </row>
    <row r="2106" spans="1:4" x14ac:dyDescent="0.3">
      <c r="A2106">
        <v>22</v>
      </c>
      <c r="B2106" t="s">
        <v>92</v>
      </c>
      <c r="C2106">
        <v>26</v>
      </c>
      <c r="D2106">
        <f>COUNTIF(WeeklyPicks!$D$212:$F$221,C2106)</f>
        <v>0</v>
      </c>
    </row>
    <row r="2107" spans="1:4" x14ac:dyDescent="0.3">
      <c r="A2107">
        <v>22</v>
      </c>
      <c r="B2107" t="s">
        <v>92</v>
      </c>
      <c r="C2107">
        <v>27</v>
      </c>
      <c r="D2107">
        <f>COUNTIF(WeeklyPicks!$D$212:$F$221,C2107)</f>
        <v>0</v>
      </c>
    </row>
    <row r="2108" spans="1:4" x14ac:dyDescent="0.3">
      <c r="A2108">
        <v>22</v>
      </c>
      <c r="B2108" t="s">
        <v>92</v>
      </c>
      <c r="C2108">
        <v>28</v>
      </c>
      <c r="D2108">
        <f>COUNTIF(WeeklyPicks!$D$212:$F$221,C2108)</f>
        <v>0</v>
      </c>
    </row>
    <row r="2109" spans="1:4" x14ac:dyDescent="0.3">
      <c r="A2109">
        <v>22</v>
      </c>
      <c r="B2109" t="s">
        <v>92</v>
      </c>
      <c r="C2109">
        <v>29</v>
      </c>
      <c r="D2109">
        <f>COUNTIF(WeeklyPicks!$D$212:$F$221,C2109)</f>
        <v>0</v>
      </c>
    </row>
    <row r="2110" spans="1:4" x14ac:dyDescent="0.3">
      <c r="A2110">
        <v>22</v>
      </c>
      <c r="B2110" t="s">
        <v>92</v>
      </c>
      <c r="C2110">
        <v>30</v>
      </c>
      <c r="D2110">
        <f>COUNTIF(WeeklyPicks!$D$212:$F$221,C2110)</f>
        <v>0</v>
      </c>
    </row>
    <row r="2111" spans="1:4" x14ac:dyDescent="0.3">
      <c r="A2111">
        <v>22</v>
      </c>
      <c r="B2111" t="s">
        <v>92</v>
      </c>
      <c r="C2111">
        <v>31</v>
      </c>
      <c r="D2111">
        <f>COUNTIF(WeeklyPicks!$D$212:$F$221,C2111)</f>
        <v>0</v>
      </c>
    </row>
    <row r="2112" spans="1:4" x14ac:dyDescent="0.3">
      <c r="A2112">
        <v>22</v>
      </c>
      <c r="B2112" t="s">
        <v>92</v>
      </c>
      <c r="C2112">
        <v>32</v>
      </c>
      <c r="D2112">
        <f>COUNTIF(WeeklyPicks!$D$212:$F$221,C2112)</f>
        <v>0</v>
      </c>
    </row>
    <row r="2113" spans="1:4" x14ac:dyDescent="0.3">
      <c r="A2113">
        <v>22</v>
      </c>
      <c r="B2113" t="s">
        <v>92</v>
      </c>
      <c r="C2113">
        <v>33</v>
      </c>
      <c r="D2113">
        <f>COUNTIF(WeeklyPicks!$D$212:$F$221,C2113)</f>
        <v>0</v>
      </c>
    </row>
    <row r="2114" spans="1:4" x14ac:dyDescent="0.3">
      <c r="A2114">
        <v>22</v>
      </c>
      <c r="B2114" t="s">
        <v>92</v>
      </c>
      <c r="C2114">
        <v>34</v>
      </c>
      <c r="D2114">
        <f>COUNTIF(WeeklyPicks!$D$212:$F$221,C2114)</f>
        <v>0</v>
      </c>
    </row>
    <row r="2115" spans="1:4" x14ac:dyDescent="0.3">
      <c r="A2115">
        <v>22</v>
      </c>
      <c r="B2115" t="s">
        <v>92</v>
      </c>
      <c r="C2115">
        <v>35</v>
      </c>
      <c r="D2115">
        <f>COUNTIF(WeeklyPicks!$D$212:$F$221,C2115)</f>
        <v>0</v>
      </c>
    </row>
    <row r="2116" spans="1:4" x14ac:dyDescent="0.3">
      <c r="A2116">
        <v>22</v>
      </c>
      <c r="B2116" t="s">
        <v>92</v>
      </c>
      <c r="C2116">
        <v>36</v>
      </c>
      <c r="D2116">
        <f>COUNTIF(WeeklyPicks!$D$212:$F$221,C2116)</f>
        <v>0</v>
      </c>
    </row>
    <row r="2117" spans="1:4" x14ac:dyDescent="0.3">
      <c r="A2117">
        <v>22</v>
      </c>
      <c r="B2117" t="s">
        <v>92</v>
      </c>
      <c r="C2117">
        <v>37</v>
      </c>
      <c r="D2117">
        <f>COUNTIF(WeeklyPicks!$D$212:$F$221,C2117)</f>
        <v>0</v>
      </c>
    </row>
    <row r="2118" spans="1:4" x14ac:dyDescent="0.3">
      <c r="A2118">
        <v>22</v>
      </c>
      <c r="B2118" t="s">
        <v>92</v>
      </c>
      <c r="C2118">
        <v>38</v>
      </c>
      <c r="D2118">
        <f>COUNTIF(WeeklyPicks!$D$212:$F$221,C2118)</f>
        <v>0</v>
      </c>
    </row>
    <row r="2119" spans="1:4" x14ac:dyDescent="0.3">
      <c r="A2119">
        <v>22</v>
      </c>
      <c r="B2119" t="s">
        <v>92</v>
      </c>
      <c r="C2119">
        <v>39</v>
      </c>
      <c r="D2119">
        <f>COUNTIF(WeeklyPicks!$D$212:$F$221,C2119)</f>
        <v>0</v>
      </c>
    </row>
    <row r="2120" spans="1:4" x14ac:dyDescent="0.3">
      <c r="A2120">
        <v>22</v>
      </c>
      <c r="B2120" t="s">
        <v>92</v>
      </c>
      <c r="C2120">
        <v>40</v>
      </c>
      <c r="D2120">
        <f>COUNTIF(WeeklyPicks!$D$212:$F$221,C2120)</f>
        <v>0</v>
      </c>
    </row>
    <row r="2121" spans="1:4" x14ac:dyDescent="0.3">
      <c r="A2121">
        <v>22</v>
      </c>
      <c r="B2121" t="s">
        <v>92</v>
      </c>
      <c r="C2121">
        <v>41</v>
      </c>
      <c r="D2121">
        <f>COUNTIF(WeeklyPicks!$D$212:$F$221,C2121)</f>
        <v>0</v>
      </c>
    </row>
    <row r="2122" spans="1:4" x14ac:dyDescent="0.3">
      <c r="A2122">
        <v>22</v>
      </c>
      <c r="B2122" t="s">
        <v>92</v>
      </c>
      <c r="C2122">
        <v>42</v>
      </c>
      <c r="D2122">
        <f>COUNTIF(WeeklyPicks!$D$212:$F$221,C2122)</f>
        <v>0</v>
      </c>
    </row>
    <row r="2123" spans="1:4" x14ac:dyDescent="0.3">
      <c r="A2123">
        <v>22</v>
      </c>
      <c r="B2123" t="s">
        <v>92</v>
      </c>
      <c r="C2123">
        <v>43</v>
      </c>
      <c r="D2123">
        <f>COUNTIF(WeeklyPicks!$D$212:$F$221,C2123)</f>
        <v>0</v>
      </c>
    </row>
    <row r="2124" spans="1:4" x14ac:dyDescent="0.3">
      <c r="A2124">
        <v>22</v>
      </c>
      <c r="B2124" t="s">
        <v>92</v>
      </c>
      <c r="C2124">
        <v>44</v>
      </c>
      <c r="D2124">
        <f>COUNTIF(WeeklyPicks!$D$212:$F$221,C2124)</f>
        <v>0</v>
      </c>
    </row>
    <row r="2125" spans="1:4" x14ac:dyDescent="0.3">
      <c r="A2125">
        <v>22</v>
      </c>
      <c r="B2125" t="s">
        <v>92</v>
      </c>
      <c r="C2125">
        <v>45</v>
      </c>
      <c r="D2125">
        <f>COUNTIF(WeeklyPicks!$D$212:$F$221,C2125)</f>
        <v>0</v>
      </c>
    </row>
    <row r="2126" spans="1:4" x14ac:dyDescent="0.3">
      <c r="A2126">
        <v>22</v>
      </c>
      <c r="B2126" t="s">
        <v>92</v>
      </c>
      <c r="C2126">
        <v>46</v>
      </c>
      <c r="D2126">
        <f>COUNTIF(WeeklyPicks!$D$212:$F$221,C2126)</f>
        <v>0</v>
      </c>
    </row>
    <row r="2127" spans="1:4" x14ac:dyDescent="0.3">
      <c r="A2127">
        <v>22</v>
      </c>
      <c r="B2127" t="s">
        <v>92</v>
      </c>
      <c r="C2127">
        <v>47</v>
      </c>
      <c r="D2127">
        <f>COUNTIF(WeeklyPicks!$D$212:$F$221,C2127)</f>
        <v>0</v>
      </c>
    </row>
    <row r="2128" spans="1:4" x14ac:dyDescent="0.3">
      <c r="A2128">
        <v>22</v>
      </c>
      <c r="B2128" t="s">
        <v>92</v>
      </c>
      <c r="C2128">
        <v>48</v>
      </c>
      <c r="D2128">
        <f>COUNTIF(WeeklyPicks!$D$212:$F$221,C2128)</f>
        <v>0</v>
      </c>
    </row>
    <row r="2129" spans="1:4" x14ac:dyDescent="0.3">
      <c r="A2129">
        <v>22</v>
      </c>
      <c r="B2129" t="s">
        <v>92</v>
      </c>
      <c r="C2129">
        <v>49</v>
      </c>
      <c r="D2129">
        <f>COUNTIF(WeeklyPicks!$D$212:$F$221,C2129)</f>
        <v>0</v>
      </c>
    </row>
    <row r="2130" spans="1:4" x14ac:dyDescent="0.3">
      <c r="A2130">
        <v>22</v>
      </c>
      <c r="B2130" t="s">
        <v>92</v>
      </c>
      <c r="C2130">
        <v>50</v>
      </c>
      <c r="D2130">
        <f>COUNTIF(WeeklyPicks!$D$212:$F$221,C2130)</f>
        <v>0</v>
      </c>
    </row>
    <row r="2131" spans="1:4" x14ac:dyDescent="0.3">
      <c r="A2131">
        <v>22</v>
      </c>
      <c r="B2131" t="s">
        <v>92</v>
      </c>
      <c r="C2131">
        <v>51</v>
      </c>
      <c r="D2131">
        <f>COUNTIF(WeeklyPicks!$D$212:$F$221,C2131)</f>
        <v>0</v>
      </c>
    </row>
    <row r="2132" spans="1:4" x14ac:dyDescent="0.3">
      <c r="A2132">
        <v>22</v>
      </c>
      <c r="B2132" t="s">
        <v>92</v>
      </c>
      <c r="C2132">
        <v>52</v>
      </c>
      <c r="D2132">
        <f>COUNTIF(WeeklyPicks!$D$212:$F$221,C2132)</f>
        <v>0</v>
      </c>
    </row>
    <row r="2133" spans="1:4" x14ac:dyDescent="0.3">
      <c r="A2133">
        <v>22</v>
      </c>
      <c r="B2133" t="s">
        <v>92</v>
      </c>
      <c r="C2133">
        <v>53</v>
      </c>
      <c r="D2133">
        <f>COUNTIF(WeeklyPicks!$D$212:$F$221,C2133)</f>
        <v>0</v>
      </c>
    </row>
    <row r="2134" spans="1:4" x14ac:dyDescent="0.3">
      <c r="A2134">
        <v>22</v>
      </c>
      <c r="B2134" t="s">
        <v>92</v>
      </c>
      <c r="C2134">
        <v>54</v>
      </c>
      <c r="D2134">
        <f>COUNTIF(WeeklyPicks!$D$212:$F$221,C2134)</f>
        <v>0</v>
      </c>
    </row>
    <row r="2135" spans="1:4" x14ac:dyDescent="0.3">
      <c r="A2135">
        <v>22</v>
      </c>
      <c r="B2135" t="s">
        <v>92</v>
      </c>
      <c r="C2135">
        <v>55</v>
      </c>
      <c r="D2135">
        <f>COUNTIF(WeeklyPicks!$D$212:$F$221,C2135)</f>
        <v>0</v>
      </c>
    </row>
    <row r="2136" spans="1:4" x14ac:dyDescent="0.3">
      <c r="A2136">
        <v>22</v>
      </c>
      <c r="B2136" t="s">
        <v>92</v>
      </c>
      <c r="C2136">
        <v>56</v>
      </c>
      <c r="D2136">
        <f>COUNTIF(WeeklyPicks!$D$212:$F$221,C2136)</f>
        <v>0</v>
      </c>
    </row>
    <row r="2137" spans="1:4" x14ac:dyDescent="0.3">
      <c r="A2137">
        <v>22</v>
      </c>
      <c r="B2137" t="s">
        <v>92</v>
      </c>
      <c r="C2137">
        <v>57</v>
      </c>
      <c r="D2137">
        <f>COUNTIF(WeeklyPicks!$D$212:$F$221,C2137)</f>
        <v>0</v>
      </c>
    </row>
    <row r="2138" spans="1:4" x14ac:dyDescent="0.3">
      <c r="A2138">
        <v>22</v>
      </c>
      <c r="B2138" t="s">
        <v>92</v>
      </c>
      <c r="C2138">
        <v>58</v>
      </c>
      <c r="D2138">
        <f>COUNTIF(WeeklyPicks!$D$212:$F$221,C2138)</f>
        <v>0</v>
      </c>
    </row>
    <row r="2139" spans="1:4" x14ac:dyDescent="0.3">
      <c r="A2139">
        <v>22</v>
      </c>
      <c r="B2139" t="s">
        <v>92</v>
      </c>
      <c r="C2139">
        <v>59</v>
      </c>
      <c r="D2139">
        <f>COUNTIF(WeeklyPicks!$D$212:$F$221,C2139)</f>
        <v>0</v>
      </c>
    </row>
    <row r="2140" spans="1:4" x14ac:dyDescent="0.3">
      <c r="A2140">
        <v>22</v>
      </c>
      <c r="B2140" t="s">
        <v>92</v>
      </c>
      <c r="C2140">
        <v>60</v>
      </c>
      <c r="D2140">
        <f>COUNTIF(WeeklyPicks!$D$212:$F$221,C2140)</f>
        <v>0</v>
      </c>
    </row>
    <row r="2141" spans="1:4" x14ac:dyDescent="0.3">
      <c r="A2141">
        <v>22</v>
      </c>
      <c r="B2141" t="s">
        <v>92</v>
      </c>
      <c r="C2141">
        <v>61</v>
      </c>
      <c r="D2141">
        <f>COUNTIF(WeeklyPicks!$D$212:$F$221,C2141)</f>
        <v>0</v>
      </c>
    </row>
    <row r="2142" spans="1:4" x14ac:dyDescent="0.3">
      <c r="A2142">
        <v>22</v>
      </c>
      <c r="B2142" t="s">
        <v>92</v>
      </c>
      <c r="C2142">
        <v>62</v>
      </c>
      <c r="D2142">
        <f>COUNTIF(WeeklyPicks!$D$212:$F$221,C2142)</f>
        <v>0</v>
      </c>
    </row>
    <row r="2143" spans="1:4" x14ac:dyDescent="0.3">
      <c r="A2143">
        <v>22</v>
      </c>
      <c r="B2143" t="s">
        <v>92</v>
      </c>
      <c r="C2143">
        <v>63</v>
      </c>
      <c r="D2143">
        <f>COUNTIF(WeeklyPicks!$D$212:$F$221,C2143)</f>
        <v>0</v>
      </c>
    </row>
    <row r="2144" spans="1:4" x14ac:dyDescent="0.3">
      <c r="A2144">
        <v>22</v>
      </c>
      <c r="B2144" t="s">
        <v>92</v>
      </c>
      <c r="C2144">
        <v>64</v>
      </c>
      <c r="D2144">
        <f>COUNTIF(WeeklyPicks!$D$212:$F$221,C2144)</f>
        <v>0</v>
      </c>
    </row>
    <row r="2145" spans="1:4" x14ac:dyDescent="0.3">
      <c r="A2145">
        <v>22</v>
      </c>
      <c r="B2145" t="s">
        <v>92</v>
      </c>
      <c r="C2145">
        <v>65</v>
      </c>
      <c r="D2145">
        <f>COUNTIF(WeeklyPicks!$D$212:$F$221,C2145)</f>
        <v>0</v>
      </c>
    </row>
    <row r="2146" spans="1:4" x14ac:dyDescent="0.3">
      <c r="A2146">
        <v>22</v>
      </c>
      <c r="B2146" t="s">
        <v>92</v>
      </c>
      <c r="C2146">
        <v>66</v>
      </c>
      <c r="D2146">
        <f>COUNTIF(WeeklyPicks!$D$212:$F$221,C2146)</f>
        <v>0</v>
      </c>
    </row>
    <row r="2147" spans="1:4" x14ac:dyDescent="0.3">
      <c r="A2147">
        <v>22</v>
      </c>
      <c r="B2147" t="s">
        <v>92</v>
      </c>
      <c r="C2147">
        <v>67</v>
      </c>
      <c r="D2147">
        <f>COUNTIF(WeeklyPicks!$D$212:$F$221,C2147)</f>
        <v>0</v>
      </c>
    </row>
    <row r="2148" spans="1:4" x14ac:dyDescent="0.3">
      <c r="A2148">
        <v>22</v>
      </c>
      <c r="B2148" t="s">
        <v>92</v>
      </c>
      <c r="C2148">
        <v>68</v>
      </c>
      <c r="D2148">
        <f>COUNTIF(WeeklyPicks!$D$212:$F$221,C2148)</f>
        <v>0</v>
      </c>
    </row>
    <row r="2149" spans="1:4" x14ac:dyDescent="0.3">
      <c r="A2149">
        <v>22</v>
      </c>
      <c r="B2149" t="s">
        <v>92</v>
      </c>
      <c r="C2149">
        <v>69</v>
      </c>
      <c r="D2149">
        <f>COUNTIF(WeeklyPicks!$D$212:$F$221,C2149)</f>
        <v>0</v>
      </c>
    </row>
    <row r="2150" spans="1:4" x14ac:dyDescent="0.3">
      <c r="A2150">
        <v>22</v>
      </c>
      <c r="B2150" t="s">
        <v>92</v>
      </c>
      <c r="C2150">
        <v>70</v>
      </c>
      <c r="D2150">
        <f>COUNTIF(WeeklyPicks!$D$212:$F$221,C2150)</f>
        <v>0</v>
      </c>
    </row>
    <row r="2151" spans="1:4" x14ac:dyDescent="0.3">
      <c r="A2151">
        <v>22</v>
      </c>
      <c r="B2151" t="s">
        <v>92</v>
      </c>
      <c r="C2151">
        <v>71</v>
      </c>
      <c r="D2151">
        <f>COUNTIF(WeeklyPicks!$D$212:$F$221,C2151)</f>
        <v>0</v>
      </c>
    </row>
    <row r="2152" spans="1:4" x14ac:dyDescent="0.3">
      <c r="A2152">
        <v>22</v>
      </c>
      <c r="B2152" t="s">
        <v>92</v>
      </c>
      <c r="C2152">
        <v>72</v>
      </c>
      <c r="D2152">
        <f>COUNTIF(WeeklyPicks!$D$212:$F$221,C2152)</f>
        <v>0</v>
      </c>
    </row>
    <row r="2153" spans="1:4" x14ac:dyDescent="0.3">
      <c r="A2153">
        <v>22</v>
      </c>
      <c r="B2153" t="s">
        <v>92</v>
      </c>
      <c r="C2153">
        <v>73</v>
      </c>
      <c r="D2153">
        <f>COUNTIF(WeeklyPicks!$D$212:$F$221,C2153)</f>
        <v>0</v>
      </c>
    </row>
    <row r="2154" spans="1:4" x14ac:dyDescent="0.3">
      <c r="A2154">
        <v>22</v>
      </c>
      <c r="B2154" t="s">
        <v>92</v>
      </c>
      <c r="C2154">
        <v>74</v>
      </c>
      <c r="D2154">
        <f>COUNTIF(WeeklyPicks!$D$212:$F$221,C2154)</f>
        <v>0</v>
      </c>
    </row>
    <row r="2155" spans="1:4" x14ac:dyDescent="0.3">
      <c r="A2155">
        <v>22</v>
      </c>
      <c r="B2155" t="s">
        <v>92</v>
      </c>
      <c r="C2155">
        <v>75</v>
      </c>
      <c r="D2155">
        <f>COUNTIF(WeeklyPicks!$D$212:$F$221,C2155)</f>
        <v>0</v>
      </c>
    </row>
    <row r="2156" spans="1:4" x14ac:dyDescent="0.3">
      <c r="A2156">
        <v>22</v>
      </c>
      <c r="B2156" t="s">
        <v>92</v>
      </c>
      <c r="C2156">
        <v>76</v>
      </c>
      <c r="D2156">
        <f>COUNTIF(WeeklyPicks!$D$212:$F$221,C2156)</f>
        <v>0</v>
      </c>
    </row>
    <row r="2157" spans="1:4" x14ac:dyDescent="0.3">
      <c r="A2157">
        <v>22</v>
      </c>
      <c r="B2157" t="s">
        <v>92</v>
      </c>
      <c r="C2157">
        <v>77</v>
      </c>
      <c r="D2157">
        <f>COUNTIF(WeeklyPicks!$D$212:$F$221,C2157)</f>
        <v>0</v>
      </c>
    </row>
    <row r="2158" spans="1:4" x14ac:dyDescent="0.3">
      <c r="A2158">
        <v>22</v>
      </c>
      <c r="B2158" t="s">
        <v>92</v>
      </c>
      <c r="C2158">
        <v>78</v>
      </c>
      <c r="D2158">
        <f>COUNTIF(WeeklyPicks!$D$212:$F$221,C2158)</f>
        <v>0</v>
      </c>
    </row>
    <row r="2159" spans="1:4" x14ac:dyDescent="0.3">
      <c r="A2159">
        <v>22</v>
      </c>
      <c r="B2159" t="s">
        <v>92</v>
      </c>
      <c r="C2159">
        <v>79</v>
      </c>
      <c r="D2159">
        <f>COUNTIF(WeeklyPicks!$D$212:$F$221,C2159)</f>
        <v>0</v>
      </c>
    </row>
    <row r="2160" spans="1:4" x14ac:dyDescent="0.3">
      <c r="A2160">
        <v>22</v>
      </c>
      <c r="B2160" t="s">
        <v>92</v>
      </c>
      <c r="C2160">
        <v>80</v>
      </c>
      <c r="D2160">
        <f>COUNTIF(WeeklyPicks!$D$212:$F$221,C2160)</f>
        <v>0</v>
      </c>
    </row>
    <row r="2161" spans="1:4" x14ac:dyDescent="0.3">
      <c r="A2161">
        <v>22</v>
      </c>
      <c r="B2161" t="s">
        <v>92</v>
      </c>
      <c r="C2161">
        <v>81</v>
      </c>
      <c r="D2161">
        <f>COUNTIF(WeeklyPicks!$D$212:$F$221,C2161)</f>
        <v>0</v>
      </c>
    </row>
    <row r="2162" spans="1:4" x14ac:dyDescent="0.3">
      <c r="A2162">
        <v>22</v>
      </c>
      <c r="B2162" t="s">
        <v>92</v>
      </c>
      <c r="C2162">
        <v>82</v>
      </c>
      <c r="D2162">
        <f>COUNTIF(WeeklyPicks!$D$212:$F$221,C2162)</f>
        <v>0</v>
      </c>
    </row>
    <row r="2163" spans="1:4" x14ac:dyDescent="0.3">
      <c r="A2163">
        <v>22</v>
      </c>
      <c r="B2163" t="s">
        <v>92</v>
      </c>
      <c r="C2163">
        <v>83</v>
      </c>
      <c r="D2163">
        <f>COUNTIF(WeeklyPicks!$D$212:$F$221,C2163)</f>
        <v>0</v>
      </c>
    </row>
    <row r="2164" spans="1:4" x14ac:dyDescent="0.3">
      <c r="A2164">
        <v>22</v>
      </c>
      <c r="B2164" t="s">
        <v>92</v>
      </c>
      <c r="C2164">
        <v>84</v>
      </c>
      <c r="D2164">
        <f>COUNTIF(WeeklyPicks!$D$212:$F$221,C2164)</f>
        <v>0</v>
      </c>
    </row>
    <row r="2165" spans="1:4" x14ac:dyDescent="0.3">
      <c r="A2165">
        <v>22</v>
      </c>
      <c r="B2165" t="s">
        <v>92</v>
      </c>
      <c r="C2165">
        <v>85</v>
      </c>
      <c r="D2165">
        <f>COUNTIF(WeeklyPicks!$D$212:$F$221,C2165)</f>
        <v>0</v>
      </c>
    </row>
    <row r="2166" spans="1:4" x14ac:dyDescent="0.3">
      <c r="A2166">
        <v>22</v>
      </c>
      <c r="B2166" t="s">
        <v>92</v>
      </c>
      <c r="C2166">
        <v>86</v>
      </c>
      <c r="D2166">
        <f>COUNTIF(WeeklyPicks!$D$212:$F$221,C2166)</f>
        <v>0</v>
      </c>
    </row>
    <row r="2167" spans="1:4" x14ac:dyDescent="0.3">
      <c r="A2167">
        <v>22</v>
      </c>
      <c r="B2167" t="s">
        <v>92</v>
      </c>
      <c r="C2167">
        <v>87</v>
      </c>
      <c r="D2167">
        <f>COUNTIF(WeeklyPicks!$D$212:$F$221,C2167)</f>
        <v>0</v>
      </c>
    </row>
    <row r="2168" spans="1:4" x14ac:dyDescent="0.3">
      <c r="A2168">
        <v>22</v>
      </c>
      <c r="B2168" t="s">
        <v>92</v>
      </c>
      <c r="C2168">
        <v>88</v>
      </c>
      <c r="D2168">
        <f>COUNTIF(WeeklyPicks!$D$212:$F$221,C2168)</f>
        <v>0</v>
      </c>
    </row>
    <row r="2169" spans="1:4" x14ac:dyDescent="0.3">
      <c r="A2169">
        <v>22</v>
      </c>
      <c r="B2169" t="s">
        <v>92</v>
      </c>
      <c r="C2169">
        <v>89</v>
      </c>
      <c r="D2169">
        <f>COUNTIF(WeeklyPicks!$D$212:$F$221,C2169)</f>
        <v>0</v>
      </c>
    </row>
    <row r="2170" spans="1:4" x14ac:dyDescent="0.3">
      <c r="A2170">
        <v>22</v>
      </c>
      <c r="B2170" t="s">
        <v>92</v>
      </c>
      <c r="C2170">
        <v>90</v>
      </c>
      <c r="D2170">
        <f>COUNTIF(WeeklyPicks!$D$212:$F$221,C2170)</f>
        <v>0</v>
      </c>
    </row>
    <row r="2171" spans="1:4" x14ac:dyDescent="0.3">
      <c r="A2171">
        <v>22</v>
      </c>
      <c r="B2171" t="s">
        <v>92</v>
      </c>
      <c r="C2171">
        <v>91</v>
      </c>
      <c r="D2171">
        <f>COUNTIF(WeeklyPicks!$D$212:$F$221,C2171)</f>
        <v>0</v>
      </c>
    </row>
    <row r="2172" spans="1:4" x14ac:dyDescent="0.3">
      <c r="A2172">
        <v>22</v>
      </c>
      <c r="B2172" t="s">
        <v>92</v>
      </c>
      <c r="C2172">
        <v>92</v>
      </c>
      <c r="D2172">
        <f>COUNTIF(WeeklyPicks!$D$212:$F$221,C2172)</f>
        <v>0</v>
      </c>
    </row>
    <row r="2173" spans="1:4" x14ac:dyDescent="0.3">
      <c r="A2173">
        <v>22</v>
      </c>
      <c r="B2173" t="s">
        <v>92</v>
      </c>
      <c r="C2173">
        <v>93</v>
      </c>
      <c r="D2173">
        <f>COUNTIF(WeeklyPicks!$D$212:$F$221,C2173)</f>
        <v>0</v>
      </c>
    </row>
    <row r="2174" spans="1:4" x14ac:dyDescent="0.3">
      <c r="A2174">
        <v>22</v>
      </c>
      <c r="B2174" t="s">
        <v>92</v>
      </c>
      <c r="C2174">
        <v>94</v>
      </c>
      <c r="D2174">
        <f>COUNTIF(WeeklyPicks!$D$212:$F$221,C2174)</f>
        <v>0</v>
      </c>
    </row>
    <row r="2175" spans="1:4" x14ac:dyDescent="0.3">
      <c r="A2175">
        <v>22</v>
      </c>
      <c r="B2175" t="s">
        <v>92</v>
      </c>
      <c r="C2175">
        <v>95</v>
      </c>
      <c r="D2175">
        <f>COUNTIF(WeeklyPicks!$D$212:$F$221,C2175)</f>
        <v>0</v>
      </c>
    </row>
    <row r="2176" spans="1:4" x14ac:dyDescent="0.3">
      <c r="A2176">
        <v>22</v>
      </c>
      <c r="B2176" t="s">
        <v>92</v>
      </c>
      <c r="C2176">
        <v>96</v>
      </c>
      <c r="D2176">
        <f>COUNTIF(WeeklyPicks!$D$212:$F$221,C2176)</f>
        <v>0</v>
      </c>
    </row>
    <row r="2177" spans="1:4" x14ac:dyDescent="0.3">
      <c r="A2177">
        <v>22</v>
      </c>
      <c r="B2177" t="s">
        <v>92</v>
      </c>
      <c r="C2177">
        <v>97</v>
      </c>
      <c r="D2177">
        <f>COUNTIF(WeeklyPicks!$D$212:$F$221,C2177)</f>
        <v>0</v>
      </c>
    </row>
    <row r="2178" spans="1:4" x14ac:dyDescent="0.3">
      <c r="A2178">
        <v>22</v>
      </c>
      <c r="B2178" t="s">
        <v>92</v>
      </c>
      <c r="C2178">
        <v>98</v>
      </c>
      <c r="D2178">
        <f>COUNTIF(WeeklyPicks!$D$212:$F$221,C2178)</f>
        <v>0</v>
      </c>
    </row>
    <row r="2179" spans="1:4" x14ac:dyDescent="0.3">
      <c r="A2179">
        <v>22</v>
      </c>
      <c r="B2179" t="s">
        <v>92</v>
      </c>
      <c r="C2179">
        <v>99</v>
      </c>
      <c r="D2179">
        <f>COUNTIF(WeeklyPicks!$D$212:$F$221,C2179)</f>
        <v>0</v>
      </c>
    </row>
    <row r="2180" spans="1:4" x14ac:dyDescent="0.3">
      <c r="A2180">
        <v>23</v>
      </c>
      <c r="B2180" t="s">
        <v>94</v>
      </c>
      <c r="C2180">
        <v>1</v>
      </c>
      <c r="D2180">
        <f>COUNTIF(WeeklyPicks!$D$222:$F$231,C2180)</f>
        <v>0</v>
      </c>
    </row>
    <row r="2181" spans="1:4" x14ac:dyDescent="0.3">
      <c r="A2181">
        <v>23</v>
      </c>
      <c r="B2181" t="s">
        <v>94</v>
      </c>
      <c r="C2181">
        <v>2</v>
      </c>
      <c r="D2181">
        <f>COUNTIF(WeeklyPicks!$D$222:$F$231,C2181)</f>
        <v>0</v>
      </c>
    </row>
    <row r="2182" spans="1:4" x14ac:dyDescent="0.3">
      <c r="A2182">
        <v>23</v>
      </c>
      <c r="B2182" t="s">
        <v>94</v>
      </c>
      <c r="C2182">
        <v>3</v>
      </c>
      <c r="D2182">
        <f>COUNTIF(WeeklyPicks!$D$222:$F$231,C2182)</f>
        <v>0</v>
      </c>
    </row>
    <row r="2183" spans="1:4" x14ac:dyDescent="0.3">
      <c r="A2183">
        <v>23</v>
      </c>
      <c r="B2183" t="s">
        <v>94</v>
      </c>
      <c r="C2183">
        <v>4</v>
      </c>
      <c r="D2183">
        <f>COUNTIF(WeeklyPicks!$D$222:$F$231,C2183)</f>
        <v>0</v>
      </c>
    </row>
    <row r="2184" spans="1:4" x14ac:dyDescent="0.3">
      <c r="A2184">
        <v>23</v>
      </c>
      <c r="B2184" t="s">
        <v>94</v>
      </c>
      <c r="C2184">
        <v>5</v>
      </c>
      <c r="D2184">
        <f>COUNTIF(WeeklyPicks!$D$222:$F$231,C2184)</f>
        <v>0</v>
      </c>
    </row>
    <row r="2185" spans="1:4" x14ac:dyDescent="0.3">
      <c r="A2185">
        <v>23</v>
      </c>
      <c r="B2185" t="s">
        <v>94</v>
      </c>
      <c r="C2185">
        <v>6</v>
      </c>
      <c r="D2185">
        <f>COUNTIF(WeeklyPicks!$D$222:$F$231,C2185)</f>
        <v>0</v>
      </c>
    </row>
    <row r="2186" spans="1:4" x14ac:dyDescent="0.3">
      <c r="A2186">
        <v>23</v>
      </c>
      <c r="B2186" t="s">
        <v>94</v>
      </c>
      <c r="C2186">
        <v>7</v>
      </c>
      <c r="D2186">
        <f>COUNTIF(WeeklyPicks!$D$222:$F$231,C2186)</f>
        <v>0</v>
      </c>
    </row>
    <row r="2187" spans="1:4" x14ac:dyDescent="0.3">
      <c r="A2187">
        <v>23</v>
      </c>
      <c r="B2187" t="s">
        <v>94</v>
      </c>
      <c r="C2187">
        <v>8</v>
      </c>
      <c r="D2187">
        <f>COUNTIF(WeeklyPicks!$D$222:$F$231,C2187)</f>
        <v>0</v>
      </c>
    </row>
    <row r="2188" spans="1:4" x14ac:dyDescent="0.3">
      <c r="A2188">
        <v>23</v>
      </c>
      <c r="B2188" t="s">
        <v>94</v>
      </c>
      <c r="C2188">
        <v>9</v>
      </c>
      <c r="D2188">
        <f>COUNTIF(WeeklyPicks!$D$222:$F$231,C2188)</f>
        <v>0</v>
      </c>
    </row>
    <row r="2189" spans="1:4" x14ac:dyDescent="0.3">
      <c r="A2189">
        <v>23</v>
      </c>
      <c r="B2189" t="s">
        <v>94</v>
      </c>
      <c r="C2189">
        <v>10</v>
      </c>
      <c r="D2189">
        <f>COUNTIF(WeeklyPicks!$D$222:$F$231,C2189)</f>
        <v>0</v>
      </c>
    </row>
    <row r="2190" spans="1:4" x14ac:dyDescent="0.3">
      <c r="A2190">
        <v>23</v>
      </c>
      <c r="B2190" t="s">
        <v>94</v>
      </c>
      <c r="C2190">
        <v>11</v>
      </c>
      <c r="D2190">
        <f>COUNTIF(WeeklyPicks!$D$222:$F$231,C2190)</f>
        <v>0</v>
      </c>
    </row>
    <row r="2191" spans="1:4" x14ac:dyDescent="0.3">
      <c r="A2191">
        <v>23</v>
      </c>
      <c r="B2191" t="s">
        <v>94</v>
      </c>
      <c r="C2191">
        <v>12</v>
      </c>
      <c r="D2191">
        <f>COUNTIF(WeeklyPicks!$D$222:$F$231,C2191)</f>
        <v>0</v>
      </c>
    </row>
    <row r="2192" spans="1:4" x14ac:dyDescent="0.3">
      <c r="A2192">
        <v>23</v>
      </c>
      <c r="B2192" t="s">
        <v>94</v>
      </c>
      <c r="C2192">
        <v>13</v>
      </c>
      <c r="D2192">
        <f>COUNTIF(WeeklyPicks!$D$222:$F$231,C2192)</f>
        <v>0</v>
      </c>
    </row>
    <row r="2193" spans="1:4" x14ac:dyDescent="0.3">
      <c r="A2193">
        <v>23</v>
      </c>
      <c r="B2193" t="s">
        <v>94</v>
      </c>
      <c r="C2193">
        <v>14</v>
      </c>
      <c r="D2193">
        <f>COUNTIF(WeeklyPicks!$D$222:$F$231,C2193)</f>
        <v>0</v>
      </c>
    </row>
    <row r="2194" spans="1:4" x14ac:dyDescent="0.3">
      <c r="A2194">
        <v>23</v>
      </c>
      <c r="B2194" t="s">
        <v>94</v>
      </c>
      <c r="C2194">
        <v>15</v>
      </c>
      <c r="D2194">
        <f>COUNTIF(WeeklyPicks!$D$222:$F$231,C2194)</f>
        <v>0</v>
      </c>
    </row>
    <row r="2195" spans="1:4" x14ac:dyDescent="0.3">
      <c r="A2195">
        <v>23</v>
      </c>
      <c r="B2195" t="s">
        <v>94</v>
      </c>
      <c r="C2195">
        <v>16</v>
      </c>
      <c r="D2195">
        <f>COUNTIF(WeeklyPicks!$D$222:$F$231,C2195)</f>
        <v>0</v>
      </c>
    </row>
    <row r="2196" spans="1:4" x14ac:dyDescent="0.3">
      <c r="A2196">
        <v>23</v>
      </c>
      <c r="B2196" t="s">
        <v>94</v>
      </c>
      <c r="C2196">
        <v>17</v>
      </c>
      <c r="D2196">
        <f>COUNTIF(WeeklyPicks!$D$222:$F$231,C2196)</f>
        <v>0</v>
      </c>
    </row>
    <row r="2197" spans="1:4" x14ac:dyDescent="0.3">
      <c r="A2197">
        <v>23</v>
      </c>
      <c r="B2197" t="s">
        <v>94</v>
      </c>
      <c r="C2197">
        <v>18</v>
      </c>
      <c r="D2197">
        <f>COUNTIF(WeeklyPicks!$D$222:$F$231,C2197)</f>
        <v>0</v>
      </c>
    </row>
    <row r="2198" spans="1:4" x14ac:dyDescent="0.3">
      <c r="A2198">
        <v>23</v>
      </c>
      <c r="B2198" t="s">
        <v>94</v>
      </c>
      <c r="C2198">
        <v>19</v>
      </c>
      <c r="D2198">
        <f>COUNTIF(WeeklyPicks!$D$222:$F$231,C2198)</f>
        <v>0</v>
      </c>
    </row>
    <row r="2199" spans="1:4" x14ac:dyDescent="0.3">
      <c r="A2199">
        <v>23</v>
      </c>
      <c r="B2199" t="s">
        <v>94</v>
      </c>
      <c r="C2199">
        <v>20</v>
      </c>
      <c r="D2199">
        <f>COUNTIF(WeeklyPicks!$D$222:$F$231,C2199)</f>
        <v>0</v>
      </c>
    </row>
    <row r="2200" spans="1:4" x14ac:dyDescent="0.3">
      <c r="A2200">
        <v>23</v>
      </c>
      <c r="B2200" t="s">
        <v>94</v>
      </c>
      <c r="C2200">
        <v>21</v>
      </c>
      <c r="D2200">
        <f>COUNTIF(WeeklyPicks!$D$222:$F$231,C2200)</f>
        <v>0</v>
      </c>
    </row>
    <row r="2201" spans="1:4" x14ac:dyDescent="0.3">
      <c r="A2201">
        <v>23</v>
      </c>
      <c r="B2201" t="s">
        <v>94</v>
      </c>
      <c r="C2201">
        <v>22</v>
      </c>
      <c r="D2201">
        <f>COUNTIF(WeeklyPicks!$D$222:$F$231,C2201)</f>
        <v>0</v>
      </c>
    </row>
    <row r="2202" spans="1:4" x14ac:dyDescent="0.3">
      <c r="A2202">
        <v>23</v>
      </c>
      <c r="B2202" t="s">
        <v>94</v>
      </c>
      <c r="C2202">
        <v>23</v>
      </c>
      <c r="D2202">
        <f>COUNTIF(WeeklyPicks!$D$222:$F$231,C2202)</f>
        <v>0</v>
      </c>
    </row>
    <row r="2203" spans="1:4" x14ac:dyDescent="0.3">
      <c r="A2203">
        <v>23</v>
      </c>
      <c r="B2203" t="s">
        <v>94</v>
      </c>
      <c r="C2203">
        <v>24</v>
      </c>
      <c r="D2203">
        <f>COUNTIF(WeeklyPicks!$D$222:$F$231,C2203)</f>
        <v>0</v>
      </c>
    </row>
    <row r="2204" spans="1:4" x14ac:dyDescent="0.3">
      <c r="A2204">
        <v>23</v>
      </c>
      <c r="B2204" t="s">
        <v>94</v>
      </c>
      <c r="C2204">
        <v>25</v>
      </c>
      <c r="D2204">
        <f>COUNTIF(WeeklyPicks!$D$222:$F$231,C2204)</f>
        <v>0</v>
      </c>
    </row>
    <row r="2205" spans="1:4" x14ac:dyDescent="0.3">
      <c r="A2205">
        <v>23</v>
      </c>
      <c r="B2205" t="s">
        <v>94</v>
      </c>
      <c r="C2205">
        <v>26</v>
      </c>
      <c r="D2205">
        <f>COUNTIF(WeeklyPicks!$D$222:$F$231,C2205)</f>
        <v>0</v>
      </c>
    </row>
    <row r="2206" spans="1:4" x14ac:dyDescent="0.3">
      <c r="A2206">
        <v>23</v>
      </c>
      <c r="B2206" t="s">
        <v>94</v>
      </c>
      <c r="C2206">
        <v>27</v>
      </c>
      <c r="D2206">
        <f>COUNTIF(WeeklyPicks!$D$222:$F$231,C2206)</f>
        <v>0</v>
      </c>
    </row>
    <row r="2207" spans="1:4" x14ac:dyDescent="0.3">
      <c r="A2207">
        <v>23</v>
      </c>
      <c r="B2207" t="s">
        <v>94</v>
      </c>
      <c r="C2207">
        <v>28</v>
      </c>
      <c r="D2207">
        <f>COUNTIF(WeeklyPicks!$D$222:$F$231,C2207)</f>
        <v>0</v>
      </c>
    </row>
    <row r="2208" spans="1:4" x14ac:dyDescent="0.3">
      <c r="A2208">
        <v>23</v>
      </c>
      <c r="B2208" t="s">
        <v>94</v>
      </c>
      <c r="C2208">
        <v>29</v>
      </c>
      <c r="D2208">
        <f>COUNTIF(WeeklyPicks!$D$222:$F$231,C2208)</f>
        <v>0</v>
      </c>
    </row>
    <row r="2209" spans="1:4" x14ac:dyDescent="0.3">
      <c r="A2209">
        <v>23</v>
      </c>
      <c r="B2209" t="s">
        <v>94</v>
      </c>
      <c r="C2209">
        <v>30</v>
      </c>
      <c r="D2209">
        <f>COUNTIF(WeeklyPicks!$D$222:$F$231,C2209)</f>
        <v>0</v>
      </c>
    </row>
    <row r="2210" spans="1:4" x14ac:dyDescent="0.3">
      <c r="A2210">
        <v>23</v>
      </c>
      <c r="B2210" t="s">
        <v>94</v>
      </c>
      <c r="C2210">
        <v>31</v>
      </c>
      <c r="D2210">
        <f>COUNTIF(WeeklyPicks!$D$222:$F$231,C2210)</f>
        <v>0</v>
      </c>
    </row>
    <row r="2211" spans="1:4" x14ac:dyDescent="0.3">
      <c r="A2211">
        <v>23</v>
      </c>
      <c r="B2211" t="s">
        <v>94</v>
      </c>
      <c r="C2211">
        <v>32</v>
      </c>
      <c r="D2211">
        <f>COUNTIF(WeeklyPicks!$D$222:$F$231,C2211)</f>
        <v>0</v>
      </c>
    </row>
    <row r="2212" spans="1:4" x14ac:dyDescent="0.3">
      <c r="A2212">
        <v>23</v>
      </c>
      <c r="B2212" t="s">
        <v>94</v>
      </c>
      <c r="C2212">
        <v>33</v>
      </c>
      <c r="D2212">
        <f>COUNTIF(WeeklyPicks!$D$222:$F$231,C2212)</f>
        <v>0</v>
      </c>
    </row>
    <row r="2213" spans="1:4" x14ac:dyDescent="0.3">
      <c r="A2213">
        <v>23</v>
      </c>
      <c r="B2213" t="s">
        <v>94</v>
      </c>
      <c r="C2213">
        <v>34</v>
      </c>
      <c r="D2213">
        <f>COUNTIF(WeeklyPicks!$D$222:$F$231,C2213)</f>
        <v>0</v>
      </c>
    </row>
    <row r="2214" spans="1:4" x14ac:dyDescent="0.3">
      <c r="A2214">
        <v>23</v>
      </c>
      <c r="B2214" t="s">
        <v>94</v>
      </c>
      <c r="C2214">
        <v>35</v>
      </c>
      <c r="D2214">
        <f>COUNTIF(WeeklyPicks!$D$222:$F$231,C2214)</f>
        <v>0</v>
      </c>
    </row>
    <row r="2215" spans="1:4" x14ac:dyDescent="0.3">
      <c r="A2215">
        <v>23</v>
      </c>
      <c r="B2215" t="s">
        <v>94</v>
      </c>
      <c r="C2215">
        <v>36</v>
      </c>
      <c r="D2215">
        <f>COUNTIF(WeeklyPicks!$D$222:$F$231,C2215)</f>
        <v>0</v>
      </c>
    </row>
    <row r="2216" spans="1:4" x14ac:dyDescent="0.3">
      <c r="A2216">
        <v>23</v>
      </c>
      <c r="B2216" t="s">
        <v>94</v>
      </c>
      <c r="C2216">
        <v>37</v>
      </c>
      <c r="D2216">
        <f>COUNTIF(WeeklyPicks!$D$222:$F$231,C2216)</f>
        <v>0</v>
      </c>
    </row>
    <row r="2217" spans="1:4" x14ac:dyDescent="0.3">
      <c r="A2217">
        <v>23</v>
      </c>
      <c r="B2217" t="s">
        <v>94</v>
      </c>
      <c r="C2217">
        <v>38</v>
      </c>
      <c r="D2217">
        <f>COUNTIF(WeeklyPicks!$D$222:$F$231,C2217)</f>
        <v>0</v>
      </c>
    </row>
    <row r="2218" spans="1:4" x14ac:dyDescent="0.3">
      <c r="A2218">
        <v>23</v>
      </c>
      <c r="B2218" t="s">
        <v>94</v>
      </c>
      <c r="C2218">
        <v>39</v>
      </c>
      <c r="D2218">
        <f>COUNTIF(WeeklyPicks!$D$222:$F$231,C2218)</f>
        <v>0</v>
      </c>
    </row>
    <row r="2219" spans="1:4" x14ac:dyDescent="0.3">
      <c r="A2219">
        <v>23</v>
      </c>
      <c r="B2219" t="s">
        <v>94</v>
      </c>
      <c r="C2219">
        <v>40</v>
      </c>
      <c r="D2219">
        <f>COUNTIF(WeeklyPicks!$D$222:$F$231,C2219)</f>
        <v>0</v>
      </c>
    </row>
    <row r="2220" spans="1:4" x14ac:dyDescent="0.3">
      <c r="A2220">
        <v>23</v>
      </c>
      <c r="B2220" t="s">
        <v>94</v>
      </c>
      <c r="C2220">
        <v>41</v>
      </c>
      <c r="D2220">
        <f>COUNTIF(WeeklyPicks!$D$222:$F$231,C2220)</f>
        <v>0</v>
      </c>
    </row>
    <row r="2221" spans="1:4" x14ac:dyDescent="0.3">
      <c r="A2221">
        <v>23</v>
      </c>
      <c r="B2221" t="s">
        <v>94</v>
      </c>
      <c r="C2221">
        <v>42</v>
      </c>
      <c r="D2221">
        <f>COUNTIF(WeeklyPicks!$D$222:$F$231,C2221)</f>
        <v>0</v>
      </c>
    </row>
    <row r="2222" spans="1:4" x14ac:dyDescent="0.3">
      <c r="A2222">
        <v>23</v>
      </c>
      <c r="B2222" t="s">
        <v>94</v>
      </c>
      <c r="C2222">
        <v>43</v>
      </c>
      <c r="D2222">
        <f>COUNTIF(WeeklyPicks!$D$222:$F$231,C2222)</f>
        <v>0</v>
      </c>
    </row>
    <row r="2223" spans="1:4" x14ac:dyDescent="0.3">
      <c r="A2223">
        <v>23</v>
      </c>
      <c r="B2223" t="s">
        <v>94</v>
      </c>
      <c r="C2223">
        <v>44</v>
      </c>
      <c r="D2223">
        <f>COUNTIF(WeeklyPicks!$D$222:$F$231,C2223)</f>
        <v>0</v>
      </c>
    </row>
    <row r="2224" spans="1:4" x14ac:dyDescent="0.3">
      <c r="A2224">
        <v>23</v>
      </c>
      <c r="B2224" t="s">
        <v>94</v>
      </c>
      <c r="C2224">
        <v>45</v>
      </c>
      <c r="D2224">
        <f>COUNTIF(WeeklyPicks!$D$222:$F$231,C2224)</f>
        <v>0</v>
      </c>
    </row>
    <row r="2225" spans="1:4" x14ac:dyDescent="0.3">
      <c r="A2225">
        <v>23</v>
      </c>
      <c r="B2225" t="s">
        <v>94</v>
      </c>
      <c r="C2225">
        <v>46</v>
      </c>
      <c r="D2225">
        <f>COUNTIF(WeeklyPicks!$D$222:$F$231,C2225)</f>
        <v>0</v>
      </c>
    </row>
    <row r="2226" spans="1:4" x14ac:dyDescent="0.3">
      <c r="A2226">
        <v>23</v>
      </c>
      <c r="B2226" t="s">
        <v>94</v>
      </c>
      <c r="C2226">
        <v>47</v>
      </c>
      <c r="D2226">
        <f>COUNTIF(WeeklyPicks!$D$222:$F$231,C2226)</f>
        <v>0</v>
      </c>
    </row>
    <row r="2227" spans="1:4" x14ac:dyDescent="0.3">
      <c r="A2227">
        <v>23</v>
      </c>
      <c r="B2227" t="s">
        <v>94</v>
      </c>
      <c r="C2227">
        <v>48</v>
      </c>
      <c r="D2227">
        <f>COUNTIF(WeeklyPicks!$D$222:$F$231,C2227)</f>
        <v>0</v>
      </c>
    </row>
    <row r="2228" spans="1:4" x14ac:dyDescent="0.3">
      <c r="A2228">
        <v>23</v>
      </c>
      <c r="B2228" t="s">
        <v>94</v>
      </c>
      <c r="C2228">
        <v>49</v>
      </c>
      <c r="D2228">
        <f>COUNTIF(WeeklyPicks!$D$222:$F$231,C2228)</f>
        <v>0</v>
      </c>
    </row>
    <row r="2229" spans="1:4" x14ac:dyDescent="0.3">
      <c r="A2229">
        <v>23</v>
      </c>
      <c r="B2229" t="s">
        <v>94</v>
      </c>
      <c r="C2229">
        <v>50</v>
      </c>
      <c r="D2229">
        <f>COUNTIF(WeeklyPicks!$D$222:$F$231,C2229)</f>
        <v>0</v>
      </c>
    </row>
    <row r="2230" spans="1:4" x14ac:dyDescent="0.3">
      <c r="A2230">
        <v>23</v>
      </c>
      <c r="B2230" t="s">
        <v>94</v>
      </c>
      <c r="C2230">
        <v>51</v>
      </c>
      <c r="D2230">
        <f>COUNTIF(WeeklyPicks!$D$222:$F$231,C2230)</f>
        <v>0</v>
      </c>
    </row>
    <row r="2231" spans="1:4" x14ac:dyDescent="0.3">
      <c r="A2231">
        <v>23</v>
      </c>
      <c r="B2231" t="s">
        <v>94</v>
      </c>
      <c r="C2231">
        <v>52</v>
      </c>
      <c r="D2231">
        <f>COUNTIF(WeeklyPicks!$D$222:$F$231,C2231)</f>
        <v>0</v>
      </c>
    </row>
    <row r="2232" spans="1:4" x14ac:dyDescent="0.3">
      <c r="A2232">
        <v>23</v>
      </c>
      <c r="B2232" t="s">
        <v>94</v>
      </c>
      <c r="C2232">
        <v>53</v>
      </c>
      <c r="D2232">
        <f>COUNTIF(WeeklyPicks!$D$222:$F$231,C2232)</f>
        <v>0</v>
      </c>
    </row>
    <row r="2233" spans="1:4" x14ac:dyDescent="0.3">
      <c r="A2233">
        <v>23</v>
      </c>
      <c r="B2233" t="s">
        <v>94</v>
      </c>
      <c r="C2233">
        <v>54</v>
      </c>
      <c r="D2233">
        <f>COUNTIF(WeeklyPicks!$D$222:$F$231,C2233)</f>
        <v>0</v>
      </c>
    </row>
    <row r="2234" spans="1:4" x14ac:dyDescent="0.3">
      <c r="A2234">
        <v>23</v>
      </c>
      <c r="B2234" t="s">
        <v>94</v>
      </c>
      <c r="C2234">
        <v>55</v>
      </c>
      <c r="D2234">
        <f>COUNTIF(WeeklyPicks!$D$222:$F$231,C2234)</f>
        <v>0</v>
      </c>
    </row>
    <row r="2235" spans="1:4" x14ac:dyDescent="0.3">
      <c r="A2235">
        <v>23</v>
      </c>
      <c r="B2235" t="s">
        <v>94</v>
      </c>
      <c r="C2235">
        <v>56</v>
      </c>
      <c r="D2235">
        <f>COUNTIF(WeeklyPicks!$D$222:$F$231,C2235)</f>
        <v>0</v>
      </c>
    </row>
    <row r="2236" spans="1:4" x14ac:dyDescent="0.3">
      <c r="A2236">
        <v>23</v>
      </c>
      <c r="B2236" t="s">
        <v>94</v>
      </c>
      <c r="C2236">
        <v>57</v>
      </c>
      <c r="D2236">
        <f>COUNTIF(WeeklyPicks!$D$222:$F$231,C2236)</f>
        <v>0</v>
      </c>
    </row>
    <row r="2237" spans="1:4" x14ac:dyDescent="0.3">
      <c r="A2237">
        <v>23</v>
      </c>
      <c r="B2237" t="s">
        <v>94</v>
      </c>
      <c r="C2237">
        <v>58</v>
      </c>
      <c r="D2237">
        <f>COUNTIF(WeeklyPicks!$D$222:$F$231,C2237)</f>
        <v>0</v>
      </c>
    </row>
    <row r="2238" spans="1:4" x14ac:dyDescent="0.3">
      <c r="A2238">
        <v>23</v>
      </c>
      <c r="B2238" t="s">
        <v>94</v>
      </c>
      <c r="C2238">
        <v>59</v>
      </c>
      <c r="D2238">
        <f>COUNTIF(WeeklyPicks!$D$222:$F$231,C2238)</f>
        <v>0</v>
      </c>
    </row>
    <row r="2239" spans="1:4" x14ac:dyDescent="0.3">
      <c r="A2239">
        <v>23</v>
      </c>
      <c r="B2239" t="s">
        <v>94</v>
      </c>
      <c r="C2239">
        <v>60</v>
      </c>
      <c r="D2239">
        <f>COUNTIF(WeeklyPicks!$D$222:$F$231,C2239)</f>
        <v>0</v>
      </c>
    </row>
    <row r="2240" spans="1:4" x14ac:dyDescent="0.3">
      <c r="A2240">
        <v>23</v>
      </c>
      <c r="B2240" t="s">
        <v>94</v>
      </c>
      <c r="C2240">
        <v>61</v>
      </c>
      <c r="D2240">
        <f>COUNTIF(WeeklyPicks!$D$222:$F$231,C2240)</f>
        <v>0</v>
      </c>
    </row>
    <row r="2241" spans="1:4" x14ac:dyDescent="0.3">
      <c r="A2241">
        <v>23</v>
      </c>
      <c r="B2241" t="s">
        <v>94</v>
      </c>
      <c r="C2241">
        <v>62</v>
      </c>
      <c r="D2241">
        <f>COUNTIF(WeeklyPicks!$D$222:$F$231,C2241)</f>
        <v>0</v>
      </c>
    </row>
    <row r="2242" spans="1:4" x14ac:dyDescent="0.3">
      <c r="A2242">
        <v>23</v>
      </c>
      <c r="B2242" t="s">
        <v>94</v>
      </c>
      <c r="C2242">
        <v>63</v>
      </c>
      <c r="D2242">
        <f>COUNTIF(WeeklyPicks!$D$222:$F$231,C2242)</f>
        <v>0</v>
      </c>
    </row>
    <row r="2243" spans="1:4" x14ac:dyDescent="0.3">
      <c r="A2243">
        <v>23</v>
      </c>
      <c r="B2243" t="s">
        <v>94</v>
      </c>
      <c r="C2243">
        <v>64</v>
      </c>
      <c r="D2243">
        <f>COUNTIF(WeeklyPicks!$D$222:$F$231,C2243)</f>
        <v>0</v>
      </c>
    </row>
    <row r="2244" spans="1:4" x14ac:dyDescent="0.3">
      <c r="A2244">
        <v>23</v>
      </c>
      <c r="B2244" t="s">
        <v>94</v>
      </c>
      <c r="C2244">
        <v>65</v>
      </c>
      <c r="D2244">
        <f>COUNTIF(WeeklyPicks!$D$222:$F$231,C2244)</f>
        <v>0</v>
      </c>
    </row>
    <row r="2245" spans="1:4" x14ac:dyDescent="0.3">
      <c r="A2245">
        <v>23</v>
      </c>
      <c r="B2245" t="s">
        <v>94</v>
      </c>
      <c r="C2245">
        <v>66</v>
      </c>
      <c r="D2245">
        <f>COUNTIF(WeeklyPicks!$D$222:$F$231,C2245)</f>
        <v>0</v>
      </c>
    </row>
    <row r="2246" spans="1:4" x14ac:dyDescent="0.3">
      <c r="A2246">
        <v>23</v>
      </c>
      <c r="B2246" t="s">
        <v>94</v>
      </c>
      <c r="C2246">
        <v>67</v>
      </c>
      <c r="D2246">
        <f>COUNTIF(WeeklyPicks!$D$222:$F$231,C2246)</f>
        <v>0</v>
      </c>
    </row>
    <row r="2247" spans="1:4" x14ac:dyDescent="0.3">
      <c r="A2247">
        <v>23</v>
      </c>
      <c r="B2247" t="s">
        <v>94</v>
      </c>
      <c r="C2247">
        <v>68</v>
      </c>
      <c r="D2247">
        <f>COUNTIF(WeeklyPicks!$D$222:$F$231,C2247)</f>
        <v>0</v>
      </c>
    </row>
    <row r="2248" spans="1:4" x14ac:dyDescent="0.3">
      <c r="A2248">
        <v>23</v>
      </c>
      <c r="B2248" t="s">
        <v>94</v>
      </c>
      <c r="C2248">
        <v>69</v>
      </c>
      <c r="D2248">
        <f>COUNTIF(WeeklyPicks!$D$222:$F$231,C2248)</f>
        <v>0</v>
      </c>
    </row>
    <row r="2249" spans="1:4" x14ac:dyDescent="0.3">
      <c r="A2249">
        <v>23</v>
      </c>
      <c r="B2249" t="s">
        <v>94</v>
      </c>
      <c r="C2249">
        <v>70</v>
      </c>
      <c r="D2249">
        <f>COUNTIF(WeeklyPicks!$D$222:$F$231,C2249)</f>
        <v>0</v>
      </c>
    </row>
    <row r="2250" spans="1:4" x14ac:dyDescent="0.3">
      <c r="A2250">
        <v>23</v>
      </c>
      <c r="B2250" t="s">
        <v>94</v>
      </c>
      <c r="C2250">
        <v>71</v>
      </c>
      <c r="D2250">
        <f>COUNTIF(WeeklyPicks!$D$222:$F$231,C2250)</f>
        <v>0</v>
      </c>
    </row>
    <row r="2251" spans="1:4" x14ac:dyDescent="0.3">
      <c r="A2251">
        <v>23</v>
      </c>
      <c r="B2251" t="s">
        <v>94</v>
      </c>
      <c r="C2251">
        <v>72</v>
      </c>
      <c r="D2251">
        <f>COUNTIF(WeeklyPicks!$D$222:$F$231,C2251)</f>
        <v>0</v>
      </c>
    </row>
    <row r="2252" spans="1:4" x14ac:dyDescent="0.3">
      <c r="A2252">
        <v>23</v>
      </c>
      <c r="B2252" t="s">
        <v>94</v>
      </c>
      <c r="C2252">
        <v>73</v>
      </c>
      <c r="D2252">
        <f>COUNTIF(WeeklyPicks!$D$222:$F$231,C2252)</f>
        <v>0</v>
      </c>
    </row>
    <row r="2253" spans="1:4" x14ac:dyDescent="0.3">
      <c r="A2253">
        <v>23</v>
      </c>
      <c r="B2253" t="s">
        <v>94</v>
      </c>
      <c r="C2253">
        <v>74</v>
      </c>
      <c r="D2253">
        <f>COUNTIF(WeeklyPicks!$D$222:$F$231,C2253)</f>
        <v>0</v>
      </c>
    </row>
    <row r="2254" spans="1:4" x14ac:dyDescent="0.3">
      <c r="A2254">
        <v>23</v>
      </c>
      <c r="B2254" t="s">
        <v>94</v>
      </c>
      <c r="C2254">
        <v>75</v>
      </c>
      <c r="D2254">
        <f>COUNTIF(WeeklyPicks!$D$222:$F$231,C2254)</f>
        <v>0</v>
      </c>
    </row>
    <row r="2255" spans="1:4" x14ac:dyDescent="0.3">
      <c r="A2255">
        <v>23</v>
      </c>
      <c r="B2255" t="s">
        <v>94</v>
      </c>
      <c r="C2255">
        <v>76</v>
      </c>
      <c r="D2255">
        <f>COUNTIF(WeeklyPicks!$D$222:$F$231,C2255)</f>
        <v>0</v>
      </c>
    </row>
    <row r="2256" spans="1:4" x14ac:dyDescent="0.3">
      <c r="A2256">
        <v>23</v>
      </c>
      <c r="B2256" t="s">
        <v>94</v>
      </c>
      <c r="C2256">
        <v>77</v>
      </c>
      <c r="D2256">
        <f>COUNTIF(WeeklyPicks!$D$222:$F$231,C2256)</f>
        <v>0</v>
      </c>
    </row>
    <row r="2257" spans="1:4" x14ac:dyDescent="0.3">
      <c r="A2257">
        <v>23</v>
      </c>
      <c r="B2257" t="s">
        <v>94</v>
      </c>
      <c r="C2257">
        <v>78</v>
      </c>
      <c r="D2257">
        <f>COUNTIF(WeeklyPicks!$D$222:$F$231,C2257)</f>
        <v>0</v>
      </c>
    </row>
    <row r="2258" spans="1:4" x14ac:dyDescent="0.3">
      <c r="A2258">
        <v>23</v>
      </c>
      <c r="B2258" t="s">
        <v>94</v>
      </c>
      <c r="C2258">
        <v>79</v>
      </c>
      <c r="D2258">
        <f>COUNTIF(WeeklyPicks!$D$222:$F$231,C2258)</f>
        <v>0</v>
      </c>
    </row>
    <row r="2259" spans="1:4" x14ac:dyDescent="0.3">
      <c r="A2259">
        <v>23</v>
      </c>
      <c r="B2259" t="s">
        <v>94</v>
      </c>
      <c r="C2259">
        <v>80</v>
      </c>
      <c r="D2259">
        <f>COUNTIF(WeeklyPicks!$D$222:$F$231,C2259)</f>
        <v>0</v>
      </c>
    </row>
    <row r="2260" spans="1:4" x14ac:dyDescent="0.3">
      <c r="A2260">
        <v>23</v>
      </c>
      <c r="B2260" t="s">
        <v>94</v>
      </c>
      <c r="C2260">
        <v>81</v>
      </c>
      <c r="D2260">
        <f>COUNTIF(WeeklyPicks!$D$222:$F$231,C2260)</f>
        <v>0</v>
      </c>
    </row>
    <row r="2261" spans="1:4" x14ac:dyDescent="0.3">
      <c r="A2261">
        <v>23</v>
      </c>
      <c r="B2261" t="s">
        <v>94</v>
      </c>
      <c r="C2261">
        <v>82</v>
      </c>
      <c r="D2261">
        <f>COUNTIF(WeeklyPicks!$D$222:$F$231,C2261)</f>
        <v>0</v>
      </c>
    </row>
    <row r="2262" spans="1:4" x14ac:dyDescent="0.3">
      <c r="A2262">
        <v>23</v>
      </c>
      <c r="B2262" t="s">
        <v>94</v>
      </c>
      <c r="C2262">
        <v>83</v>
      </c>
      <c r="D2262">
        <f>COUNTIF(WeeklyPicks!$D$222:$F$231,C2262)</f>
        <v>0</v>
      </c>
    </row>
    <row r="2263" spans="1:4" x14ac:dyDescent="0.3">
      <c r="A2263">
        <v>23</v>
      </c>
      <c r="B2263" t="s">
        <v>94</v>
      </c>
      <c r="C2263">
        <v>84</v>
      </c>
      <c r="D2263">
        <f>COUNTIF(WeeklyPicks!$D$222:$F$231,C2263)</f>
        <v>0</v>
      </c>
    </row>
    <row r="2264" spans="1:4" x14ac:dyDescent="0.3">
      <c r="A2264">
        <v>23</v>
      </c>
      <c r="B2264" t="s">
        <v>94</v>
      </c>
      <c r="C2264">
        <v>85</v>
      </c>
      <c r="D2264">
        <f>COUNTIF(WeeklyPicks!$D$222:$F$231,C2264)</f>
        <v>0</v>
      </c>
    </row>
    <row r="2265" spans="1:4" x14ac:dyDescent="0.3">
      <c r="A2265">
        <v>23</v>
      </c>
      <c r="B2265" t="s">
        <v>94</v>
      </c>
      <c r="C2265">
        <v>86</v>
      </c>
      <c r="D2265">
        <f>COUNTIF(WeeklyPicks!$D$222:$F$231,C2265)</f>
        <v>0</v>
      </c>
    </row>
    <row r="2266" spans="1:4" x14ac:dyDescent="0.3">
      <c r="A2266">
        <v>23</v>
      </c>
      <c r="B2266" t="s">
        <v>94</v>
      </c>
      <c r="C2266">
        <v>87</v>
      </c>
      <c r="D2266">
        <f>COUNTIF(WeeklyPicks!$D$222:$F$231,C2266)</f>
        <v>0</v>
      </c>
    </row>
    <row r="2267" spans="1:4" x14ac:dyDescent="0.3">
      <c r="A2267">
        <v>23</v>
      </c>
      <c r="B2267" t="s">
        <v>94</v>
      </c>
      <c r="C2267">
        <v>88</v>
      </c>
      <c r="D2267">
        <f>COUNTIF(WeeklyPicks!$D$222:$F$231,C2267)</f>
        <v>0</v>
      </c>
    </row>
    <row r="2268" spans="1:4" x14ac:dyDescent="0.3">
      <c r="A2268">
        <v>23</v>
      </c>
      <c r="B2268" t="s">
        <v>94</v>
      </c>
      <c r="C2268">
        <v>89</v>
      </c>
      <c r="D2268">
        <f>COUNTIF(WeeklyPicks!$D$222:$F$231,C2268)</f>
        <v>0</v>
      </c>
    </row>
    <row r="2269" spans="1:4" x14ac:dyDescent="0.3">
      <c r="A2269">
        <v>23</v>
      </c>
      <c r="B2269" t="s">
        <v>94</v>
      </c>
      <c r="C2269">
        <v>90</v>
      </c>
      <c r="D2269">
        <f>COUNTIF(WeeklyPicks!$D$222:$F$231,C2269)</f>
        <v>0</v>
      </c>
    </row>
    <row r="2270" spans="1:4" x14ac:dyDescent="0.3">
      <c r="A2270">
        <v>23</v>
      </c>
      <c r="B2270" t="s">
        <v>94</v>
      </c>
      <c r="C2270">
        <v>91</v>
      </c>
      <c r="D2270">
        <f>COUNTIF(WeeklyPicks!$D$222:$F$231,C2270)</f>
        <v>0</v>
      </c>
    </row>
    <row r="2271" spans="1:4" x14ac:dyDescent="0.3">
      <c r="A2271">
        <v>23</v>
      </c>
      <c r="B2271" t="s">
        <v>94</v>
      </c>
      <c r="C2271">
        <v>92</v>
      </c>
      <c r="D2271">
        <f>COUNTIF(WeeklyPicks!$D$222:$F$231,C2271)</f>
        <v>0</v>
      </c>
    </row>
    <row r="2272" spans="1:4" x14ac:dyDescent="0.3">
      <c r="A2272">
        <v>23</v>
      </c>
      <c r="B2272" t="s">
        <v>94</v>
      </c>
      <c r="C2272">
        <v>93</v>
      </c>
      <c r="D2272">
        <f>COUNTIF(WeeklyPicks!$D$222:$F$231,C2272)</f>
        <v>0</v>
      </c>
    </row>
    <row r="2273" spans="1:4" x14ac:dyDescent="0.3">
      <c r="A2273">
        <v>23</v>
      </c>
      <c r="B2273" t="s">
        <v>94</v>
      </c>
      <c r="C2273">
        <v>94</v>
      </c>
      <c r="D2273">
        <f>COUNTIF(WeeklyPicks!$D$222:$F$231,C2273)</f>
        <v>0</v>
      </c>
    </row>
    <row r="2274" spans="1:4" x14ac:dyDescent="0.3">
      <c r="A2274">
        <v>23</v>
      </c>
      <c r="B2274" t="s">
        <v>94</v>
      </c>
      <c r="C2274">
        <v>95</v>
      </c>
      <c r="D2274">
        <f>COUNTIF(WeeklyPicks!$D$222:$F$231,C2274)</f>
        <v>0</v>
      </c>
    </row>
    <row r="2275" spans="1:4" x14ac:dyDescent="0.3">
      <c r="A2275">
        <v>23</v>
      </c>
      <c r="B2275" t="s">
        <v>94</v>
      </c>
      <c r="C2275">
        <v>96</v>
      </c>
      <c r="D2275">
        <f>COUNTIF(WeeklyPicks!$D$222:$F$231,C2275)</f>
        <v>0</v>
      </c>
    </row>
    <row r="2276" spans="1:4" x14ac:dyDescent="0.3">
      <c r="A2276">
        <v>23</v>
      </c>
      <c r="B2276" t="s">
        <v>94</v>
      </c>
      <c r="C2276">
        <v>97</v>
      </c>
      <c r="D2276">
        <f>COUNTIF(WeeklyPicks!$D$222:$F$231,C2276)</f>
        <v>0</v>
      </c>
    </row>
    <row r="2277" spans="1:4" x14ac:dyDescent="0.3">
      <c r="A2277">
        <v>23</v>
      </c>
      <c r="B2277" t="s">
        <v>94</v>
      </c>
      <c r="C2277">
        <v>98</v>
      </c>
      <c r="D2277">
        <f>COUNTIF(WeeklyPicks!$D$222:$F$231,C2277)</f>
        <v>0</v>
      </c>
    </row>
    <row r="2278" spans="1:4" x14ac:dyDescent="0.3">
      <c r="A2278">
        <v>23</v>
      </c>
      <c r="B2278" t="s">
        <v>94</v>
      </c>
      <c r="C2278">
        <v>99</v>
      </c>
      <c r="D2278">
        <f>COUNTIF(WeeklyPicks!$D$222:$F$231,C2278)</f>
        <v>0</v>
      </c>
    </row>
    <row r="2279" spans="1:4" x14ac:dyDescent="0.3">
      <c r="A2279">
        <v>24</v>
      </c>
      <c r="B2279" t="s">
        <v>97</v>
      </c>
      <c r="C2279">
        <v>1</v>
      </c>
      <c r="D2279">
        <f>COUNTIF(WeeklyPicks!$D$232:$F$241,C2279)</f>
        <v>0</v>
      </c>
    </row>
    <row r="2280" spans="1:4" x14ac:dyDescent="0.3">
      <c r="A2280">
        <v>24</v>
      </c>
      <c r="B2280" t="s">
        <v>97</v>
      </c>
      <c r="C2280">
        <v>2</v>
      </c>
      <c r="D2280">
        <f>COUNTIF(WeeklyPicks!$D$232:$F$241,C2280)</f>
        <v>0</v>
      </c>
    </row>
    <row r="2281" spans="1:4" x14ac:dyDescent="0.3">
      <c r="A2281">
        <v>24</v>
      </c>
      <c r="B2281" t="s">
        <v>97</v>
      </c>
      <c r="C2281">
        <v>3</v>
      </c>
      <c r="D2281">
        <f>COUNTIF(WeeklyPicks!$D$232:$F$241,C2281)</f>
        <v>0</v>
      </c>
    </row>
    <row r="2282" spans="1:4" x14ac:dyDescent="0.3">
      <c r="A2282">
        <v>24</v>
      </c>
      <c r="B2282" t="s">
        <v>97</v>
      </c>
      <c r="C2282">
        <v>4</v>
      </c>
      <c r="D2282">
        <f>COUNTIF(WeeklyPicks!$D$232:$F$241,C2282)</f>
        <v>0</v>
      </c>
    </row>
    <row r="2283" spans="1:4" x14ac:dyDescent="0.3">
      <c r="A2283">
        <v>24</v>
      </c>
      <c r="B2283" t="s">
        <v>97</v>
      </c>
      <c r="C2283">
        <v>5</v>
      </c>
      <c r="D2283">
        <f>COUNTIF(WeeklyPicks!$D$232:$F$241,C2283)</f>
        <v>0</v>
      </c>
    </row>
    <row r="2284" spans="1:4" x14ac:dyDescent="0.3">
      <c r="A2284">
        <v>24</v>
      </c>
      <c r="B2284" t="s">
        <v>97</v>
      </c>
      <c r="C2284">
        <v>6</v>
      </c>
      <c r="D2284">
        <f>COUNTIF(WeeklyPicks!$D$232:$F$241,C2284)</f>
        <v>0</v>
      </c>
    </row>
    <row r="2285" spans="1:4" x14ac:dyDescent="0.3">
      <c r="A2285">
        <v>24</v>
      </c>
      <c r="B2285" t="s">
        <v>97</v>
      </c>
      <c r="C2285">
        <v>7</v>
      </c>
      <c r="D2285">
        <f>COUNTIF(WeeklyPicks!$D$232:$F$241,C2285)</f>
        <v>0</v>
      </c>
    </row>
    <row r="2286" spans="1:4" x14ac:dyDescent="0.3">
      <c r="A2286">
        <v>24</v>
      </c>
      <c r="B2286" t="s">
        <v>97</v>
      </c>
      <c r="C2286">
        <v>8</v>
      </c>
      <c r="D2286">
        <f>COUNTIF(WeeklyPicks!$D$232:$F$241,C2286)</f>
        <v>0</v>
      </c>
    </row>
    <row r="2287" spans="1:4" x14ac:dyDescent="0.3">
      <c r="A2287">
        <v>24</v>
      </c>
      <c r="B2287" t="s">
        <v>97</v>
      </c>
      <c r="C2287">
        <v>9</v>
      </c>
      <c r="D2287">
        <f>COUNTIF(WeeklyPicks!$D$232:$F$241,C2287)</f>
        <v>0</v>
      </c>
    </row>
    <row r="2288" spans="1:4" x14ac:dyDescent="0.3">
      <c r="A2288">
        <v>24</v>
      </c>
      <c r="B2288" t="s">
        <v>97</v>
      </c>
      <c r="C2288">
        <v>10</v>
      </c>
      <c r="D2288">
        <f>COUNTIF(WeeklyPicks!$D$232:$F$241,C2288)</f>
        <v>0</v>
      </c>
    </row>
    <row r="2289" spans="1:4" x14ac:dyDescent="0.3">
      <c r="A2289">
        <v>24</v>
      </c>
      <c r="B2289" t="s">
        <v>97</v>
      </c>
      <c r="C2289">
        <v>11</v>
      </c>
      <c r="D2289">
        <f>COUNTIF(WeeklyPicks!$D$232:$F$241,C2289)</f>
        <v>0</v>
      </c>
    </row>
    <row r="2290" spans="1:4" x14ac:dyDescent="0.3">
      <c r="A2290">
        <v>24</v>
      </c>
      <c r="B2290" t="s">
        <v>97</v>
      </c>
      <c r="C2290">
        <v>12</v>
      </c>
      <c r="D2290">
        <f>COUNTIF(WeeklyPicks!$D$232:$F$241,C2290)</f>
        <v>0</v>
      </c>
    </row>
    <row r="2291" spans="1:4" x14ac:dyDescent="0.3">
      <c r="A2291">
        <v>24</v>
      </c>
      <c r="B2291" t="s">
        <v>97</v>
      </c>
      <c r="C2291">
        <v>13</v>
      </c>
      <c r="D2291">
        <f>COUNTIF(WeeklyPicks!$D$232:$F$241,C2291)</f>
        <v>0</v>
      </c>
    </row>
    <row r="2292" spans="1:4" x14ac:dyDescent="0.3">
      <c r="A2292">
        <v>24</v>
      </c>
      <c r="B2292" t="s">
        <v>97</v>
      </c>
      <c r="C2292">
        <v>14</v>
      </c>
      <c r="D2292">
        <f>COUNTIF(WeeklyPicks!$D$232:$F$241,C2292)</f>
        <v>0</v>
      </c>
    </row>
    <row r="2293" spans="1:4" x14ac:dyDescent="0.3">
      <c r="A2293">
        <v>24</v>
      </c>
      <c r="B2293" t="s">
        <v>97</v>
      </c>
      <c r="C2293">
        <v>15</v>
      </c>
      <c r="D2293">
        <f>COUNTIF(WeeklyPicks!$D$232:$F$241,C2293)</f>
        <v>0</v>
      </c>
    </row>
    <row r="2294" spans="1:4" x14ac:dyDescent="0.3">
      <c r="A2294">
        <v>24</v>
      </c>
      <c r="B2294" t="s">
        <v>97</v>
      </c>
      <c r="C2294">
        <v>16</v>
      </c>
      <c r="D2294">
        <f>COUNTIF(WeeklyPicks!$D$232:$F$241,C2294)</f>
        <v>0</v>
      </c>
    </row>
    <row r="2295" spans="1:4" x14ac:dyDescent="0.3">
      <c r="A2295">
        <v>24</v>
      </c>
      <c r="B2295" t="s">
        <v>97</v>
      </c>
      <c r="C2295">
        <v>17</v>
      </c>
      <c r="D2295">
        <f>COUNTIF(WeeklyPicks!$D$232:$F$241,C2295)</f>
        <v>0</v>
      </c>
    </row>
    <row r="2296" spans="1:4" x14ac:dyDescent="0.3">
      <c r="A2296">
        <v>24</v>
      </c>
      <c r="B2296" t="s">
        <v>97</v>
      </c>
      <c r="C2296">
        <v>18</v>
      </c>
      <c r="D2296">
        <f>COUNTIF(WeeklyPicks!$D$232:$F$241,C2296)</f>
        <v>0</v>
      </c>
    </row>
    <row r="2297" spans="1:4" x14ac:dyDescent="0.3">
      <c r="A2297">
        <v>24</v>
      </c>
      <c r="B2297" t="s">
        <v>97</v>
      </c>
      <c r="C2297">
        <v>19</v>
      </c>
      <c r="D2297">
        <f>COUNTIF(WeeklyPicks!$D$232:$F$241,C2297)</f>
        <v>0</v>
      </c>
    </row>
    <row r="2298" spans="1:4" x14ac:dyDescent="0.3">
      <c r="A2298">
        <v>24</v>
      </c>
      <c r="B2298" t="s">
        <v>97</v>
      </c>
      <c r="C2298">
        <v>20</v>
      </c>
      <c r="D2298">
        <f>COUNTIF(WeeklyPicks!$D$232:$F$241,C2298)</f>
        <v>0</v>
      </c>
    </row>
    <row r="2299" spans="1:4" x14ac:dyDescent="0.3">
      <c r="A2299">
        <v>24</v>
      </c>
      <c r="B2299" t="s">
        <v>97</v>
      </c>
      <c r="C2299">
        <v>21</v>
      </c>
      <c r="D2299">
        <f>COUNTIF(WeeklyPicks!$D$232:$F$241,C2299)</f>
        <v>0</v>
      </c>
    </row>
    <row r="2300" spans="1:4" x14ac:dyDescent="0.3">
      <c r="A2300">
        <v>24</v>
      </c>
      <c r="B2300" t="s">
        <v>97</v>
      </c>
      <c r="C2300">
        <v>22</v>
      </c>
      <c r="D2300">
        <f>COUNTIF(WeeklyPicks!$D$232:$F$241,C2300)</f>
        <v>0</v>
      </c>
    </row>
    <row r="2301" spans="1:4" x14ac:dyDescent="0.3">
      <c r="A2301">
        <v>24</v>
      </c>
      <c r="B2301" t="s">
        <v>97</v>
      </c>
      <c r="C2301">
        <v>23</v>
      </c>
      <c r="D2301">
        <f>COUNTIF(WeeklyPicks!$D$232:$F$241,C2301)</f>
        <v>0</v>
      </c>
    </row>
    <row r="2302" spans="1:4" x14ac:dyDescent="0.3">
      <c r="A2302">
        <v>24</v>
      </c>
      <c r="B2302" t="s">
        <v>97</v>
      </c>
      <c r="C2302">
        <v>24</v>
      </c>
      <c r="D2302">
        <f>COUNTIF(WeeklyPicks!$D$232:$F$241,C2302)</f>
        <v>0</v>
      </c>
    </row>
    <row r="2303" spans="1:4" x14ac:dyDescent="0.3">
      <c r="A2303">
        <v>24</v>
      </c>
      <c r="B2303" t="s">
        <v>97</v>
      </c>
      <c r="C2303">
        <v>25</v>
      </c>
      <c r="D2303">
        <f>COUNTIF(WeeklyPicks!$D$232:$F$241,C2303)</f>
        <v>0</v>
      </c>
    </row>
    <row r="2304" spans="1:4" x14ac:dyDescent="0.3">
      <c r="A2304">
        <v>24</v>
      </c>
      <c r="B2304" t="s">
        <v>97</v>
      </c>
      <c r="C2304">
        <v>26</v>
      </c>
      <c r="D2304">
        <f>COUNTIF(WeeklyPicks!$D$232:$F$241,C2304)</f>
        <v>0</v>
      </c>
    </row>
    <row r="2305" spans="1:4" x14ac:dyDescent="0.3">
      <c r="A2305">
        <v>24</v>
      </c>
      <c r="B2305" t="s">
        <v>97</v>
      </c>
      <c r="C2305">
        <v>27</v>
      </c>
      <c r="D2305">
        <f>COUNTIF(WeeklyPicks!$D$232:$F$241,C2305)</f>
        <v>0</v>
      </c>
    </row>
    <row r="2306" spans="1:4" x14ac:dyDescent="0.3">
      <c r="A2306">
        <v>24</v>
      </c>
      <c r="B2306" t="s">
        <v>97</v>
      </c>
      <c r="C2306">
        <v>28</v>
      </c>
      <c r="D2306">
        <f>COUNTIF(WeeklyPicks!$D$232:$F$241,C2306)</f>
        <v>0</v>
      </c>
    </row>
    <row r="2307" spans="1:4" x14ac:dyDescent="0.3">
      <c r="A2307">
        <v>24</v>
      </c>
      <c r="B2307" t="s">
        <v>97</v>
      </c>
      <c r="C2307">
        <v>29</v>
      </c>
      <c r="D2307">
        <f>COUNTIF(WeeklyPicks!$D$232:$F$241,C2307)</f>
        <v>0</v>
      </c>
    </row>
    <row r="2308" spans="1:4" x14ac:dyDescent="0.3">
      <c r="A2308">
        <v>24</v>
      </c>
      <c r="B2308" t="s">
        <v>97</v>
      </c>
      <c r="C2308">
        <v>30</v>
      </c>
      <c r="D2308">
        <f>COUNTIF(WeeklyPicks!$D$232:$F$241,C2308)</f>
        <v>0</v>
      </c>
    </row>
    <row r="2309" spans="1:4" x14ac:dyDescent="0.3">
      <c r="A2309">
        <v>24</v>
      </c>
      <c r="B2309" t="s">
        <v>97</v>
      </c>
      <c r="C2309">
        <v>31</v>
      </c>
      <c r="D2309">
        <f>COUNTIF(WeeklyPicks!$D$232:$F$241,C2309)</f>
        <v>0</v>
      </c>
    </row>
    <row r="2310" spans="1:4" x14ac:dyDescent="0.3">
      <c r="A2310">
        <v>24</v>
      </c>
      <c r="B2310" t="s">
        <v>97</v>
      </c>
      <c r="C2310">
        <v>32</v>
      </c>
      <c r="D2310">
        <f>COUNTIF(WeeklyPicks!$D$232:$F$241,C2310)</f>
        <v>0</v>
      </c>
    </row>
    <row r="2311" spans="1:4" x14ac:dyDescent="0.3">
      <c r="A2311">
        <v>24</v>
      </c>
      <c r="B2311" t="s">
        <v>97</v>
      </c>
      <c r="C2311">
        <v>33</v>
      </c>
      <c r="D2311">
        <f>COUNTIF(WeeklyPicks!$D$232:$F$241,C2311)</f>
        <v>0</v>
      </c>
    </row>
    <row r="2312" spans="1:4" x14ac:dyDescent="0.3">
      <c r="A2312">
        <v>24</v>
      </c>
      <c r="B2312" t="s">
        <v>97</v>
      </c>
      <c r="C2312">
        <v>34</v>
      </c>
      <c r="D2312">
        <f>COUNTIF(WeeklyPicks!$D$232:$F$241,C2312)</f>
        <v>0</v>
      </c>
    </row>
    <row r="2313" spans="1:4" x14ac:dyDescent="0.3">
      <c r="A2313">
        <v>24</v>
      </c>
      <c r="B2313" t="s">
        <v>97</v>
      </c>
      <c r="C2313">
        <v>35</v>
      </c>
      <c r="D2313">
        <f>COUNTIF(WeeklyPicks!$D$232:$F$241,C2313)</f>
        <v>0</v>
      </c>
    </row>
    <row r="2314" spans="1:4" x14ac:dyDescent="0.3">
      <c r="A2314">
        <v>24</v>
      </c>
      <c r="B2314" t="s">
        <v>97</v>
      </c>
      <c r="C2314">
        <v>36</v>
      </c>
      <c r="D2314">
        <f>COUNTIF(WeeklyPicks!$D$232:$F$241,C2314)</f>
        <v>0</v>
      </c>
    </row>
    <row r="2315" spans="1:4" x14ac:dyDescent="0.3">
      <c r="A2315">
        <v>24</v>
      </c>
      <c r="B2315" t="s">
        <v>97</v>
      </c>
      <c r="C2315">
        <v>37</v>
      </c>
      <c r="D2315">
        <f>COUNTIF(WeeklyPicks!$D$232:$F$241,C2315)</f>
        <v>0</v>
      </c>
    </row>
    <row r="2316" spans="1:4" x14ac:dyDescent="0.3">
      <c r="A2316">
        <v>24</v>
      </c>
      <c r="B2316" t="s">
        <v>97</v>
      </c>
      <c r="C2316">
        <v>38</v>
      </c>
      <c r="D2316">
        <f>COUNTIF(WeeklyPicks!$D$232:$F$241,C2316)</f>
        <v>0</v>
      </c>
    </row>
    <row r="2317" spans="1:4" x14ac:dyDescent="0.3">
      <c r="A2317">
        <v>24</v>
      </c>
      <c r="B2317" t="s">
        <v>97</v>
      </c>
      <c r="C2317">
        <v>39</v>
      </c>
      <c r="D2317">
        <f>COUNTIF(WeeklyPicks!$D$232:$F$241,C2317)</f>
        <v>0</v>
      </c>
    </row>
    <row r="2318" spans="1:4" x14ac:dyDescent="0.3">
      <c r="A2318">
        <v>24</v>
      </c>
      <c r="B2318" t="s">
        <v>97</v>
      </c>
      <c r="C2318">
        <v>40</v>
      </c>
      <c r="D2318">
        <f>COUNTIF(WeeklyPicks!$D$232:$F$241,C2318)</f>
        <v>0</v>
      </c>
    </row>
    <row r="2319" spans="1:4" x14ac:dyDescent="0.3">
      <c r="A2319">
        <v>24</v>
      </c>
      <c r="B2319" t="s">
        <v>97</v>
      </c>
      <c r="C2319">
        <v>41</v>
      </c>
      <c r="D2319">
        <f>COUNTIF(WeeklyPicks!$D$232:$F$241,C2319)</f>
        <v>0</v>
      </c>
    </row>
    <row r="2320" spans="1:4" x14ac:dyDescent="0.3">
      <c r="A2320">
        <v>24</v>
      </c>
      <c r="B2320" t="s">
        <v>97</v>
      </c>
      <c r="C2320">
        <v>42</v>
      </c>
      <c r="D2320">
        <f>COUNTIF(WeeklyPicks!$D$232:$F$241,C2320)</f>
        <v>0</v>
      </c>
    </row>
    <row r="2321" spans="1:4" x14ac:dyDescent="0.3">
      <c r="A2321">
        <v>24</v>
      </c>
      <c r="B2321" t="s">
        <v>97</v>
      </c>
      <c r="C2321">
        <v>43</v>
      </c>
      <c r="D2321">
        <f>COUNTIF(WeeklyPicks!$D$232:$F$241,C2321)</f>
        <v>0</v>
      </c>
    </row>
    <row r="2322" spans="1:4" x14ac:dyDescent="0.3">
      <c r="A2322">
        <v>24</v>
      </c>
      <c r="B2322" t="s">
        <v>97</v>
      </c>
      <c r="C2322">
        <v>44</v>
      </c>
      <c r="D2322">
        <f>COUNTIF(WeeklyPicks!$D$232:$F$241,C2322)</f>
        <v>0</v>
      </c>
    </row>
    <row r="2323" spans="1:4" x14ac:dyDescent="0.3">
      <c r="A2323">
        <v>24</v>
      </c>
      <c r="B2323" t="s">
        <v>97</v>
      </c>
      <c r="C2323">
        <v>45</v>
      </c>
      <c r="D2323">
        <f>COUNTIF(WeeklyPicks!$D$232:$F$241,C2323)</f>
        <v>0</v>
      </c>
    </row>
    <row r="2324" spans="1:4" x14ac:dyDescent="0.3">
      <c r="A2324">
        <v>24</v>
      </c>
      <c r="B2324" t="s">
        <v>97</v>
      </c>
      <c r="C2324">
        <v>46</v>
      </c>
      <c r="D2324">
        <f>COUNTIF(WeeklyPicks!$D$232:$F$241,C2324)</f>
        <v>0</v>
      </c>
    </row>
    <row r="2325" spans="1:4" x14ac:dyDescent="0.3">
      <c r="A2325">
        <v>24</v>
      </c>
      <c r="B2325" t="s">
        <v>97</v>
      </c>
      <c r="C2325">
        <v>47</v>
      </c>
      <c r="D2325">
        <f>COUNTIF(WeeklyPicks!$D$232:$F$241,C2325)</f>
        <v>0</v>
      </c>
    </row>
    <row r="2326" spans="1:4" x14ac:dyDescent="0.3">
      <c r="A2326">
        <v>24</v>
      </c>
      <c r="B2326" t="s">
        <v>97</v>
      </c>
      <c r="C2326">
        <v>48</v>
      </c>
      <c r="D2326">
        <f>COUNTIF(WeeklyPicks!$D$232:$F$241,C2326)</f>
        <v>0</v>
      </c>
    </row>
    <row r="2327" spans="1:4" x14ac:dyDescent="0.3">
      <c r="A2327">
        <v>24</v>
      </c>
      <c r="B2327" t="s">
        <v>97</v>
      </c>
      <c r="C2327">
        <v>49</v>
      </c>
      <c r="D2327">
        <f>COUNTIF(WeeklyPicks!$D$232:$F$241,C2327)</f>
        <v>0</v>
      </c>
    </row>
    <row r="2328" spans="1:4" x14ac:dyDescent="0.3">
      <c r="A2328">
        <v>24</v>
      </c>
      <c r="B2328" t="s">
        <v>97</v>
      </c>
      <c r="C2328">
        <v>50</v>
      </c>
      <c r="D2328">
        <f>COUNTIF(WeeklyPicks!$D$232:$F$241,C2328)</f>
        <v>0</v>
      </c>
    </row>
    <row r="2329" spans="1:4" x14ac:dyDescent="0.3">
      <c r="A2329">
        <v>24</v>
      </c>
      <c r="B2329" t="s">
        <v>97</v>
      </c>
      <c r="C2329">
        <v>51</v>
      </c>
      <c r="D2329">
        <f>COUNTIF(WeeklyPicks!$D$232:$F$241,C2329)</f>
        <v>0</v>
      </c>
    </row>
    <row r="2330" spans="1:4" x14ac:dyDescent="0.3">
      <c r="A2330">
        <v>24</v>
      </c>
      <c r="B2330" t="s">
        <v>97</v>
      </c>
      <c r="C2330">
        <v>52</v>
      </c>
      <c r="D2330">
        <f>COUNTIF(WeeklyPicks!$D$232:$F$241,C2330)</f>
        <v>0</v>
      </c>
    </row>
    <row r="2331" spans="1:4" x14ac:dyDescent="0.3">
      <c r="A2331">
        <v>24</v>
      </c>
      <c r="B2331" t="s">
        <v>97</v>
      </c>
      <c r="C2331">
        <v>53</v>
      </c>
      <c r="D2331">
        <f>COUNTIF(WeeklyPicks!$D$232:$F$241,C2331)</f>
        <v>0</v>
      </c>
    </row>
    <row r="2332" spans="1:4" x14ac:dyDescent="0.3">
      <c r="A2332">
        <v>24</v>
      </c>
      <c r="B2332" t="s">
        <v>97</v>
      </c>
      <c r="C2332">
        <v>54</v>
      </c>
      <c r="D2332">
        <f>COUNTIF(WeeklyPicks!$D$232:$F$241,C2332)</f>
        <v>0</v>
      </c>
    </row>
    <row r="2333" spans="1:4" x14ac:dyDescent="0.3">
      <c r="A2333">
        <v>24</v>
      </c>
      <c r="B2333" t="s">
        <v>97</v>
      </c>
      <c r="C2333">
        <v>55</v>
      </c>
      <c r="D2333">
        <f>COUNTIF(WeeklyPicks!$D$232:$F$241,C2333)</f>
        <v>0</v>
      </c>
    </row>
    <row r="2334" spans="1:4" x14ac:dyDescent="0.3">
      <c r="A2334">
        <v>24</v>
      </c>
      <c r="B2334" t="s">
        <v>97</v>
      </c>
      <c r="C2334">
        <v>56</v>
      </c>
      <c r="D2334">
        <f>COUNTIF(WeeklyPicks!$D$232:$F$241,C2334)</f>
        <v>0</v>
      </c>
    </row>
    <row r="2335" spans="1:4" x14ac:dyDescent="0.3">
      <c r="A2335">
        <v>24</v>
      </c>
      <c r="B2335" t="s">
        <v>97</v>
      </c>
      <c r="C2335">
        <v>57</v>
      </c>
      <c r="D2335">
        <f>COUNTIF(WeeklyPicks!$D$232:$F$241,C2335)</f>
        <v>0</v>
      </c>
    </row>
    <row r="2336" spans="1:4" x14ac:dyDescent="0.3">
      <c r="A2336">
        <v>24</v>
      </c>
      <c r="B2336" t="s">
        <v>97</v>
      </c>
      <c r="C2336">
        <v>58</v>
      </c>
      <c r="D2336">
        <f>COUNTIF(WeeklyPicks!$D$232:$F$241,C2336)</f>
        <v>0</v>
      </c>
    </row>
    <row r="2337" spans="1:4" x14ac:dyDescent="0.3">
      <c r="A2337">
        <v>24</v>
      </c>
      <c r="B2337" t="s">
        <v>97</v>
      </c>
      <c r="C2337">
        <v>59</v>
      </c>
      <c r="D2337">
        <f>COUNTIF(WeeklyPicks!$D$232:$F$241,C2337)</f>
        <v>0</v>
      </c>
    </row>
    <row r="2338" spans="1:4" x14ac:dyDescent="0.3">
      <c r="A2338">
        <v>24</v>
      </c>
      <c r="B2338" t="s">
        <v>97</v>
      </c>
      <c r="C2338">
        <v>60</v>
      </c>
      <c r="D2338">
        <f>COUNTIF(WeeklyPicks!$D$232:$F$241,C2338)</f>
        <v>0</v>
      </c>
    </row>
    <row r="2339" spans="1:4" x14ac:dyDescent="0.3">
      <c r="A2339">
        <v>24</v>
      </c>
      <c r="B2339" t="s">
        <v>97</v>
      </c>
      <c r="C2339">
        <v>61</v>
      </c>
      <c r="D2339">
        <f>COUNTIF(WeeklyPicks!$D$232:$F$241,C2339)</f>
        <v>0</v>
      </c>
    </row>
    <row r="2340" spans="1:4" x14ac:dyDescent="0.3">
      <c r="A2340">
        <v>24</v>
      </c>
      <c r="B2340" t="s">
        <v>97</v>
      </c>
      <c r="C2340">
        <v>62</v>
      </c>
      <c r="D2340">
        <f>COUNTIF(WeeklyPicks!$D$232:$F$241,C2340)</f>
        <v>0</v>
      </c>
    </row>
    <row r="2341" spans="1:4" x14ac:dyDescent="0.3">
      <c r="A2341">
        <v>24</v>
      </c>
      <c r="B2341" t="s">
        <v>97</v>
      </c>
      <c r="C2341">
        <v>63</v>
      </c>
      <c r="D2341">
        <f>COUNTIF(WeeklyPicks!$D$232:$F$241,C2341)</f>
        <v>0</v>
      </c>
    </row>
    <row r="2342" spans="1:4" x14ac:dyDescent="0.3">
      <c r="A2342">
        <v>24</v>
      </c>
      <c r="B2342" t="s">
        <v>97</v>
      </c>
      <c r="C2342">
        <v>64</v>
      </c>
      <c r="D2342">
        <f>COUNTIF(WeeklyPicks!$D$232:$F$241,C2342)</f>
        <v>0</v>
      </c>
    </row>
    <row r="2343" spans="1:4" x14ac:dyDescent="0.3">
      <c r="A2343">
        <v>24</v>
      </c>
      <c r="B2343" t="s">
        <v>97</v>
      </c>
      <c r="C2343">
        <v>65</v>
      </c>
      <c r="D2343">
        <f>COUNTIF(WeeklyPicks!$D$232:$F$241,C2343)</f>
        <v>0</v>
      </c>
    </row>
    <row r="2344" spans="1:4" x14ac:dyDescent="0.3">
      <c r="A2344">
        <v>24</v>
      </c>
      <c r="B2344" t="s">
        <v>97</v>
      </c>
      <c r="C2344">
        <v>66</v>
      </c>
      <c r="D2344">
        <f>COUNTIF(WeeklyPicks!$D$232:$F$241,C2344)</f>
        <v>0</v>
      </c>
    </row>
    <row r="2345" spans="1:4" x14ac:dyDescent="0.3">
      <c r="A2345">
        <v>24</v>
      </c>
      <c r="B2345" t="s">
        <v>97</v>
      </c>
      <c r="C2345">
        <v>67</v>
      </c>
      <c r="D2345">
        <f>COUNTIF(WeeklyPicks!$D$232:$F$241,C2345)</f>
        <v>0</v>
      </c>
    </row>
    <row r="2346" spans="1:4" x14ac:dyDescent="0.3">
      <c r="A2346">
        <v>24</v>
      </c>
      <c r="B2346" t="s">
        <v>97</v>
      </c>
      <c r="C2346">
        <v>68</v>
      </c>
      <c r="D2346">
        <f>COUNTIF(WeeklyPicks!$D$232:$F$241,C2346)</f>
        <v>0</v>
      </c>
    </row>
    <row r="2347" spans="1:4" x14ac:dyDescent="0.3">
      <c r="A2347">
        <v>24</v>
      </c>
      <c r="B2347" t="s">
        <v>97</v>
      </c>
      <c r="C2347">
        <v>69</v>
      </c>
      <c r="D2347">
        <f>COUNTIF(WeeklyPicks!$D$232:$F$241,C2347)</f>
        <v>0</v>
      </c>
    </row>
    <row r="2348" spans="1:4" x14ac:dyDescent="0.3">
      <c r="A2348">
        <v>24</v>
      </c>
      <c r="B2348" t="s">
        <v>97</v>
      </c>
      <c r="C2348">
        <v>70</v>
      </c>
      <c r="D2348">
        <f>COUNTIF(WeeklyPicks!$D$232:$F$241,C2348)</f>
        <v>0</v>
      </c>
    </row>
    <row r="2349" spans="1:4" x14ac:dyDescent="0.3">
      <c r="A2349">
        <v>24</v>
      </c>
      <c r="B2349" t="s">
        <v>97</v>
      </c>
      <c r="C2349">
        <v>71</v>
      </c>
      <c r="D2349">
        <f>COUNTIF(WeeklyPicks!$D$232:$F$241,C2349)</f>
        <v>0</v>
      </c>
    </row>
    <row r="2350" spans="1:4" x14ac:dyDescent="0.3">
      <c r="A2350">
        <v>24</v>
      </c>
      <c r="B2350" t="s">
        <v>97</v>
      </c>
      <c r="C2350">
        <v>72</v>
      </c>
      <c r="D2350">
        <f>COUNTIF(WeeklyPicks!$D$232:$F$241,C2350)</f>
        <v>0</v>
      </c>
    </row>
    <row r="2351" spans="1:4" x14ac:dyDescent="0.3">
      <c r="A2351">
        <v>24</v>
      </c>
      <c r="B2351" t="s">
        <v>97</v>
      </c>
      <c r="C2351">
        <v>73</v>
      </c>
      <c r="D2351">
        <f>COUNTIF(WeeklyPicks!$D$232:$F$241,C2351)</f>
        <v>0</v>
      </c>
    </row>
    <row r="2352" spans="1:4" x14ac:dyDescent="0.3">
      <c r="A2352">
        <v>24</v>
      </c>
      <c r="B2352" t="s">
        <v>97</v>
      </c>
      <c r="C2352">
        <v>74</v>
      </c>
      <c r="D2352">
        <f>COUNTIF(WeeklyPicks!$D$232:$F$241,C2352)</f>
        <v>0</v>
      </c>
    </row>
    <row r="2353" spans="1:4" x14ac:dyDescent="0.3">
      <c r="A2353">
        <v>24</v>
      </c>
      <c r="B2353" t="s">
        <v>97</v>
      </c>
      <c r="C2353">
        <v>75</v>
      </c>
      <c r="D2353">
        <f>COUNTIF(WeeklyPicks!$D$232:$F$241,C2353)</f>
        <v>0</v>
      </c>
    </row>
    <row r="2354" spans="1:4" x14ac:dyDescent="0.3">
      <c r="A2354">
        <v>24</v>
      </c>
      <c r="B2354" t="s">
        <v>97</v>
      </c>
      <c r="C2354">
        <v>76</v>
      </c>
      <c r="D2354">
        <f>COUNTIF(WeeklyPicks!$D$232:$F$241,C2354)</f>
        <v>0</v>
      </c>
    </row>
    <row r="2355" spans="1:4" x14ac:dyDescent="0.3">
      <c r="A2355">
        <v>24</v>
      </c>
      <c r="B2355" t="s">
        <v>97</v>
      </c>
      <c r="C2355">
        <v>77</v>
      </c>
      <c r="D2355">
        <f>COUNTIF(WeeklyPicks!$D$232:$F$241,C2355)</f>
        <v>0</v>
      </c>
    </row>
    <row r="2356" spans="1:4" x14ac:dyDescent="0.3">
      <c r="A2356">
        <v>24</v>
      </c>
      <c r="B2356" t="s">
        <v>97</v>
      </c>
      <c r="C2356">
        <v>78</v>
      </c>
      <c r="D2356">
        <f>COUNTIF(WeeklyPicks!$D$232:$F$241,C2356)</f>
        <v>0</v>
      </c>
    </row>
    <row r="2357" spans="1:4" x14ac:dyDescent="0.3">
      <c r="A2357">
        <v>24</v>
      </c>
      <c r="B2357" t="s">
        <v>97</v>
      </c>
      <c r="C2357">
        <v>79</v>
      </c>
      <c r="D2357">
        <f>COUNTIF(WeeklyPicks!$D$232:$F$241,C2357)</f>
        <v>0</v>
      </c>
    </row>
    <row r="2358" spans="1:4" x14ac:dyDescent="0.3">
      <c r="A2358">
        <v>24</v>
      </c>
      <c r="B2358" t="s">
        <v>97</v>
      </c>
      <c r="C2358">
        <v>80</v>
      </c>
      <c r="D2358">
        <f>COUNTIF(WeeklyPicks!$D$232:$F$241,C2358)</f>
        <v>0</v>
      </c>
    </row>
    <row r="2359" spans="1:4" x14ac:dyDescent="0.3">
      <c r="A2359">
        <v>24</v>
      </c>
      <c r="B2359" t="s">
        <v>97</v>
      </c>
      <c r="C2359">
        <v>81</v>
      </c>
      <c r="D2359">
        <f>COUNTIF(WeeklyPicks!$D$232:$F$241,C2359)</f>
        <v>0</v>
      </c>
    </row>
    <row r="2360" spans="1:4" x14ac:dyDescent="0.3">
      <c r="A2360">
        <v>24</v>
      </c>
      <c r="B2360" t="s">
        <v>97</v>
      </c>
      <c r="C2360">
        <v>82</v>
      </c>
      <c r="D2360">
        <f>COUNTIF(WeeklyPicks!$D$232:$F$241,C2360)</f>
        <v>0</v>
      </c>
    </row>
    <row r="2361" spans="1:4" x14ac:dyDescent="0.3">
      <c r="A2361">
        <v>24</v>
      </c>
      <c r="B2361" t="s">
        <v>97</v>
      </c>
      <c r="C2361">
        <v>83</v>
      </c>
      <c r="D2361">
        <f>COUNTIF(WeeklyPicks!$D$232:$F$241,C2361)</f>
        <v>0</v>
      </c>
    </row>
    <row r="2362" spans="1:4" x14ac:dyDescent="0.3">
      <c r="A2362">
        <v>24</v>
      </c>
      <c r="B2362" t="s">
        <v>97</v>
      </c>
      <c r="C2362">
        <v>84</v>
      </c>
      <c r="D2362">
        <f>COUNTIF(WeeklyPicks!$D$232:$F$241,C2362)</f>
        <v>0</v>
      </c>
    </row>
    <row r="2363" spans="1:4" x14ac:dyDescent="0.3">
      <c r="A2363">
        <v>24</v>
      </c>
      <c r="B2363" t="s">
        <v>97</v>
      </c>
      <c r="C2363">
        <v>85</v>
      </c>
      <c r="D2363">
        <f>COUNTIF(WeeklyPicks!$D$232:$F$241,C2363)</f>
        <v>0</v>
      </c>
    </row>
    <row r="2364" spans="1:4" x14ac:dyDescent="0.3">
      <c r="A2364">
        <v>24</v>
      </c>
      <c r="B2364" t="s">
        <v>97</v>
      </c>
      <c r="C2364">
        <v>86</v>
      </c>
      <c r="D2364">
        <f>COUNTIF(WeeklyPicks!$D$232:$F$241,C2364)</f>
        <v>0</v>
      </c>
    </row>
    <row r="2365" spans="1:4" x14ac:dyDescent="0.3">
      <c r="A2365">
        <v>24</v>
      </c>
      <c r="B2365" t="s">
        <v>97</v>
      </c>
      <c r="C2365">
        <v>87</v>
      </c>
      <c r="D2365">
        <f>COUNTIF(WeeklyPicks!$D$232:$F$241,C2365)</f>
        <v>0</v>
      </c>
    </row>
    <row r="2366" spans="1:4" x14ac:dyDescent="0.3">
      <c r="A2366">
        <v>24</v>
      </c>
      <c r="B2366" t="s">
        <v>97</v>
      </c>
      <c r="C2366">
        <v>88</v>
      </c>
      <c r="D2366">
        <f>COUNTIF(WeeklyPicks!$D$232:$F$241,C2366)</f>
        <v>0</v>
      </c>
    </row>
    <row r="2367" spans="1:4" x14ac:dyDescent="0.3">
      <c r="A2367">
        <v>24</v>
      </c>
      <c r="B2367" t="s">
        <v>97</v>
      </c>
      <c r="C2367">
        <v>89</v>
      </c>
      <c r="D2367">
        <f>COUNTIF(WeeklyPicks!$D$232:$F$241,C2367)</f>
        <v>0</v>
      </c>
    </row>
    <row r="2368" spans="1:4" x14ac:dyDescent="0.3">
      <c r="A2368">
        <v>24</v>
      </c>
      <c r="B2368" t="s">
        <v>97</v>
      </c>
      <c r="C2368">
        <v>90</v>
      </c>
      <c r="D2368">
        <f>COUNTIF(WeeklyPicks!$D$232:$F$241,C2368)</f>
        <v>0</v>
      </c>
    </row>
    <row r="2369" spans="1:4" x14ac:dyDescent="0.3">
      <c r="A2369">
        <v>24</v>
      </c>
      <c r="B2369" t="s">
        <v>97</v>
      </c>
      <c r="C2369">
        <v>91</v>
      </c>
      <c r="D2369">
        <f>COUNTIF(WeeklyPicks!$D$232:$F$241,C2369)</f>
        <v>0</v>
      </c>
    </row>
    <row r="2370" spans="1:4" x14ac:dyDescent="0.3">
      <c r="A2370">
        <v>24</v>
      </c>
      <c r="B2370" t="s">
        <v>97</v>
      </c>
      <c r="C2370">
        <v>92</v>
      </c>
      <c r="D2370">
        <f>COUNTIF(WeeklyPicks!$D$232:$F$241,C2370)</f>
        <v>0</v>
      </c>
    </row>
    <row r="2371" spans="1:4" x14ac:dyDescent="0.3">
      <c r="A2371">
        <v>24</v>
      </c>
      <c r="B2371" t="s">
        <v>97</v>
      </c>
      <c r="C2371">
        <v>93</v>
      </c>
      <c r="D2371">
        <f>COUNTIF(WeeklyPicks!$D$232:$F$241,C2371)</f>
        <v>0</v>
      </c>
    </row>
    <row r="2372" spans="1:4" x14ac:dyDescent="0.3">
      <c r="A2372">
        <v>24</v>
      </c>
      <c r="B2372" t="s">
        <v>97</v>
      </c>
      <c r="C2372">
        <v>94</v>
      </c>
      <c r="D2372">
        <f>COUNTIF(WeeklyPicks!$D$232:$F$241,C2372)</f>
        <v>0</v>
      </c>
    </row>
    <row r="2373" spans="1:4" x14ac:dyDescent="0.3">
      <c r="A2373">
        <v>24</v>
      </c>
      <c r="B2373" t="s">
        <v>97</v>
      </c>
      <c r="C2373">
        <v>95</v>
      </c>
      <c r="D2373">
        <f>COUNTIF(WeeklyPicks!$D$232:$F$241,C2373)</f>
        <v>0</v>
      </c>
    </row>
    <row r="2374" spans="1:4" x14ac:dyDescent="0.3">
      <c r="A2374">
        <v>24</v>
      </c>
      <c r="B2374" t="s">
        <v>97</v>
      </c>
      <c r="C2374">
        <v>96</v>
      </c>
      <c r="D2374">
        <f>COUNTIF(WeeklyPicks!$D$232:$F$241,C2374)</f>
        <v>0</v>
      </c>
    </row>
    <row r="2375" spans="1:4" x14ac:dyDescent="0.3">
      <c r="A2375">
        <v>24</v>
      </c>
      <c r="B2375" t="s">
        <v>97</v>
      </c>
      <c r="C2375">
        <v>97</v>
      </c>
      <c r="D2375">
        <f>COUNTIF(WeeklyPicks!$D$232:$F$241,C2375)</f>
        <v>0</v>
      </c>
    </row>
    <row r="2376" spans="1:4" x14ac:dyDescent="0.3">
      <c r="A2376">
        <v>24</v>
      </c>
      <c r="B2376" t="s">
        <v>97</v>
      </c>
      <c r="C2376">
        <v>98</v>
      </c>
      <c r="D2376">
        <f>COUNTIF(WeeklyPicks!$D$232:$F$241,C2376)</f>
        <v>0</v>
      </c>
    </row>
    <row r="2377" spans="1:4" x14ac:dyDescent="0.3">
      <c r="A2377">
        <v>24</v>
      </c>
      <c r="B2377" t="s">
        <v>97</v>
      </c>
      <c r="C2377">
        <v>99</v>
      </c>
      <c r="D2377">
        <f>COUNTIF(WeeklyPicks!$D$232:$F$241,C2377)</f>
        <v>0</v>
      </c>
    </row>
    <row r="2378" spans="1:4" x14ac:dyDescent="0.3">
      <c r="A2378">
        <v>25</v>
      </c>
      <c r="B2378" t="s">
        <v>99</v>
      </c>
      <c r="C2378">
        <v>1</v>
      </c>
      <c r="D2378">
        <f>COUNTIF(WeeklyPicks!$D$242:$F$251,C2378)</f>
        <v>0</v>
      </c>
    </row>
    <row r="2379" spans="1:4" x14ac:dyDescent="0.3">
      <c r="A2379">
        <v>25</v>
      </c>
      <c r="B2379" t="s">
        <v>99</v>
      </c>
      <c r="C2379">
        <v>2</v>
      </c>
      <c r="D2379">
        <f>COUNTIF(WeeklyPicks!$D$242:$F$251,C2379)</f>
        <v>0</v>
      </c>
    </row>
    <row r="2380" spans="1:4" x14ac:dyDescent="0.3">
      <c r="A2380">
        <v>25</v>
      </c>
      <c r="B2380" t="s">
        <v>99</v>
      </c>
      <c r="C2380">
        <v>3</v>
      </c>
      <c r="D2380">
        <f>COUNTIF(WeeklyPicks!$D$242:$F$251,C2380)</f>
        <v>0</v>
      </c>
    </row>
    <row r="2381" spans="1:4" x14ac:dyDescent="0.3">
      <c r="A2381">
        <v>25</v>
      </c>
      <c r="B2381" t="s">
        <v>99</v>
      </c>
      <c r="C2381">
        <v>4</v>
      </c>
      <c r="D2381">
        <f>COUNTIF(WeeklyPicks!$D$242:$F$251,C2381)</f>
        <v>0</v>
      </c>
    </row>
    <row r="2382" spans="1:4" x14ac:dyDescent="0.3">
      <c r="A2382">
        <v>25</v>
      </c>
      <c r="B2382" t="s">
        <v>99</v>
      </c>
      <c r="C2382">
        <v>5</v>
      </c>
      <c r="D2382">
        <f>COUNTIF(WeeklyPicks!$D$242:$F$251,C2382)</f>
        <v>0</v>
      </c>
    </row>
    <row r="2383" spans="1:4" x14ac:dyDescent="0.3">
      <c r="A2383">
        <v>25</v>
      </c>
      <c r="B2383" t="s">
        <v>99</v>
      </c>
      <c r="C2383">
        <v>6</v>
      </c>
      <c r="D2383">
        <f>COUNTIF(WeeklyPicks!$D$242:$F$251,C2383)</f>
        <v>0</v>
      </c>
    </row>
    <row r="2384" spans="1:4" x14ac:dyDescent="0.3">
      <c r="A2384">
        <v>25</v>
      </c>
      <c r="B2384" t="s">
        <v>99</v>
      </c>
      <c r="C2384">
        <v>7</v>
      </c>
      <c r="D2384">
        <f>COUNTIF(WeeklyPicks!$D$242:$F$251,C2384)</f>
        <v>0</v>
      </c>
    </row>
    <row r="2385" spans="1:4" x14ac:dyDescent="0.3">
      <c r="A2385">
        <v>25</v>
      </c>
      <c r="B2385" t="s">
        <v>99</v>
      </c>
      <c r="C2385">
        <v>8</v>
      </c>
      <c r="D2385">
        <f>COUNTIF(WeeklyPicks!$D$242:$F$251,C2385)</f>
        <v>0</v>
      </c>
    </row>
    <row r="2386" spans="1:4" x14ac:dyDescent="0.3">
      <c r="A2386">
        <v>25</v>
      </c>
      <c r="B2386" t="s">
        <v>99</v>
      </c>
      <c r="C2386">
        <v>9</v>
      </c>
      <c r="D2386">
        <f>COUNTIF(WeeklyPicks!$D$242:$F$251,C2386)</f>
        <v>0</v>
      </c>
    </row>
    <row r="2387" spans="1:4" x14ac:dyDescent="0.3">
      <c r="A2387">
        <v>25</v>
      </c>
      <c r="B2387" t="s">
        <v>99</v>
      </c>
      <c r="C2387">
        <v>10</v>
      </c>
      <c r="D2387">
        <f>COUNTIF(WeeklyPicks!$D$242:$F$251,C2387)</f>
        <v>0</v>
      </c>
    </row>
    <row r="2388" spans="1:4" x14ac:dyDescent="0.3">
      <c r="A2388">
        <v>25</v>
      </c>
      <c r="B2388" t="s">
        <v>99</v>
      </c>
      <c r="C2388">
        <v>11</v>
      </c>
      <c r="D2388">
        <f>COUNTIF(WeeklyPicks!$D$242:$F$251,C2388)</f>
        <v>0</v>
      </c>
    </row>
    <row r="2389" spans="1:4" x14ac:dyDescent="0.3">
      <c r="A2389">
        <v>25</v>
      </c>
      <c r="B2389" t="s">
        <v>99</v>
      </c>
      <c r="C2389">
        <v>12</v>
      </c>
      <c r="D2389">
        <f>COUNTIF(WeeklyPicks!$D$242:$F$251,C2389)</f>
        <v>0</v>
      </c>
    </row>
    <row r="2390" spans="1:4" x14ac:dyDescent="0.3">
      <c r="A2390">
        <v>25</v>
      </c>
      <c r="B2390" t="s">
        <v>99</v>
      </c>
      <c r="C2390">
        <v>13</v>
      </c>
      <c r="D2390">
        <f>COUNTIF(WeeklyPicks!$D$242:$F$251,C2390)</f>
        <v>0</v>
      </c>
    </row>
    <row r="2391" spans="1:4" x14ac:dyDescent="0.3">
      <c r="A2391">
        <v>25</v>
      </c>
      <c r="B2391" t="s">
        <v>99</v>
      </c>
      <c r="C2391">
        <v>14</v>
      </c>
      <c r="D2391">
        <f>COUNTIF(WeeklyPicks!$D$242:$F$251,C2391)</f>
        <v>0</v>
      </c>
    </row>
    <row r="2392" spans="1:4" x14ac:dyDescent="0.3">
      <c r="A2392">
        <v>25</v>
      </c>
      <c r="B2392" t="s">
        <v>99</v>
      </c>
      <c r="C2392">
        <v>15</v>
      </c>
      <c r="D2392">
        <f>COUNTIF(WeeklyPicks!$D$242:$F$251,C2392)</f>
        <v>0</v>
      </c>
    </row>
    <row r="2393" spans="1:4" x14ac:dyDescent="0.3">
      <c r="A2393">
        <v>25</v>
      </c>
      <c r="B2393" t="s">
        <v>99</v>
      </c>
      <c r="C2393">
        <v>16</v>
      </c>
      <c r="D2393">
        <f>COUNTIF(WeeklyPicks!$D$242:$F$251,C2393)</f>
        <v>0</v>
      </c>
    </row>
    <row r="2394" spans="1:4" x14ac:dyDescent="0.3">
      <c r="A2394">
        <v>25</v>
      </c>
      <c r="B2394" t="s">
        <v>99</v>
      </c>
      <c r="C2394">
        <v>17</v>
      </c>
      <c r="D2394">
        <f>COUNTIF(WeeklyPicks!$D$242:$F$251,C2394)</f>
        <v>0</v>
      </c>
    </row>
    <row r="2395" spans="1:4" x14ac:dyDescent="0.3">
      <c r="A2395">
        <v>25</v>
      </c>
      <c r="B2395" t="s">
        <v>99</v>
      </c>
      <c r="C2395">
        <v>18</v>
      </c>
      <c r="D2395">
        <f>COUNTIF(WeeklyPicks!$D$242:$F$251,C2395)</f>
        <v>0</v>
      </c>
    </row>
    <row r="2396" spans="1:4" x14ac:dyDescent="0.3">
      <c r="A2396">
        <v>25</v>
      </c>
      <c r="B2396" t="s">
        <v>99</v>
      </c>
      <c r="C2396">
        <v>19</v>
      </c>
      <c r="D2396">
        <f>COUNTIF(WeeklyPicks!$D$242:$F$251,C2396)</f>
        <v>0</v>
      </c>
    </row>
    <row r="2397" spans="1:4" x14ac:dyDescent="0.3">
      <c r="A2397">
        <v>25</v>
      </c>
      <c r="B2397" t="s">
        <v>99</v>
      </c>
      <c r="C2397">
        <v>20</v>
      </c>
      <c r="D2397">
        <f>COUNTIF(WeeklyPicks!$D$242:$F$251,C2397)</f>
        <v>0</v>
      </c>
    </row>
    <row r="2398" spans="1:4" x14ac:dyDescent="0.3">
      <c r="A2398">
        <v>25</v>
      </c>
      <c r="B2398" t="s">
        <v>99</v>
      </c>
      <c r="C2398">
        <v>21</v>
      </c>
      <c r="D2398">
        <f>COUNTIF(WeeklyPicks!$D$242:$F$251,C2398)</f>
        <v>0</v>
      </c>
    </row>
    <row r="2399" spans="1:4" x14ac:dyDescent="0.3">
      <c r="A2399">
        <v>25</v>
      </c>
      <c r="B2399" t="s">
        <v>99</v>
      </c>
      <c r="C2399">
        <v>22</v>
      </c>
      <c r="D2399">
        <f>COUNTIF(WeeklyPicks!$D$242:$F$251,C2399)</f>
        <v>0</v>
      </c>
    </row>
    <row r="2400" spans="1:4" x14ac:dyDescent="0.3">
      <c r="A2400">
        <v>25</v>
      </c>
      <c r="B2400" t="s">
        <v>99</v>
      </c>
      <c r="C2400">
        <v>23</v>
      </c>
      <c r="D2400">
        <f>COUNTIF(WeeklyPicks!$D$242:$F$251,C2400)</f>
        <v>0</v>
      </c>
    </row>
    <row r="2401" spans="1:4" x14ac:dyDescent="0.3">
      <c r="A2401">
        <v>25</v>
      </c>
      <c r="B2401" t="s">
        <v>99</v>
      </c>
      <c r="C2401">
        <v>24</v>
      </c>
      <c r="D2401">
        <f>COUNTIF(WeeklyPicks!$D$242:$F$251,C2401)</f>
        <v>0</v>
      </c>
    </row>
    <row r="2402" spans="1:4" x14ac:dyDescent="0.3">
      <c r="A2402">
        <v>25</v>
      </c>
      <c r="B2402" t="s">
        <v>99</v>
      </c>
      <c r="C2402">
        <v>25</v>
      </c>
      <c r="D2402">
        <f>COUNTIF(WeeklyPicks!$D$242:$F$251,C2402)</f>
        <v>0</v>
      </c>
    </row>
    <row r="2403" spans="1:4" x14ac:dyDescent="0.3">
      <c r="A2403">
        <v>25</v>
      </c>
      <c r="B2403" t="s">
        <v>99</v>
      </c>
      <c r="C2403">
        <v>26</v>
      </c>
      <c r="D2403">
        <f>COUNTIF(WeeklyPicks!$D$242:$F$251,C2403)</f>
        <v>0</v>
      </c>
    </row>
    <row r="2404" spans="1:4" x14ac:dyDescent="0.3">
      <c r="A2404">
        <v>25</v>
      </c>
      <c r="B2404" t="s">
        <v>99</v>
      </c>
      <c r="C2404">
        <v>27</v>
      </c>
      <c r="D2404">
        <f>COUNTIF(WeeklyPicks!$D$242:$F$251,C2404)</f>
        <v>0</v>
      </c>
    </row>
    <row r="2405" spans="1:4" x14ac:dyDescent="0.3">
      <c r="A2405">
        <v>25</v>
      </c>
      <c r="B2405" t="s">
        <v>99</v>
      </c>
      <c r="C2405">
        <v>28</v>
      </c>
      <c r="D2405">
        <f>COUNTIF(WeeklyPicks!$D$242:$F$251,C2405)</f>
        <v>0</v>
      </c>
    </row>
    <row r="2406" spans="1:4" x14ac:dyDescent="0.3">
      <c r="A2406">
        <v>25</v>
      </c>
      <c r="B2406" t="s">
        <v>99</v>
      </c>
      <c r="C2406">
        <v>29</v>
      </c>
      <c r="D2406">
        <f>COUNTIF(WeeklyPicks!$D$242:$F$251,C2406)</f>
        <v>0</v>
      </c>
    </row>
    <row r="2407" spans="1:4" x14ac:dyDescent="0.3">
      <c r="A2407">
        <v>25</v>
      </c>
      <c r="B2407" t="s">
        <v>99</v>
      </c>
      <c r="C2407">
        <v>30</v>
      </c>
      <c r="D2407">
        <f>COUNTIF(WeeklyPicks!$D$242:$F$251,C2407)</f>
        <v>0</v>
      </c>
    </row>
    <row r="2408" spans="1:4" x14ac:dyDescent="0.3">
      <c r="A2408">
        <v>25</v>
      </c>
      <c r="B2408" t="s">
        <v>99</v>
      </c>
      <c r="C2408">
        <v>31</v>
      </c>
      <c r="D2408">
        <f>COUNTIF(WeeklyPicks!$D$242:$F$251,C2408)</f>
        <v>0</v>
      </c>
    </row>
    <row r="2409" spans="1:4" x14ac:dyDescent="0.3">
      <c r="A2409">
        <v>25</v>
      </c>
      <c r="B2409" t="s">
        <v>99</v>
      </c>
      <c r="C2409">
        <v>32</v>
      </c>
      <c r="D2409">
        <f>COUNTIF(WeeklyPicks!$D$242:$F$251,C2409)</f>
        <v>0</v>
      </c>
    </row>
    <row r="2410" spans="1:4" x14ac:dyDescent="0.3">
      <c r="A2410">
        <v>25</v>
      </c>
      <c r="B2410" t="s">
        <v>99</v>
      </c>
      <c r="C2410">
        <v>33</v>
      </c>
      <c r="D2410">
        <f>COUNTIF(WeeklyPicks!$D$242:$F$251,C2410)</f>
        <v>0</v>
      </c>
    </row>
    <row r="2411" spans="1:4" x14ac:dyDescent="0.3">
      <c r="A2411">
        <v>25</v>
      </c>
      <c r="B2411" t="s">
        <v>99</v>
      </c>
      <c r="C2411">
        <v>34</v>
      </c>
      <c r="D2411">
        <f>COUNTIF(WeeklyPicks!$D$242:$F$251,C2411)</f>
        <v>0</v>
      </c>
    </row>
    <row r="2412" spans="1:4" x14ac:dyDescent="0.3">
      <c r="A2412">
        <v>25</v>
      </c>
      <c r="B2412" t="s">
        <v>99</v>
      </c>
      <c r="C2412">
        <v>35</v>
      </c>
      <c r="D2412">
        <f>COUNTIF(WeeklyPicks!$D$242:$F$251,C2412)</f>
        <v>0</v>
      </c>
    </row>
    <row r="2413" spans="1:4" x14ac:dyDescent="0.3">
      <c r="A2413">
        <v>25</v>
      </c>
      <c r="B2413" t="s">
        <v>99</v>
      </c>
      <c r="C2413">
        <v>36</v>
      </c>
      <c r="D2413">
        <f>COUNTIF(WeeklyPicks!$D$242:$F$251,C2413)</f>
        <v>0</v>
      </c>
    </row>
    <row r="2414" spans="1:4" x14ac:dyDescent="0.3">
      <c r="A2414">
        <v>25</v>
      </c>
      <c r="B2414" t="s">
        <v>99</v>
      </c>
      <c r="C2414">
        <v>37</v>
      </c>
      <c r="D2414">
        <f>COUNTIF(WeeklyPicks!$D$242:$F$251,C2414)</f>
        <v>0</v>
      </c>
    </row>
    <row r="2415" spans="1:4" x14ac:dyDescent="0.3">
      <c r="A2415">
        <v>25</v>
      </c>
      <c r="B2415" t="s">
        <v>99</v>
      </c>
      <c r="C2415">
        <v>38</v>
      </c>
      <c r="D2415">
        <f>COUNTIF(WeeklyPicks!$D$242:$F$251,C2415)</f>
        <v>0</v>
      </c>
    </row>
    <row r="2416" spans="1:4" x14ac:dyDescent="0.3">
      <c r="A2416">
        <v>25</v>
      </c>
      <c r="B2416" t="s">
        <v>99</v>
      </c>
      <c r="C2416">
        <v>39</v>
      </c>
      <c r="D2416">
        <f>COUNTIF(WeeklyPicks!$D$242:$F$251,C2416)</f>
        <v>0</v>
      </c>
    </row>
    <row r="2417" spans="1:4" x14ac:dyDescent="0.3">
      <c r="A2417">
        <v>25</v>
      </c>
      <c r="B2417" t="s">
        <v>99</v>
      </c>
      <c r="C2417">
        <v>40</v>
      </c>
      <c r="D2417">
        <f>COUNTIF(WeeklyPicks!$D$242:$F$251,C2417)</f>
        <v>0</v>
      </c>
    </row>
    <row r="2418" spans="1:4" x14ac:dyDescent="0.3">
      <c r="A2418">
        <v>25</v>
      </c>
      <c r="B2418" t="s">
        <v>99</v>
      </c>
      <c r="C2418">
        <v>41</v>
      </c>
      <c r="D2418">
        <f>COUNTIF(WeeklyPicks!$D$242:$F$251,C2418)</f>
        <v>0</v>
      </c>
    </row>
    <row r="2419" spans="1:4" x14ac:dyDescent="0.3">
      <c r="A2419">
        <v>25</v>
      </c>
      <c r="B2419" t="s">
        <v>99</v>
      </c>
      <c r="C2419">
        <v>42</v>
      </c>
      <c r="D2419">
        <f>COUNTIF(WeeklyPicks!$D$242:$F$251,C2419)</f>
        <v>0</v>
      </c>
    </row>
    <row r="2420" spans="1:4" x14ac:dyDescent="0.3">
      <c r="A2420">
        <v>25</v>
      </c>
      <c r="B2420" t="s">
        <v>99</v>
      </c>
      <c r="C2420">
        <v>43</v>
      </c>
      <c r="D2420">
        <f>COUNTIF(WeeklyPicks!$D$242:$F$251,C2420)</f>
        <v>0</v>
      </c>
    </row>
    <row r="2421" spans="1:4" x14ac:dyDescent="0.3">
      <c r="A2421">
        <v>25</v>
      </c>
      <c r="B2421" t="s">
        <v>99</v>
      </c>
      <c r="C2421">
        <v>44</v>
      </c>
      <c r="D2421">
        <f>COUNTIF(WeeklyPicks!$D$242:$F$251,C2421)</f>
        <v>0</v>
      </c>
    </row>
    <row r="2422" spans="1:4" x14ac:dyDescent="0.3">
      <c r="A2422">
        <v>25</v>
      </c>
      <c r="B2422" t="s">
        <v>99</v>
      </c>
      <c r="C2422">
        <v>45</v>
      </c>
      <c r="D2422">
        <f>COUNTIF(WeeklyPicks!$D$242:$F$251,C2422)</f>
        <v>0</v>
      </c>
    </row>
    <row r="2423" spans="1:4" x14ac:dyDescent="0.3">
      <c r="A2423">
        <v>25</v>
      </c>
      <c r="B2423" t="s">
        <v>99</v>
      </c>
      <c r="C2423">
        <v>46</v>
      </c>
      <c r="D2423">
        <f>COUNTIF(WeeklyPicks!$D$242:$F$251,C2423)</f>
        <v>0</v>
      </c>
    </row>
    <row r="2424" spans="1:4" x14ac:dyDescent="0.3">
      <c r="A2424">
        <v>25</v>
      </c>
      <c r="B2424" t="s">
        <v>99</v>
      </c>
      <c r="C2424">
        <v>47</v>
      </c>
      <c r="D2424">
        <f>COUNTIF(WeeklyPicks!$D$242:$F$251,C2424)</f>
        <v>0</v>
      </c>
    </row>
    <row r="2425" spans="1:4" x14ac:dyDescent="0.3">
      <c r="A2425">
        <v>25</v>
      </c>
      <c r="B2425" t="s">
        <v>99</v>
      </c>
      <c r="C2425">
        <v>48</v>
      </c>
      <c r="D2425">
        <f>COUNTIF(WeeklyPicks!$D$242:$F$251,C2425)</f>
        <v>0</v>
      </c>
    </row>
    <row r="2426" spans="1:4" x14ac:dyDescent="0.3">
      <c r="A2426">
        <v>25</v>
      </c>
      <c r="B2426" t="s">
        <v>99</v>
      </c>
      <c r="C2426">
        <v>49</v>
      </c>
      <c r="D2426">
        <f>COUNTIF(WeeklyPicks!$D$242:$F$251,C2426)</f>
        <v>0</v>
      </c>
    </row>
    <row r="2427" spans="1:4" x14ac:dyDescent="0.3">
      <c r="A2427">
        <v>25</v>
      </c>
      <c r="B2427" t="s">
        <v>99</v>
      </c>
      <c r="C2427">
        <v>50</v>
      </c>
      <c r="D2427">
        <f>COUNTIF(WeeklyPicks!$D$242:$F$251,C2427)</f>
        <v>0</v>
      </c>
    </row>
    <row r="2428" spans="1:4" x14ac:dyDescent="0.3">
      <c r="A2428">
        <v>25</v>
      </c>
      <c r="B2428" t="s">
        <v>99</v>
      </c>
      <c r="C2428">
        <v>51</v>
      </c>
      <c r="D2428">
        <f>COUNTIF(WeeklyPicks!$D$242:$F$251,C2428)</f>
        <v>0</v>
      </c>
    </row>
    <row r="2429" spans="1:4" x14ac:dyDescent="0.3">
      <c r="A2429">
        <v>25</v>
      </c>
      <c r="B2429" t="s">
        <v>99</v>
      </c>
      <c r="C2429">
        <v>52</v>
      </c>
      <c r="D2429">
        <f>COUNTIF(WeeklyPicks!$D$242:$F$251,C2429)</f>
        <v>0</v>
      </c>
    </row>
    <row r="2430" spans="1:4" x14ac:dyDescent="0.3">
      <c r="A2430">
        <v>25</v>
      </c>
      <c r="B2430" t="s">
        <v>99</v>
      </c>
      <c r="C2430">
        <v>53</v>
      </c>
      <c r="D2430">
        <f>COUNTIF(WeeklyPicks!$D$242:$F$251,C2430)</f>
        <v>0</v>
      </c>
    </row>
    <row r="2431" spans="1:4" x14ac:dyDescent="0.3">
      <c r="A2431">
        <v>25</v>
      </c>
      <c r="B2431" t="s">
        <v>99</v>
      </c>
      <c r="C2431">
        <v>54</v>
      </c>
      <c r="D2431">
        <f>COUNTIF(WeeklyPicks!$D$242:$F$251,C2431)</f>
        <v>0</v>
      </c>
    </row>
    <row r="2432" spans="1:4" x14ac:dyDescent="0.3">
      <c r="A2432">
        <v>25</v>
      </c>
      <c r="B2432" t="s">
        <v>99</v>
      </c>
      <c r="C2432">
        <v>55</v>
      </c>
      <c r="D2432">
        <f>COUNTIF(WeeklyPicks!$D$242:$F$251,C2432)</f>
        <v>0</v>
      </c>
    </row>
    <row r="2433" spans="1:4" x14ac:dyDescent="0.3">
      <c r="A2433">
        <v>25</v>
      </c>
      <c r="B2433" t="s">
        <v>99</v>
      </c>
      <c r="C2433">
        <v>56</v>
      </c>
      <c r="D2433">
        <f>COUNTIF(WeeklyPicks!$D$242:$F$251,C2433)</f>
        <v>0</v>
      </c>
    </row>
    <row r="2434" spans="1:4" x14ac:dyDescent="0.3">
      <c r="A2434">
        <v>25</v>
      </c>
      <c r="B2434" t="s">
        <v>99</v>
      </c>
      <c r="C2434">
        <v>57</v>
      </c>
      <c r="D2434">
        <f>COUNTIF(WeeklyPicks!$D$242:$F$251,C2434)</f>
        <v>0</v>
      </c>
    </row>
    <row r="2435" spans="1:4" x14ac:dyDescent="0.3">
      <c r="A2435">
        <v>25</v>
      </c>
      <c r="B2435" t="s">
        <v>99</v>
      </c>
      <c r="C2435">
        <v>58</v>
      </c>
      <c r="D2435">
        <f>COUNTIF(WeeklyPicks!$D$242:$F$251,C2435)</f>
        <v>0</v>
      </c>
    </row>
    <row r="2436" spans="1:4" x14ac:dyDescent="0.3">
      <c r="A2436">
        <v>25</v>
      </c>
      <c r="B2436" t="s">
        <v>99</v>
      </c>
      <c r="C2436">
        <v>59</v>
      </c>
      <c r="D2436">
        <f>COUNTIF(WeeklyPicks!$D$242:$F$251,C2436)</f>
        <v>0</v>
      </c>
    </row>
    <row r="2437" spans="1:4" x14ac:dyDescent="0.3">
      <c r="A2437">
        <v>25</v>
      </c>
      <c r="B2437" t="s">
        <v>99</v>
      </c>
      <c r="C2437">
        <v>60</v>
      </c>
      <c r="D2437">
        <f>COUNTIF(WeeklyPicks!$D$242:$F$251,C2437)</f>
        <v>0</v>
      </c>
    </row>
    <row r="2438" spans="1:4" x14ac:dyDescent="0.3">
      <c r="A2438">
        <v>25</v>
      </c>
      <c r="B2438" t="s">
        <v>99</v>
      </c>
      <c r="C2438">
        <v>61</v>
      </c>
      <c r="D2438">
        <f>COUNTIF(WeeklyPicks!$D$242:$F$251,C2438)</f>
        <v>0</v>
      </c>
    </row>
    <row r="2439" spans="1:4" x14ac:dyDescent="0.3">
      <c r="A2439">
        <v>25</v>
      </c>
      <c r="B2439" t="s">
        <v>99</v>
      </c>
      <c r="C2439">
        <v>62</v>
      </c>
      <c r="D2439">
        <f>COUNTIF(WeeklyPicks!$D$242:$F$251,C2439)</f>
        <v>0</v>
      </c>
    </row>
    <row r="2440" spans="1:4" x14ac:dyDescent="0.3">
      <c r="A2440">
        <v>25</v>
      </c>
      <c r="B2440" t="s">
        <v>99</v>
      </c>
      <c r="C2440">
        <v>63</v>
      </c>
      <c r="D2440">
        <f>COUNTIF(WeeklyPicks!$D$242:$F$251,C2440)</f>
        <v>0</v>
      </c>
    </row>
    <row r="2441" spans="1:4" x14ac:dyDescent="0.3">
      <c r="A2441">
        <v>25</v>
      </c>
      <c r="B2441" t="s">
        <v>99</v>
      </c>
      <c r="C2441">
        <v>64</v>
      </c>
      <c r="D2441">
        <f>COUNTIF(WeeklyPicks!$D$242:$F$251,C2441)</f>
        <v>0</v>
      </c>
    </row>
    <row r="2442" spans="1:4" x14ac:dyDescent="0.3">
      <c r="A2442">
        <v>25</v>
      </c>
      <c r="B2442" t="s">
        <v>99</v>
      </c>
      <c r="C2442">
        <v>65</v>
      </c>
      <c r="D2442">
        <f>COUNTIF(WeeklyPicks!$D$242:$F$251,C2442)</f>
        <v>0</v>
      </c>
    </row>
    <row r="2443" spans="1:4" x14ac:dyDescent="0.3">
      <c r="A2443">
        <v>25</v>
      </c>
      <c r="B2443" t="s">
        <v>99</v>
      </c>
      <c r="C2443">
        <v>66</v>
      </c>
      <c r="D2443">
        <f>COUNTIF(WeeklyPicks!$D$242:$F$251,C2443)</f>
        <v>0</v>
      </c>
    </row>
    <row r="2444" spans="1:4" x14ac:dyDescent="0.3">
      <c r="A2444">
        <v>25</v>
      </c>
      <c r="B2444" t="s">
        <v>99</v>
      </c>
      <c r="C2444">
        <v>67</v>
      </c>
      <c r="D2444">
        <f>COUNTIF(WeeklyPicks!$D$242:$F$251,C2444)</f>
        <v>0</v>
      </c>
    </row>
    <row r="2445" spans="1:4" x14ac:dyDescent="0.3">
      <c r="A2445">
        <v>25</v>
      </c>
      <c r="B2445" t="s">
        <v>99</v>
      </c>
      <c r="C2445">
        <v>68</v>
      </c>
      <c r="D2445">
        <f>COUNTIF(WeeklyPicks!$D$242:$F$251,C2445)</f>
        <v>0</v>
      </c>
    </row>
    <row r="2446" spans="1:4" x14ac:dyDescent="0.3">
      <c r="A2446">
        <v>25</v>
      </c>
      <c r="B2446" t="s">
        <v>99</v>
      </c>
      <c r="C2446">
        <v>69</v>
      </c>
      <c r="D2446">
        <f>COUNTIF(WeeklyPicks!$D$242:$F$251,C2446)</f>
        <v>0</v>
      </c>
    </row>
    <row r="2447" spans="1:4" x14ac:dyDescent="0.3">
      <c r="A2447">
        <v>25</v>
      </c>
      <c r="B2447" t="s">
        <v>99</v>
      </c>
      <c r="C2447">
        <v>70</v>
      </c>
      <c r="D2447">
        <f>COUNTIF(WeeklyPicks!$D$242:$F$251,C2447)</f>
        <v>0</v>
      </c>
    </row>
    <row r="2448" spans="1:4" x14ac:dyDescent="0.3">
      <c r="A2448">
        <v>25</v>
      </c>
      <c r="B2448" t="s">
        <v>99</v>
      </c>
      <c r="C2448">
        <v>71</v>
      </c>
      <c r="D2448">
        <f>COUNTIF(WeeklyPicks!$D$242:$F$251,C2448)</f>
        <v>0</v>
      </c>
    </row>
    <row r="2449" spans="1:4" x14ac:dyDescent="0.3">
      <c r="A2449">
        <v>25</v>
      </c>
      <c r="B2449" t="s">
        <v>99</v>
      </c>
      <c r="C2449">
        <v>72</v>
      </c>
      <c r="D2449">
        <f>COUNTIF(WeeklyPicks!$D$242:$F$251,C2449)</f>
        <v>0</v>
      </c>
    </row>
    <row r="2450" spans="1:4" x14ac:dyDescent="0.3">
      <c r="A2450">
        <v>25</v>
      </c>
      <c r="B2450" t="s">
        <v>99</v>
      </c>
      <c r="C2450">
        <v>73</v>
      </c>
      <c r="D2450">
        <f>COUNTIF(WeeklyPicks!$D$242:$F$251,C2450)</f>
        <v>0</v>
      </c>
    </row>
    <row r="2451" spans="1:4" x14ac:dyDescent="0.3">
      <c r="A2451">
        <v>25</v>
      </c>
      <c r="B2451" t="s">
        <v>99</v>
      </c>
      <c r="C2451">
        <v>74</v>
      </c>
      <c r="D2451">
        <f>COUNTIF(WeeklyPicks!$D$242:$F$251,C2451)</f>
        <v>0</v>
      </c>
    </row>
    <row r="2452" spans="1:4" x14ac:dyDescent="0.3">
      <c r="A2452">
        <v>25</v>
      </c>
      <c r="B2452" t="s">
        <v>99</v>
      </c>
      <c r="C2452">
        <v>75</v>
      </c>
      <c r="D2452">
        <f>COUNTIF(WeeklyPicks!$D$242:$F$251,C2452)</f>
        <v>0</v>
      </c>
    </row>
    <row r="2453" spans="1:4" x14ac:dyDescent="0.3">
      <c r="A2453">
        <v>25</v>
      </c>
      <c r="B2453" t="s">
        <v>99</v>
      </c>
      <c r="C2453">
        <v>76</v>
      </c>
      <c r="D2453">
        <f>COUNTIF(WeeklyPicks!$D$242:$F$251,C2453)</f>
        <v>0</v>
      </c>
    </row>
    <row r="2454" spans="1:4" x14ac:dyDescent="0.3">
      <c r="A2454">
        <v>25</v>
      </c>
      <c r="B2454" t="s">
        <v>99</v>
      </c>
      <c r="C2454">
        <v>77</v>
      </c>
      <c r="D2454">
        <f>COUNTIF(WeeklyPicks!$D$242:$F$251,C2454)</f>
        <v>0</v>
      </c>
    </row>
    <row r="2455" spans="1:4" x14ac:dyDescent="0.3">
      <c r="A2455">
        <v>25</v>
      </c>
      <c r="B2455" t="s">
        <v>99</v>
      </c>
      <c r="C2455">
        <v>78</v>
      </c>
      <c r="D2455">
        <f>COUNTIF(WeeklyPicks!$D$242:$F$251,C2455)</f>
        <v>0</v>
      </c>
    </row>
    <row r="2456" spans="1:4" x14ac:dyDescent="0.3">
      <c r="A2456">
        <v>25</v>
      </c>
      <c r="B2456" t="s">
        <v>99</v>
      </c>
      <c r="C2456">
        <v>79</v>
      </c>
      <c r="D2456">
        <f>COUNTIF(WeeklyPicks!$D$242:$F$251,C2456)</f>
        <v>0</v>
      </c>
    </row>
    <row r="2457" spans="1:4" x14ac:dyDescent="0.3">
      <c r="A2457">
        <v>25</v>
      </c>
      <c r="B2457" t="s">
        <v>99</v>
      </c>
      <c r="C2457">
        <v>80</v>
      </c>
      <c r="D2457">
        <f>COUNTIF(WeeklyPicks!$D$242:$F$251,C2457)</f>
        <v>0</v>
      </c>
    </row>
    <row r="2458" spans="1:4" x14ac:dyDescent="0.3">
      <c r="A2458">
        <v>25</v>
      </c>
      <c r="B2458" t="s">
        <v>99</v>
      </c>
      <c r="C2458">
        <v>81</v>
      </c>
      <c r="D2458">
        <f>COUNTIF(WeeklyPicks!$D$242:$F$251,C2458)</f>
        <v>0</v>
      </c>
    </row>
    <row r="2459" spans="1:4" x14ac:dyDescent="0.3">
      <c r="A2459">
        <v>25</v>
      </c>
      <c r="B2459" t="s">
        <v>99</v>
      </c>
      <c r="C2459">
        <v>82</v>
      </c>
      <c r="D2459">
        <f>COUNTIF(WeeklyPicks!$D$242:$F$251,C2459)</f>
        <v>0</v>
      </c>
    </row>
    <row r="2460" spans="1:4" x14ac:dyDescent="0.3">
      <c r="A2460">
        <v>25</v>
      </c>
      <c r="B2460" t="s">
        <v>99</v>
      </c>
      <c r="C2460">
        <v>83</v>
      </c>
      <c r="D2460">
        <f>COUNTIF(WeeklyPicks!$D$242:$F$251,C2460)</f>
        <v>0</v>
      </c>
    </row>
    <row r="2461" spans="1:4" x14ac:dyDescent="0.3">
      <c r="A2461">
        <v>25</v>
      </c>
      <c r="B2461" t="s">
        <v>99</v>
      </c>
      <c r="C2461">
        <v>84</v>
      </c>
      <c r="D2461">
        <f>COUNTIF(WeeklyPicks!$D$242:$F$251,C2461)</f>
        <v>0</v>
      </c>
    </row>
    <row r="2462" spans="1:4" x14ac:dyDescent="0.3">
      <c r="A2462">
        <v>25</v>
      </c>
      <c r="B2462" t="s">
        <v>99</v>
      </c>
      <c r="C2462">
        <v>85</v>
      </c>
      <c r="D2462">
        <f>COUNTIF(WeeklyPicks!$D$242:$F$251,C2462)</f>
        <v>0</v>
      </c>
    </row>
    <row r="2463" spans="1:4" x14ac:dyDescent="0.3">
      <c r="A2463">
        <v>25</v>
      </c>
      <c r="B2463" t="s">
        <v>99</v>
      </c>
      <c r="C2463">
        <v>86</v>
      </c>
      <c r="D2463">
        <f>COUNTIF(WeeklyPicks!$D$242:$F$251,C2463)</f>
        <v>0</v>
      </c>
    </row>
    <row r="2464" spans="1:4" x14ac:dyDescent="0.3">
      <c r="A2464">
        <v>25</v>
      </c>
      <c r="B2464" t="s">
        <v>99</v>
      </c>
      <c r="C2464">
        <v>87</v>
      </c>
      <c r="D2464">
        <f>COUNTIF(WeeklyPicks!$D$242:$F$251,C2464)</f>
        <v>0</v>
      </c>
    </row>
    <row r="2465" spans="1:4" x14ac:dyDescent="0.3">
      <c r="A2465">
        <v>25</v>
      </c>
      <c r="B2465" t="s">
        <v>99</v>
      </c>
      <c r="C2465">
        <v>88</v>
      </c>
      <c r="D2465">
        <f>COUNTIF(WeeklyPicks!$D$242:$F$251,C2465)</f>
        <v>0</v>
      </c>
    </row>
    <row r="2466" spans="1:4" x14ac:dyDescent="0.3">
      <c r="A2466">
        <v>25</v>
      </c>
      <c r="B2466" t="s">
        <v>99</v>
      </c>
      <c r="C2466">
        <v>89</v>
      </c>
      <c r="D2466">
        <f>COUNTIF(WeeklyPicks!$D$242:$F$251,C2466)</f>
        <v>0</v>
      </c>
    </row>
    <row r="2467" spans="1:4" x14ac:dyDescent="0.3">
      <c r="A2467">
        <v>25</v>
      </c>
      <c r="B2467" t="s">
        <v>99</v>
      </c>
      <c r="C2467">
        <v>90</v>
      </c>
      <c r="D2467">
        <f>COUNTIF(WeeklyPicks!$D$242:$F$251,C2467)</f>
        <v>0</v>
      </c>
    </row>
    <row r="2468" spans="1:4" x14ac:dyDescent="0.3">
      <c r="A2468">
        <v>25</v>
      </c>
      <c r="B2468" t="s">
        <v>99</v>
      </c>
      <c r="C2468">
        <v>91</v>
      </c>
      <c r="D2468">
        <f>COUNTIF(WeeklyPicks!$D$242:$F$251,C2468)</f>
        <v>0</v>
      </c>
    </row>
    <row r="2469" spans="1:4" x14ac:dyDescent="0.3">
      <c r="A2469">
        <v>25</v>
      </c>
      <c r="B2469" t="s">
        <v>99</v>
      </c>
      <c r="C2469">
        <v>92</v>
      </c>
      <c r="D2469">
        <f>COUNTIF(WeeklyPicks!$D$242:$F$251,C2469)</f>
        <v>0</v>
      </c>
    </row>
    <row r="2470" spans="1:4" x14ac:dyDescent="0.3">
      <c r="A2470">
        <v>25</v>
      </c>
      <c r="B2470" t="s">
        <v>99</v>
      </c>
      <c r="C2470">
        <v>93</v>
      </c>
      <c r="D2470">
        <f>COUNTIF(WeeklyPicks!$D$242:$F$251,C2470)</f>
        <v>0</v>
      </c>
    </row>
    <row r="2471" spans="1:4" x14ac:dyDescent="0.3">
      <c r="A2471">
        <v>25</v>
      </c>
      <c r="B2471" t="s">
        <v>99</v>
      </c>
      <c r="C2471">
        <v>94</v>
      </c>
      <c r="D2471">
        <f>COUNTIF(WeeklyPicks!$D$242:$F$251,C2471)</f>
        <v>0</v>
      </c>
    </row>
    <row r="2472" spans="1:4" x14ac:dyDescent="0.3">
      <c r="A2472">
        <v>25</v>
      </c>
      <c r="B2472" t="s">
        <v>99</v>
      </c>
      <c r="C2472">
        <v>95</v>
      </c>
      <c r="D2472">
        <f>COUNTIF(WeeklyPicks!$D$242:$F$251,C2472)</f>
        <v>0</v>
      </c>
    </row>
    <row r="2473" spans="1:4" x14ac:dyDescent="0.3">
      <c r="A2473">
        <v>25</v>
      </c>
      <c r="B2473" t="s">
        <v>99</v>
      </c>
      <c r="C2473">
        <v>96</v>
      </c>
      <c r="D2473">
        <f>COUNTIF(WeeklyPicks!$D$242:$F$251,C2473)</f>
        <v>0</v>
      </c>
    </row>
    <row r="2474" spans="1:4" x14ac:dyDescent="0.3">
      <c r="A2474">
        <v>25</v>
      </c>
      <c r="B2474" t="s">
        <v>99</v>
      </c>
      <c r="C2474">
        <v>97</v>
      </c>
      <c r="D2474">
        <f>COUNTIF(WeeklyPicks!$D$242:$F$251,C2474)</f>
        <v>0</v>
      </c>
    </row>
    <row r="2475" spans="1:4" x14ac:dyDescent="0.3">
      <c r="A2475">
        <v>25</v>
      </c>
      <c r="B2475" t="s">
        <v>99</v>
      </c>
      <c r="C2475">
        <v>98</v>
      </c>
      <c r="D2475">
        <f>COUNTIF(WeeklyPicks!$D$242:$F$251,C2475)</f>
        <v>0</v>
      </c>
    </row>
    <row r="2476" spans="1:4" x14ac:dyDescent="0.3">
      <c r="A2476">
        <v>25</v>
      </c>
      <c r="B2476" t="s">
        <v>99</v>
      </c>
      <c r="C2476">
        <v>99</v>
      </c>
      <c r="D2476">
        <f>COUNTIF(WeeklyPicks!$D$242:$F$251,C2476)</f>
        <v>0</v>
      </c>
    </row>
    <row r="2477" spans="1:4" x14ac:dyDescent="0.3">
      <c r="A2477">
        <v>26</v>
      </c>
      <c r="B2477" t="s">
        <v>101</v>
      </c>
      <c r="C2477">
        <v>1</v>
      </c>
      <c r="D2477">
        <f>COUNTIF(WeeklyPicks!$D$252:$F$261,C2477)</f>
        <v>0</v>
      </c>
    </row>
    <row r="2478" spans="1:4" x14ac:dyDescent="0.3">
      <c r="A2478">
        <v>26</v>
      </c>
      <c r="B2478" t="s">
        <v>101</v>
      </c>
      <c r="C2478">
        <v>2</v>
      </c>
      <c r="D2478">
        <f>COUNTIF(WeeklyPicks!$D$252:$F$261,C2478)</f>
        <v>0</v>
      </c>
    </row>
    <row r="2479" spans="1:4" x14ac:dyDescent="0.3">
      <c r="A2479">
        <v>26</v>
      </c>
      <c r="B2479" t="s">
        <v>101</v>
      </c>
      <c r="C2479">
        <v>3</v>
      </c>
      <c r="D2479">
        <f>COUNTIF(WeeklyPicks!$D$252:$F$261,C2479)</f>
        <v>0</v>
      </c>
    </row>
    <row r="2480" spans="1:4" x14ac:dyDescent="0.3">
      <c r="A2480">
        <v>26</v>
      </c>
      <c r="B2480" t="s">
        <v>101</v>
      </c>
      <c r="C2480">
        <v>4</v>
      </c>
      <c r="D2480">
        <f>COUNTIF(WeeklyPicks!$D$252:$F$261,C2480)</f>
        <v>0</v>
      </c>
    </row>
    <row r="2481" spans="1:4" x14ac:dyDescent="0.3">
      <c r="A2481">
        <v>26</v>
      </c>
      <c r="B2481" t="s">
        <v>101</v>
      </c>
      <c r="C2481">
        <v>5</v>
      </c>
      <c r="D2481">
        <f>COUNTIF(WeeklyPicks!$D$252:$F$261,C2481)</f>
        <v>0</v>
      </c>
    </row>
    <row r="2482" spans="1:4" x14ac:dyDescent="0.3">
      <c r="A2482">
        <v>26</v>
      </c>
      <c r="B2482" t="s">
        <v>101</v>
      </c>
      <c r="C2482">
        <v>6</v>
      </c>
      <c r="D2482">
        <f>COUNTIF(WeeklyPicks!$D$252:$F$261,C2482)</f>
        <v>0</v>
      </c>
    </row>
    <row r="2483" spans="1:4" x14ac:dyDescent="0.3">
      <c r="A2483">
        <v>26</v>
      </c>
      <c r="B2483" t="s">
        <v>101</v>
      </c>
      <c r="C2483">
        <v>7</v>
      </c>
      <c r="D2483">
        <f>COUNTIF(WeeklyPicks!$D$252:$F$261,C2483)</f>
        <v>0</v>
      </c>
    </row>
    <row r="2484" spans="1:4" x14ac:dyDescent="0.3">
      <c r="A2484">
        <v>26</v>
      </c>
      <c r="B2484" t="s">
        <v>101</v>
      </c>
      <c r="C2484">
        <v>8</v>
      </c>
      <c r="D2484">
        <f>COUNTIF(WeeklyPicks!$D$252:$F$261,C2484)</f>
        <v>0</v>
      </c>
    </row>
    <row r="2485" spans="1:4" x14ac:dyDescent="0.3">
      <c r="A2485">
        <v>26</v>
      </c>
      <c r="B2485" t="s">
        <v>101</v>
      </c>
      <c r="C2485">
        <v>9</v>
      </c>
      <c r="D2485">
        <f>COUNTIF(WeeklyPicks!$D$252:$F$261,C2485)</f>
        <v>0</v>
      </c>
    </row>
    <row r="2486" spans="1:4" x14ac:dyDescent="0.3">
      <c r="A2486">
        <v>26</v>
      </c>
      <c r="B2486" t="s">
        <v>101</v>
      </c>
      <c r="C2486">
        <v>10</v>
      </c>
      <c r="D2486">
        <f>COUNTIF(WeeklyPicks!$D$252:$F$261,C2486)</f>
        <v>0</v>
      </c>
    </row>
    <row r="2487" spans="1:4" x14ac:dyDescent="0.3">
      <c r="A2487">
        <v>26</v>
      </c>
      <c r="B2487" t="s">
        <v>101</v>
      </c>
      <c r="C2487">
        <v>11</v>
      </c>
      <c r="D2487">
        <f>COUNTIF(WeeklyPicks!$D$252:$F$261,C2487)</f>
        <v>0</v>
      </c>
    </row>
    <row r="2488" spans="1:4" x14ac:dyDescent="0.3">
      <c r="A2488">
        <v>26</v>
      </c>
      <c r="B2488" t="s">
        <v>101</v>
      </c>
      <c r="C2488">
        <v>12</v>
      </c>
      <c r="D2488">
        <f>COUNTIF(WeeklyPicks!$D$252:$F$261,C2488)</f>
        <v>0</v>
      </c>
    </row>
    <row r="2489" spans="1:4" x14ac:dyDescent="0.3">
      <c r="A2489">
        <v>26</v>
      </c>
      <c r="B2489" t="s">
        <v>101</v>
      </c>
      <c r="C2489">
        <v>13</v>
      </c>
      <c r="D2489">
        <f>COUNTIF(WeeklyPicks!$D$252:$F$261,C2489)</f>
        <v>0</v>
      </c>
    </row>
    <row r="2490" spans="1:4" x14ac:dyDescent="0.3">
      <c r="A2490">
        <v>26</v>
      </c>
      <c r="B2490" t="s">
        <v>101</v>
      </c>
      <c r="C2490">
        <v>14</v>
      </c>
      <c r="D2490">
        <f>COUNTIF(WeeklyPicks!$D$252:$F$261,C2490)</f>
        <v>0</v>
      </c>
    </row>
    <row r="2491" spans="1:4" x14ac:dyDescent="0.3">
      <c r="A2491">
        <v>26</v>
      </c>
      <c r="B2491" t="s">
        <v>101</v>
      </c>
      <c r="C2491">
        <v>15</v>
      </c>
      <c r="D2491">
        <f>COUNTIF(WeeklyPicks!$D$252:$F$261,C2491)</f>
        <v>0</v>
      </c>
    </row>
    <row r="2492" spans="1:4" x14ac:dyDescent="0.3">
      <c r="A2492">
        <v>26</v>
      </c>
      <c r="B2492" t="s">
        <v>101</v>
      </c>
      <c r="C2492">
        <v>16</v>
      </c>
      <c r="D2492">
        <f>COUNTIF(WeeklyPicks!$D$252:$F$261,C2492)</f>
        <v>0</v>
      </c>
    </row>
    <row r="2493" spans="1:4" x14ac:dyDescent="0.3">
      <c r="A2493">
        <v>26</v>
      </c>
      <c r="B2493" t="s">
        <v>101</v>
      </c>
      <c r="C2493">
        <v>17</v>
      </c>
      <c r="D2493">
        <f>COUNTIF(WeeklyPicks!$D$252:$F$261,C2493)</f>
        <v>0</v>
      </c>
    </row>
    <row r="2494" spans="1:4" x14ac:dyDescent="0.3">
      <c r="A2494">
        <v>26</v>
      </c>
      <c r="B2494" t="s">
        <v>101</v>
      </c>
      <c r="C2494">
        <v>18</v>
      </c>
      <c r="D2494">
        <f>COUNTIF(WeeklyPicks!$D$252:$F$261,C2494)</f>
        <v>0</v>
      </c>
    </row>
    <row r="2495" spans="1:4" x14ac:dyDescent="0.3">
      <c r="A2495">
        <v>26</v>
      </c>
      <c r="B2495" t="s">
        <v>101</v>
      </c>
      <c r="C2495">
        <v>19</v>
      </c>
      <c r="D2495">
        <f>COUNTIF(WeeklyPicks!$D$252:$F$261,C2495)</f>
        <v>0</v>
      </c>
    </row>
    <row r="2496" spans="1:4" x14ac:dyDescent="0.3">
      <c r="A2496">
        <v>26</v>
      </c>
      <c r="B2496" t="s">
        <v>101</v>
      </c>
      <c r="C2496">
        <v>20</v>
      </c>
      <c r="D2496">
        <f>COUNTIF(WeeklyPicks!$D$252:$F$261,C2496)</f>
        <v>0</v>
      </c>
    </row>
    <row r="2497" spans="1:4" x14ac:dyDescent="0.3">
      <c r="A2497">
        <v>26</v>
      </c>
      <c r="B2497" t="s">
        <v>101</v>
      </c>
      <c r="C2497">
        <v>21</v>
      </c>
      <c r="D2497">
        <f>COUNTIF(WeeklyPicks!$D$252:$F$261,C2497)</f>
        <v>0</v>
      </c>
    </row>
    <row r="2498" spans="1:4" x14ac:dyDescent="0.3">
      <c r="A2498">
        <v>26</v>
      </c>
      <c r="B2498" t="s">
        <v>101</v>
      </c>
      <c r="C2498">
        <v>22</v>
      </c>
      <c r="D2498">
        <f>COUNTIF(WeeklyPicks!$D$252:$F$261,C2498)</f>
        <v>0</v>
      </c>
    </row>
    <row r="2499" spans="1:4" x14ac:dyDescent="0.3">
      <c r="A2499">
        <v>26</v>
      </c>
      <c r="B2499" t="s">
        <v>101</v>
      </c>
      <c r="C2499">
        <v>23</v>
      </c>
      <c r="D2499">
        <f>COUNTIF(WeeklyPicks!$D$252:$F$261,C2499)</f>
        <v>0</v>
      </c>
    </row>
    <row r="2500" spans="1:4" x14ac:dyDescent="0.3">
      <c r="A2500">
        <v>26</v>
      </c>
      <c r="B2500" t="s">
        <v>101</v>
      </c>
      <c r="C2500">
        <v>24</v>
      </c>
      <c r="D2500">
        <f>COUNTIF(WeeklyPicks!$D$252:$F$261,C2500)</f>
        <v>0</v>
      </c>
    </row>
    <row r="2501" spans="1:4" x14ac:dyDescent="0.3">
      <c r="A2501">
        <v>26</v>
      </c>
      <c r="B2501" t="s">
        <v>101</v>
      </c>
      <c r="C2501">
        <v>25</v>
      </c>
      <c r="D2501">
        <f>COUNTIF(WeeklyPicks!$D$252:$F$261,C2501)</f>
        <v>0</v>
      </c>
    </row>
    <row r="2502" spans="1:4" x14ac:dyDescent="0.3">
      <c r="A2502">
        <v>26</v>
      </c>
      <c r="B2502" t="s">
        <v>101</v>
      </c>
      <c r="C2502">
        <v>26</v>
      </c>
      <c r="D2502">
        <f>COUNTIF(WeeklyPicks!$D$252:$F$261,C2502)</f>
        <v>0</v>
      </c>
    </row>
    <row r="2503" spans="1:4" x14ac:dyDescent="0.3">
      <c r="A2503">
        <v>26</v>
      </c>
      <c r="B2503" t="s">
        <v>101</v>
      </c>
      <c r="C2503">
        <v>27</v>
      </c>
      <c r="D2503">
        <f>COUNTIF(WeeklyPicks!$D$252:$F$261,C2503)</f>
        <v>0</v>
      </c>
    </row>
    <row r="2504" spans="1:4" x14ac:dyDescent="0.3">
      <c r="A2504">
        <v>26</v>
      </c>
      <c r="B2504" t="s">
        <v>101</v>
      </c>
      <c r="C2504">
        <v>28</v>
      </c>
      <c r="D2504">
        <f>COUNTIF(WeeklyPicks!$D$252:$F$261,C2504)</f>
        <v>0</v>
      </c>
    </row>
    <row r="2505" spans="1:4" x14ac:dyDescent="0.3">
      <c r="A2505">
        <v>26</v>
      </c>
      <c r="B2505" t="s">
        <v>101</v>
      </c>
      <c r="C2505">
        <v>29</v>
      </c>
      <c r="D2505">
        <f>COUNTIF(WeeklyPicks!$D$252:$F$261,C2505)</f>
        <v>0</v>
      </c>
    </row>
    <row r="2506" spans="1:4" x14ac:dyDescent="0.3">
      <c r="A2506">
        <v>26</v>
      </c>
      <c r="B2506" t="s">
        <v>101</v>
      </c>
      <c r="C2506">
        <v>30</v>
      </c>
      <c r="D2506">
        <f>COUNTIF(WeeklyPicks!$D$252:$F$261,C2506)</f>
        <v>0</v>
      </c>
    </row>
    <row r="2507" spans="1:4" x14ac:dyDescent="0.3">
      <c r="A2507">
        <v>26</v>
      </c>
      <c r="B2507" t="s">
        <v>101</v>
      </c>
      <c r="C2507">
        <v>31</v>
      </c>
      <c r="D2507">
        <f>COUNTIF(WeeklyPicks!$D$252:$F$261,C2507)</f>
        <v>0</v>
      </c>
    </row>
    <row r="2508" spans="1:4" x14ac:dyDescent="0.3">
      <c r="A2508">
        <v>26</v>
      </c>
      <c r="B2508" t="s">
        <v>101</v>
      </c>
      <c r="C2508">
        <v>32</v>
      </c>
      <c r="D2508">
        <f>COUNTIF(WeeklyPicks!$D$252:$F$261,C2508)</f>
        <v>0</v>
      </c>
    </row>
    <row r="2509" spans="1:4" x14ac:dyDescent="0.3">
      <c r="A2509">
        <v>26</v>
      </c>
      <c r="B2509" t="s">
        <v>101</v>
      </c>
      <c r="C2509">
        <v>33</v>
      </c>
      <c r="D2509">
        <f>COUNTIF(WeeklyPicks!$D$252:$F$261,C2509)</f>
        <v>0</v>
      </c>
    </row>
    <row r="2510" spans="1:4" x14ac:dyDescent="0.3">
      <c r="A2510">
        <v>26</v>
      </c>
      <c r="B2510" t="s">
        <v>101</v>
      </c>
      <c r="C2510">
        <v>34</v>
      </c>
      <c r="D2510">
        <f>COUNTIF(WeeklyPicks!$D$252:$F$261,C2510)</f>
        <v>0</v>
      </c>
    </row>
    <row r="2511" spans="1:4" x14ac:dyDescent="0.3">
      <c r="A2511">
        <v>26</v>
      </c>
      <c r="B2511" t="s">
        <v>101</v>
      </c>
      <c r="C2511">
        <v>35</v>
      </c>
      <c r="D2511">
        <f>COUNTIF(WeeklyPicks!$D$252:$F$261,C2511)</f>
        <v>0</v>
      </c>
    </row>
    <row r="2512" spans="1:4" x14ac:dyDescent="0.3">
      <c r="A2512">
        <v>26</v>
      </c>
      <c r="B2512" t="s">
        <v>101</v>
      </c>
      <c r="C2512">
        <v>36</v>
      </c>
      <c r="D2512">
        <f>COUNTIF(WeeklyPicks!$D$252:$F$261,C2512)</f>
        <v>0</v>
      </c>
    </row>
    <row r="2513" spans="1:4" x14ac:dyDescent="0.3">
      <c r="A2513">
        <v>26</v>
      </c>
      <c r="B2513" t="s">
        <v>101</v>
      </c>
      <c r="C2513">
        <v>37</v>
      </c>
      <c r="D2513">
        <f>COUNTIF(WeeklyPicks!$D$252:$F$261,C2513)</f>
        <v>0</v>
      </c>
    </row>
    <row r="2514" spans="1:4" x14ac:dyDescent="0.3">
      <c r="A2514">
        <v>26</v>
      </c>
      <c r="B2514" t="s">
        <v>101</v>
      </c>
      <c r="C2514">
        <v>38</v>
      </c>
      <c r="D2514">
        <f>COUNTIF(WeeklyPicks!$D$252:$F$261,C2514)</f>
        <v>0</v>
      </c>
    </row>
    <row r="2515" spans="1:4" x14ac:dyDescent="0.3">
      <c r="A2515">
        <v>26</v>
      </c>
      <c r="B2515" t="s">
        <v>101</v>
      </c>
      <c r="C2515">
        <v>39</v>
      </c>
      <c r="D2515">
        <f>COUNTIF(WeeklyPicks!$D$252:$F$261,C2515)</f>
        <v>0</v>
      </c>
    </row>
    <row r="2516" spans="1:4" x14ac:dyDescent="0.3">
      <c r="A2516">
        <v>26</v>
      </c>
      <c r="B2516" t="s">
        <v>101</v>
      </c>
      <c r="C2516">
        <v>40</v>
      </c>
      <c r="D2516">
        <f>COUNTIF(WeeklyPicks!$D$252:$F$261,C2516)</f>
        <v>0</v>
      </c>
    </row>
    <row r="2517" spans="1:4" x14ac:dyDescent="0.3">
      <c r="A2517">
        <v>26</v>
      </c>
      <c r="B2517" t="s">
        <v>101</v>
      </c>
      <c r="C2517">
        <v>41</v>
      </c>
      <c r="D2517">
        <f>COUNTIF(WeeklyPicks!$D$252:$F$261,C2517)</f>
        <v>0</v>
      </c>
    </row>
    <row r="2518" spans="1:4" x14ac:dyDescent="0.3">
      <c r="A2518">
        <v>26</v>
      </c>
      <c r="B2518" t="s">
        <v>101</v>
      </c>
      <c r="C2518">
        <v>42</v>
      </c>
      <c r="D2518">
        <f>COUNTIF(WeeklyPicks!$D$252:$F$261,C2518)</f>
        <v>0</v>
      </c>
    </row>
    <row r="2519" spans="1:4" x14ac:dyDescent="0.3">
      <c r="A2519">
        <v>26</v>
      </c>
      <c r="B2519" t="s">
        <v>101</v>
      </c>
      <c r="C2519">
        <v>43</v>
      </c>
      <c r="D2519">
        <f>COUNTIF(WeeklyPicks!$D$252:$F$261,C2519)</f>
        <v>0</v>
      </c>
    </row>
    <row r="2520" spans="1:4" x14ac:dyDescent="0.3">
      <c r="A2520">
        <v>26</v>
      </c>
      <c r="B2520" t="s">
        <v>101</v>
      </c>
      <c r="C2520">
        <v>44</v>
      </c>
      <c r="D2520">
        <f>COUNTIF(WeeklyPicks!$D$252:$F$261,C2520)</f>
        <v>0</v>
      </c>
    </row>
    <row r="2521" spans="1:4" x14ac:dyDescent="0.3">
      <c r="A2521">
        <v>26</v>
      </c>
      <c r="B2521" t="s">
        <v>101</v>
      </c>
      <c r="C2521">
        <v>45</v>
      </c>
      <c r="D2521">
        <f>COUNTIF(WeeklyPicks!$D$252:$F$261,C2521)</f>
        <v>0</v>
      </c>
    </row>
    <row r="2522" spans="1:4" x14ac:dyDescent="0.3">
      <c r="A2522">
        <v>26</v>
      </c>
      <c r="B2522" t="s">
        <v>101</v>
      </c>
      <c r="C2522">
        <v>46</v>
      </c>
      <c r="D2522">
        <f>COUNTIF(WeeklyPicks!$D$252:$F$261,C2522)</f>
        <v>0</v>
      </c>
    </row>
    <row r="2523" spans="1:4" x14ac:dyDescent="0.3">
      <c r="A2523">
        <v>26</v>
      </c>
      <c r="B2523" t="s">
        <v>101</v>
      </c>
      <c r="C2523">
        <v>47</v>
      </c>
      <c r="D2523">
        <f>COUNTIF(WeeklyPicks!$D$252:$F$261,C2523)</f>
        <v>0</v>
      </c>
    </row>
    <row r="2524" spans="1:4" x14ac:dyDescent="0.3">
      <c r="A2524">
        <v>26</v>
      </c>
      <c r="B2524" t="s">
        <v>101</v>
      </c>
      <c r="C2524">
        <v>48</v>
      </c>
      <c r="D2524">
        <f>COUNTIF(WeeklyPicks!$D$252:$F$261,C2524)</f>
        <v>0</v>
      </c>
    </row>
    <row r="2525" spans="1:4" x14ac:dyDescent="0.3">
      <c r="A2525">
        <v>26</v>
      </c>
      <c r="B2525" t="s">
        <v>101</v>
      </c>
      <c r="C2525">
        <v>49</v>
      </c>
      <c r="D2525">
        <f>COUNTIF(WeeklyPicks!$D$252:$F$261,C2525)</f>
        <v>0</v>
      </c>
    </row>
    <row r="2526" spans="1:4" x14ac:dyDescent="0.3">
      <c r="A2526">
        <v>26</v>
      </c>
      <c r="B2526" t="s">
        <v>101</v>
      </c>
      <c r="C2526">
        <v>50</v>
      </c>
      <c r="D2526">
        <f>COUNTIF(WeeklyPicks!$D$252:$F$261,C2526)</f>
        <v>0</v>
      </c>
    </row>
    <row r="2527" spans="1:4" x14ac:dyDescent="0.3">
      <c r="A2527">
        <v>26</v>
      </c>
      <c r="B2527" t="s">
        <v>101</v>
      </c>
      <c r="C2527">
        <v>51</v>
      </c>
      <c r="D2527">
        <f>COUNTIF(WeeklyPicks!$D$252:$F$261,C2527)</f>
        <v>0</v>
      </c>
    </row>
    <row r="2528" spans="1:4" x14ac:dyDescent="0.3">
      <c r="A2528">
        <v>26</v>
      </c>
      <c r="B2528" t="s">
        <v>101</v>
      </c>
      <c r="C2528">
        <v>52</v>
      </c>
      <c r="D2528">
        <f>COUNTIF(WeeklyPicks!$D$252:$F$261,C2528)</f>
        <v>0</v>
      </c>
    </row>
    <row r="2529" spans="1:4" x14ac:dyDescent="0.3">
      <c r="A2529">
        <v>26</v>
      </c>
      <c r="B2529" t="s">
        <v>101</v>
      </c>
      <c r="C2529">
        <v>53</v>
      </c>
      <c r="D2529">
        <f>COUNTIF(WeeklyPicks!$D$252:$F$261,C2529)</f>
        <v>0</v>
      </c>
    </row>
    <row r="2530" spans="1:4" x14ac:dyDescent="0.3">
      <c r="A2530">
        <v>26</v>
      </c>
      <c r="B2530" t="s">
        <v>101</v>
      </c>
      <c r="C2530">
        <v>54</v>
      </c>
      <c r="D2530">
        <f>COUNTIF(WeeklyPicks!$D$252:$F$261,C2530)</f>
        <v>0</v>
      </c>
    </row>
    <row r="2531" spans="1:4" x14ac:dyDescent="0.3">
      <c r="A2531">
        <v>26</v>
      </c>
      <c r="B2531" t="s">
        <v>101</v>
      </c>
      <c r="C2531">
        <v>55</v>
      </c>
      <c r="D2531">
        <f>COUNTIF(WeeklyPicks!$D$252:$F$261,C2531)</f>
        <v>0</v>
      </c>
    </row>
    <row r="2532" spans="1:4" x14ac:dyDescent="0.3">
      <c r="A2532">
        <v>26</v>
      </c>
      <c r="B2532" t="s">
        <v>101</v>
      </c>
      <c r="C2532">
        <v>56</v>
      </c>
      <c r="D2532">
        <f>COUNTIF(WeeklyPicks!$D$252:$F$261,C2532)</f>
        <v>0</v>
      </c>
    </row>
    <row r="2533" spans="1:4" x14ac:dyDescent="0.3">
      <c r="A2533">
        <v>26</v>
      </c>
      <c r="B2533" t="s">
        <v>101</v>
      </c>
      <c r="C2533">
        <v>57</v>
      </c>
      <c r="D2533">
        <f>COUNTIF(WeeklyPicks!$D$252:$F$261,C2533)</f>
        <v>0</v>
      </c>
    </row>
    <row r="2534" spans="1:4" x14ac:dyDescent="0.3">
      <c r="A2534">
        <v>26</v>
      </c>
      <c r="B2534" t="s">
        <v>101</v>
      </c>
      <c r="C2534">
        <v>58</v>
      </c>
      <c r="D2534">
        <f>COUNTIF(WeeklyPicks!$D$252:$F$261,C2534)</f>
        <v>0</v>
      </c>
    </row>
    <row r="2535" spans="1:4" x14ac:dyDescent="0.3">
      <c r="A2535">
        <v>26</v>
      </c>
      <c r="B2535" t="s">
        <v>101</v>
      </c>
      <c r="C2535">
        <v>59</v>
      </c>
      <c r="D2535">
        <f>COUNTIF(WeeklyPicks!$D$252:$F$261,C2535)</f>
        <v>0</v>
      </c>
    </row>
    <row r="2536" spans="1:4" x14ac:dyDescent="0.3">
      <c r="A2536">
        <v>26</v>
      </c>
      <c r="B2536" t="s">
        <v>101</v>
      </c>
      <c r="C2536">
        <v>60</v>
      </c>
      <c r="D2536">
        <f>COUNTIF(WeeklyPicks!$D$252:$F$261,C2536)</f>
        <v>0</v>
      </c>
    </row>
    <row r="2537" spans="1:4" x14ac:dyDescent="0.3">
      <c r="A2537">
        <v>26</v>
      </c>
      <c r="B2537" t="s">
        <v>101</v>
      </c>
      <c r="C2537">
        <v>61</v>
      </c>
      <c r="D2537">
        <f>COUNTIF(WeeklyPicks!$D$252:$F$261,C2537)</f>
        <v>0</v>
      </c>
    </row>
    <row r="2538" spans="1:4" x14ac:dyDescent="0.3">
      <c r="A2538">
        <v>26</v>
      </c>
      <c r="B2538" t="s">
        <v>101</v>
      </c>
      <c r="C2538">
        <v>62</v>
      </c>
      <c r="D2538">
        <f>COUNTIF(WeeklyPicks!$D$252:$F$261,C2538)</f>
        <v>0</v>
      </c>
    </row>
    <row r="2539" spans="1:4" x14ac:dyDescent="0.3">
      <c r="A2539">
        <v>26</v>
      </c>
      <c r="B2539" t="s">
        <v>101</v>
      </c>
      <c r="C2539">
        <v>63</v>
      </c>
      <c r="D2539">
        <f>COUNTIF(WeeklyPicks!$D$252:$F$261,C2539)</f>
        <v>0</v>
      </c>
    </row>
    <row r="2540" spans="1:4" x14ac:dyDescent="0.3">
      <c r="A2540">
        <v>26</v>
      </c>
      <c r="B2540" t="s">
        <v>101</v>
      </c>
      <c r="C2540">
        <v>64</v>
      </c>
      <c r="D2540">
        <f>COUNTIF(WeeklyPicks!$D$252:$F$261,C2540)</f>
        <v>0</v>
      </c>
    </row>
    <row r="2541" spans="1:4" x14ac:dyDescent="0.3">
      <c r="A2541">
        <v>26</v>
      </c>
      <c r="B2541" t="s">
        <v>101</v>
      </c>
      <c r="C2541">
        <v>65</v>
      </c>
      <c r="D2541">
        <f>COUNTIF(WeeklyPicks!$D$252:$F$261,C2541)</f>
        <v>0</v>
      </c>
    </row>
    <row r="2542" spans="1:4" x14ac:dyDescent="0.3">
      <c r="A2542">
        <v>26</v>
      </c>
      <c r="B2542" t="s">
        <v>101</v>
      </c>
      <c r="C2542">
        <v>66</v>
      </c>
      <c r="D2542">
        <f>COUNTIF(WeeklyPicks!$D$252:$F$261,C2542)</f>
        <v>0</v>
      </c>
    </row>
    <row r="2543" spans="1:4" x14ac:dyDescent="0.3">
      <c r="A2543">
        <v>26</v>
      </c>
      <c r="B2543" t="s">
        <v>101</v>
      </c>
      <c r="C2543">
        <v>67</v>
      </c>
      <c r="D2543">
        <f>COUNTIF(WeeklyPicks!$D$252:$F$261,C2543)</f>
        <v>0</v>
      </c>
    </row>
    <row r="2544" spans="1:4" x14ac:dyDescent="0.3">
      <c r="A2544">
        <v>26</v>
      </c>
      <c r="B2544" t="s">
        <v>101</v>
      </c>
      <c r="C2544">
        <v>68</v>
      </c>
      <c r="D2544">
        <f>COUNTIF(WeeklyPicks!$D$252:$F$261,C2544)</f>
        <v>0</v>
      </c>
    </row>
    <row r="2545" spans="1:4" x14ac:dyDescent="0.3">
      <c r="A2545">
        <v>26</v>
      </c>
      <c r="B2545" t="s">
        <v>101</v>
      </c>
      <c r="C2545">
        <v>69</v>
      </c>
      <c r="D2545">
        <f>COUNTIF(WeeklyPicks!$D$252:$F$261,C2545)</f>
        <v>0</v>
      </c>
    </row>
    <row r="2546" spans="1:4" x14ac:dyDescent="0.3">
      <c r="A2546">
        <v>26</v>
      </c>
      <c r="B2546" t="s">
        <v>101</v>
      </c>
      <c r="C2546">
        <v>70</v>
      </c>
      <c r="D2546">
        <f>COUNTIF(WeeklyPicks!$D$252:$F$261,C2546)</f>
        <v>0</v>
      </c>
    </row>
    <row r="2547" spans="1:4" x14ac:dyDescent="0.3">
      <c r="A2547">
        <v>26</v>
      </c>
      <c r="B2547" t="s">
        <v>101</v>
      </c>
      <c r="C2547">
        <v>71</v>
      </c>
      <c r="D2547">
        <f>COUNTIF(WeeklyPicks!$D$252:$F$261,C2547)</f>
        <v>0</v>
      </c>
    </row>
    <row r="2548" spans="1:4" x14ac:dyDescent="0.3">
      <c r="A2548">
        <v>26</v>
      </c>
      <c r="B2548" t="s">
        <v>101</v>
      </c>
      <c r="C2548">
        <v>72</v>
      </c>
      <c r="D2548">
        <f>COUNTIF(WeeklyPicks!$D$252:$F$261,C2548)</f>
        <v>0</v>
      </c>
    </row>
    <row r="2549" spans="1:4" x14ac:dyDescent="0.3">
      <c r="A2549">
        <v>26</v>
      </c>
      <c r="B2549" t="s">
        <v>101</v>
      </c>
      <c r="C2549">
        <v>73</v>
      </c>
      <c r="D2549">
        <f>COUNTIF(WeeklyPicks!$D$252:$F$261,C2549)</f>
        <v>0</v>
      </c>
    </row>
    <row r="2550" spans="1:4" x14ac:dyDescent="0.3">
      <c r="A2550">
        <v>26</v>
      </c>
      <c r="B2550" t="s">
        <v>101</v>
      </c>
      <c r="C2550">
        <v>74</v>
      </c>
      <c r="D2550">
        <f>COUNTIF(WeeklyPicks!$D$252:$F$261,C2550)</f>
        <v>0</v>
      </c>
    </row>
    <row r="2551" spans="1:4" x14ac:dyDescent="0.3">
      <c r="A2551">
        <v>26</v>
      </c>
      <c r="B2551" t="s">
        <v>101</v>
      </c>
      <c r="C2551">
        <v>75</v>
      </c>
      <c r="D2551">
        <f>COUNTIF(WeeklyPicks!$D$252:$F$261,C2551)</f>
        <v>0</v>
      </c>
    </row>
    <row r="2552" spans="1:4" x14ac:dyDescent="0.3">
      <c r="A2552">
        <v>26</v>
      </c>
      <c r="B2552" t="s">
        <v>101</v>
      </c>
      <c r="C2552">
        <v>76</v>
      </c>
      <c r="D2552">
        <f>COUNTIF(WeeklyPicks!$D$252:$F$261,C2552)</f>
        <v>0</v>
      </c>
    </row>
    <row r="2553" spans="1:4" x14ac:dyDescent="0.3">
      <c r="A2553">
        <v>26</v>
      </c>
      <c r="B2553" t="s">
        <v>101</v>
      </c>
      <c r="C2553">
        <v>77</v>
      </c>
      <c r="D2553">
        <f>COUNTIF(WeeklyPicks!$D$252:$F$261,C2553)</f>
        <v>0</v>
      </c>
    </row>
    <row r="2554" spans="1:4" x14ac:dyDescent="0.3">
      <c r="A2554">
        <v>26</v>
      </c>
      <c r="B2554" t="s">
        <v>101</v>
      </c>
      <c r="C2554">
        <v>78</v>
      </c>
      <c r="D2554">
        <f>COUNTIF(WeeklyPicks!$D$252:$F$261,C2554)</f>
        <v>0</v>
      </c>
    </row>
    <row r="2555" spans="1:4" x14ac:dyDescent="0.3">
      <c r="A2555">
        <v>26</v>
      </c>
      <c r="B2555" t="s">
        <v>101</v>
      </c>
      <c r="C2555">
        <v>79</v>
      </c>
      <c r="D2555">
        <f>COUNTIF(WeeklyPicks!$D$252:$F$261,C2555)</f>
        <v>0</v>
      </c>
    </row>
    <row r="2556" spans="1:4" x14ac:dyDescent="0.3">
      <c r="A2556">
        <v>26</v>
      </c>
      <c r="B2556" t="s">
        <v>101</v>
      </c>
      <c r="C2556">
        <v>80</v>
      </c>
      <c r="D2556">
        <f>COUNTIF(WeeklyPicks!$D$252:$F$261,C2556)</f>
        <v>0</v>
      </c>
    </row>
    <row r="2557" spans="1:4" x14ac:dyDescent="0.3">
      <c r="A2557">
        <v>26</v>
      </c>
      <c r="B2557" t="s">
        <v>101</v>
      </c>
      <c r="C2557">
        <v>81</v>
      </c>
      <c r="D2557">
        <f>COUNTIF(WeeklyPicks!$D$252:$F$261,C2557)</f>
        <v>0</v>
      </c>
    </row>
    <row r="2558" spans="1:4" x14ac:dyDescent="0.3">
      <c r="A2558">
        <v>26</v>
      </c>
      <c r="B2558" t="s">
        <v>101</v>
      </c>
      <c r="C2558">
        <v>82</v>
      </c>
      <c r="D2558">
        <f>COUNTIF(WeeklyPicks!$D$252:$F$261,C2558)</f>
        <v>0</v>
      </c>
    </row>
    <row r="2559" spans="1:4" x14ac:dyDescent="0.3">
      <c r="A2559">
        <v>26</v>
      </c>
      <c r="B2559" t="s">
        <v>101</v>
      </c>
      <c r="C2559">
        <v>83</v>
      </c>
      <c r="D2559">
        <f>COUNTIF(WeeklyPicks!$D$252:$F$261,C2559)</f>
        <v>0</v>
      </c>
    </row>
    <row r="2560" spans="1:4" x14ac:dyDescent="0.3">
      <c r="A2560">
        <v>26</v>
      </c>
      <c r="B2560" t="s">
        <v>101</v>
      </c>
      <c r="C2560">
        <v>84</v>
      </c>
      <c r="D2560">
        <f>COUNTIF(WeeklyPicks!$D$252:$F$261,C2560)</f>
        <v>0</v>
      </c>
    </row>
    <row r="2561" spans="1:4" x14ac:dyDescent="0.3">
      <c r="A2561">
        <v>26</v>
      </c>
      <c r="B2561" t="s">
        <v>101</v>
      </c>
      <c r="C2561">
        <v>85</v>
      </c>
      <c r="D2561">
        <f>COUNTIF(WeeklyPicks!$D$252:$F$261,C2561)</f>
        <v>0</v>
      </c>
    </row>
    <row r="2562" spans="1:4" x14ac:dyDescent="0.3">
      <c r="A2562">
        <v>26</v>
      </c>
      <c r="B2562" t="s">
        <v>101</v>
      </c>
      <c r="C2562">
        <v>86</v>
      </c>
      <c r="D2562">
        <f>COUNTIF(WeeklyPicks!$D$252:$F$261,C2562)</f>
        <v>0</v>
      </c>
    </row>
    <row r="2563" spans="1:4" x14ac:dyDescent="0.3">
      <c r="A2563">
        <v>26</v>
      </c>
      <c r="B2563" t="s">
        <v>101</v>
      </c>
      <c r="C2563">
        <v>87</v>
      </c>
      <c r="D2563">
        <f>COUNTIF(WeeklyPicks!$D$252:$F$261,C2563)</f>
        <v>0</v>
      </c>
    </row>
    <row r="2564" spans="1:4" x14ac:dyDescent="0.3">
      <c r="A2564">
        <v>26</v>
      </c>
      <c r="B2564" t="s">
        <v>101</v>
      </c>
      <c r="C2564">
        <v>88</v>
      </c>
      <c r="D2564">
        <f>COUNTIF(WeeklyPicks!$D$252:$F$261,C2564)</f>
        <v>0</v>
      </c>
    </row>
    <row r="2565" spans="1:4" x14ac:dyDescent="0.3">
      <c r="A2565">
        <v>26</v>
      </c>
      <c r="B2565" t="s">
        <v>101</v>
      </c>
      <c r="C2565">
        <v>89</v>
      </c>
      <c r="D2565">
        <f>COUNTIF(WeeklyPicks!$D$252:$F$261,C2565)</f>
        <v>0</v>
      </c>
    </row>
    <row r="2566" spans="1:4" x14ac:dyDescent="0.3">
      <c r="A2566">
        <v>26</v>
      </c>
      <c r="B2566" t="s">
        <v>101</v>
      </c>
      <c r="C2566">
        <v>90</v>
      </c>
      <c r="D2566">
        <f>COUNTIF(WeeklyPicks!$D$252:$F$261,C2566)</f>
        <v>0</v>
      </c>
    </row>
    <row r="2567" spans="1:4" x14ac:dyDescent="0.3">
      <c r="A2567">
        <v>26</v>
      </c>
      <c r="B2567" t="s">
        <v>101</v>
      </c>
      <c r="C2567">
        <v>91</v>
      </c>
      <c r="D2567">
        <f>COUNTIF(WeeklyPicks!$D$252:$F$261,C2567)</f>
        <v>0</v>
      </c>
    </row>
    <row r="2568" spans="1:4" x14ac:dyDescent="0.3">
      <c r="A2568">
        <v>26</v>
      </c>
      <c r="B2568" t="s">
        <v>101</v>
      </c>
      <c r="C2568">
        <v>92</v>
      </c>
      <c r="D2568">
        <f>COUNTIF(WeeklyPicks!$D$252:$F$261,C2568)</f>
        <v>0</v>
      </c>
    </row>
    <row r="2569" spans="1:4" x14ac:dyDescent="0.3">
      <c r="A2569">
        <v>26</v>
      </c>
      <c r="B2569" t="s">
        <v>101</v>
      </c>
      <c r="C2569">
        <v>93</v>
      </c>
      <c r="D2569">
        <f>COUNTIF(WeeklyPicks!$D$252:$F$261,C2569)</f>
        <v>0</v>
      </c>
    </row>
    <row r="2570" spans="1:4" x14ac:dyDescent="0.3">
      <c r="A2570">
        <v>26</v>
      </c>
      <c r="B2570" t="s">
        <v>101</v>
      </c>
      <c r="C2570">
        <v>94</v>
      </c>
      <c r="D2570">
        <f>COUNTIF(WeeklyPicks!$D$252:$F$261,C2570)</f>
        <v>0</v>
      </c>
    </row>
    <row r="2571" spans="1:4" x14ac:dyDescent="0.3">
      <c r="A2571">
        <v>26</v>
      </c>
      <c r="B2571" t="s">
        <v>101</v>
      </c>
      <c r="C2571">
        <v>95</v>
      </c>
      <c r="D2571">
        <f>COUNTIF(WeeklyPicks!$D$252:$F$261,C2571)</f>
        <v>0</v>
      </c>
    </row>
    <row r="2572" spans="1:4" x14ac:dyDescent="0.3">
      <c r="A2572">
        <v>26</v>
      </c>
      <c r="B2572" t="s">
        <v>101</v>
      </c>
      <c r="C2572">
        <v>96</v>
      </c>
      <c r="D2572">
        <f>COUNTIF(WeeklyPicks!$D$252:$F$261,C2572)</f>
        <v>0</v>
      </c>
    </row>
    <row r="2573" spans="1:4" x14ac:dyDescent="0.3">
      <c r="A2573">
        <v>26</v>
      </c>
      <c r="B2573" t="s">
        <v>101</v>
      </c>
      <c r="C2573">
        <v>97</v>
      </c>
      <c r="D2573">
        <f>COUNTIF(WeeklyPicks!$D$252:$F$261,C2573)</f>
        <v>0</v>
      </c>
    </row>
    <row r="2574" spans="1:4" x14ac:dyDescent="0.3">
      <c r="A2574">
        <v>26</v>
      </c>
      <c r="B2574" t="s">
        <v>101</v>
      </c>
      <c r="C2574">
        <v>98</v>
      </c>
      <c r="D2574">
        <f>COUNTIF(WeeklyPicks!$D$252:$F$261,C2574)</f>
        <v>0</v>
      </c>
    </row>
    <row r="2575" spans="1:4" x14ac:dyDescent="0.3">
      <c r="A2575">
        <v>26</v>
      </c>
      <c r="B2575" t="s">
        <v>101</v>
      </c>
      <c r="C2575">
        <v>99</v>
      </c>
      <c r="D2575">
        <f>COUNTIF(WeeklyPicks!$D$252:$F$261,C2575)</f>
        <v>0</v>
      </c>
    </row>
    <row r="2576" spans="1:4" x14ac:dyDescent="0.3">
      <c r="A2576">
        <v>27</v>
      </c>
      <c r="B2576" t="s">
        <v>59</v>
      </c>
      <c r="C2576">
        <v>1</v>
      </c>
      <c r="D2576">
        <f>COUNTIF(WeeklyPicks!$D$262:$F$271,C2576)</f>
        <v>0</v>
      </c>
    </row>
    <row r="2577" spans="1:4" x14ac:dyDescent="0.3">
      <c r="A2577">
        <v>27</v>
      </c>
      <c r="B2577" t="s">
        <v>59</v>
      </c>
      <c r="C2577">
        <v>2</v>
      </c>
      <c r="D2577">
        <f>COUNTIF(WeeklyPicks!$D$262:$F$271,C2577)</f>
        <v>0</v>
      </c>
    </row>
    <row r="2578" spans="1:4" x14ac:dyDescent="0.3">
      <c r="A2578">
        <v>27</v>
      </c>
      <c r="B2578" t="s">
        <v>59</v>
      </c>
      <c r="C2578">
        <v>3</v>
      </c>
      <c r="D2578">
        <f>COUNTIF(WeeklyPicks!$D$262:$F$271,C2578)</f>
        <v>0</v>
      </c>
    </row>
    <row r="2579" spans="1:4" x14ac:dyDescent="0.3">
      <c r="A2579">
        <v>27</v>
      </c>
      <c r="B2579" t="s">
        <v>59</v>
      </c>
      <c r="C2579">
        <v>4</v>
      </c>
      <c r="D2579">
        <f>COUNTIF(WeeklyPicks!$D$262:$F$271,C2579)</f>
        <v>0</v>
      </c>
    </row>
    <row r="2580" spans="1:4" x14ac:dyDescent="0.3">
      <c r="A2580">
        <v>27</v>
      </c>
      <c r="B2580" t="s">
        <v>59</v>
      </c>
      <c r="C2580">
        <v>5</v>
      </c>
      <c r="D2580">
        <f>COUNTIF(WeeklyPicks!$D$262:$F$271,C2580)</f>
        <v>0</v>
      </c>
    </row>
    <row r="2581" spans="1:4" x14ac:dyDescent="0.3">
      <c r="A2581">
        <v>27</v>
      </c>
      <c r="B2581" t="s">
        <v>59</v>
      </c>
      <c r="C2581">
        <v>6</v>
      </c>
      <c r="D2581">
        <f>COUNTIF(WeeklyPicks!$D$262:$F$271,C2581)</f>
        <v>0</v>
      </c>
    </row>
    <row r="2582" spans="1:4" x14ac:dyDescent="0.3">
      <c r="A2582">
        <v>27</v>
      </c>
      <c r="B2582" t="s">
        <v>59</v>
      </c>
      <c r="C2582">
        <v>7</v>
      </c>
      <c r="D2582">
        <f>COUNTIF(WeeklyPicks!$D$262:$F$271,C2582)</f>
        <v>0</v>
      </c>
    </row>
    <row r="2583" spans="1:4" x14ac:dyDescent="0.3">
      <c r="A2583">
        <v>27</v>
      </c>
      <c r="B2583" t="s">
        <v>59</v>
      </c>
      <c r="C2583">
        <v>8</v>
      </c>
      <c r="D2583">
        <f>COUNTIF(WeeklyPicks!$D$262:$F$271,C2583)</f>
        <v>0</v>
      </c>
    </row>
    <row r="2584" spans="1:4" x14ac:dyDescent="0.3">
      <c r="A2584">
        <v>27</v>
      </c>
      <c r="B2584" t="s">
        <v>59</v>
      </c>
      <c r="C2584">
        <v>9</v>
      </c>
      <c r="D2584">
        <f>COUNTIF(WeeklyPicks!$D$262:$F$271,C2584)</f>
        <v>0</v>
      </c>
    </row>
    <row r="2585" spans="1:4" x14ac:dyDescent="0.3">
      <c r="A2585">
        <v>27</v>
      </c>
      <c r="B2585" t="s">
        <v>59</v>
      </c>
      <c r="C2585">
        <v>10</v>
      </c>
      <c r="D2585">
        <f>COUNTIF(WeeklyPicks!$D$262:$F$271,C2585)</f>
        <v>0</v>
      </c>
    </row>
    <row r="2586" spans="1:4" x14ac:dyDescent="0.3">
      <c r="A2586">
        <v>27</v>
      </c>
      <c r="B2586" t="s">
        <v>59</v>
      </c>
      <c r="C2586">
        <v>11</v>
      </c>
      <c r="D2586">
        <f>COUNTIF(WeeklyPicks!$D$262:$F$271,C2586)</f>
        <v>0</v>
      </c>
    </row>
    <row r="2587" spans="1:4" x14ac:dyDescent="0.3">
      <c r="A2587">
        <v>27</v>
      </c>
      <c r="B2587" t="s">
        <v>59</v>
      </c>
      <c r="C2587">
        <v>12</v>
      </c>
      <c r="D2587">
        <f>COUNTIF(WeeklyPicks!$D$262:$F$271,C2587)</f>
        <v>0</v>
      </c>
    </row>
    <row r="2588" spans="1:4" x14ac:dyDescent="0.3">
      <c r="A2588">
        <v>27</v>
      </c>
      <c r="B2588" t="s">
        <v>59</v>
      </c>
      <c r="C2588">
        <v>13</v>
      </c>
      <c r="D2588">
        <f>COUNTIF(WeeklyPicks!$D$262:$F$271,C2588)</f>
        <v>0</v>
      </c>
    </row>
    <row r="2589" spans="1:4" x14ac:dyDescent="0.3">
      <c r="A2589">
        <v>27</v>
      </c>
      <c r="B2589" t="s">
        <v>59</v>
      </c>
      <c r="C2589">
        <v>14</v>
      </c>
      <c r="D2589">
        <f>COUNTIF(WeeklyPicks!$D$262:$F$271,C2589)</f>
        <v>0</v>
      </c>
    </row>
    <row r="2590" spans="1:4" x14ac:dyDescent="0.3">
      <c r="A2590">
        <v>27</v>
      </c>
      <c r="B2590" t="s">
        <v>59</v>
      </c>
      <c r="C2590">
        <v>15</v>
      </c>
      <c r="D2590">
        <f>COUNTIF(WeeklyPicks!$D$262:$F$271,C2590)</f>
        <v>0</v>
      </c>
    </row>
    <row r="2591" spans="1:4" x14ac:dyDescent="0.3">
      <c r="A2591">
        <v>27</v>
      </c>
      <c r="B2591" t="s">
        <v>59</v>
      </c>
      <c r="C2591">
        <v>16</v>
      </c>
      <c r="D2591">
        <f>COUNTIF(WeeklyPicks!$D$262:$F$271,C2591)</f>
        <v>0</v>
      </c>
    </row>
    <row r="2592" spans="1:4" x14ac:dyDescent="0.3">
      <c r="A2592">
        <v>27</v>
      </c>
      <c r="B2592" t="s">
        <v>59</v>
      </c>
      <c r="C2592">
        <v>17</v>
      </c>
      <c r="D2592">
        <f>COUNTIF(WeeklyPicks!$D$262:$F$271,C2592)</f>
        <v>0</v>
      </c>
    </row>
    <row r="2593" spans="1:4" x14ac:dyDescent="0.3">
      <c r="A2593">
        <v>27</v>
      </c>
      <c r="B2593" t="s">
        <v>59</v>
      </c>
      <c r="C2593">
        <v>18</v>
      </c>
      <c r="D2593">
        <f>COUNTIF(WeeklyPicks!$D$262:$F$271,C2593)</f>
        <v>0</v>
      </c>
    </row>
    <row r="2594" spans="1:4" x14ac:dyDescent="0.3">
      <c r="A2594">
        <v>27</v>
      </c>
      <c r="B2594" t="s">
        <v>59</v>
      </c>
      <c r="C2594">
        <v>19</v>
      </c>
      <c r="D2594">
        <f>COUNTIF(WeeklyPicks!$D$262:$F$271,C2594)</f>
        <v>0</v>
      </c>
    </row>
    <row r="2595" spans="1:4" x14ac:dyDescent="0.3">
      <c r="A2595">
        <v>27</v>
      </c>
      <c r="B2595" t="s">
        <v>59</v>
      </c>
      <c r="C2595">
        <v>20</v>
      </c>
      <c r="D2595">
        <f>COUNTIF(WeeklyPicks!$D$262:$F$271,C2595)</f>
        <v>0</v>
      </c>
    </row>
    <row r="2596" spans="1:4" x14ac:dyDescent="0.3">
      <c r="A2596">
        <v>27</v>
      </c>
      <c r="B2596" t="s">
        <v>59</v>
      </c>
      <c r="C2596">
        <v>21</v>
      </c>
      <c r="D2596">
        <f>COUNTIF(WeeklyPicks!$D$262:$F$271,C2596)</f>
        <v>0</v>
      </c>
    </row>
    <row r="2597" spans="1:4" x14ac:dyDescent="0.3">
      <c r="A2597">
        <v>27</v>
      </c>
      <c r="B2597" t="s">
        <v>59</v>
      </c>
      <c r="C2597">
        <v>22</v>
      </c>
      <c r="D2597">
        <f>COUNTIF(WeeklyPicks!$D$262:$F$271,C2597)</f>
        <v>0</v>
      </c>
    </row>
    <row r="2598" spans="1:4" x14ac:dyDescent="0.3">
      <c r="A2598">
        <v>27</v>
      </c>
      <c r="B2598" t="s">
        <v>59</v>
      </c>
      <c r="C2598">
        <v>23</v>
      </c>
      <c r="D2598">
        <f>COUNTIF(WeeklyPicks!$D$262:$F$271,C2598)</f>
        <v>0</v>
      </c>
    </row>
    <row r="2599" spans="1:4" x14ac:dyDescent="0.3">
      <c r="A2599">
        <v>27</v>
      </c>
      <c r="B2599" t="s">
        <v>59</v>
      </c>
      <c r="C2599">
        <v>24</v>
      </c>
      <c r="D2599">
        <f>COUNTIF(WeeklyPicks!$D$262:$F$271,C2599)</f>
        <v>0</v>
      </c>
    </row>
    <row r="2600" spans="1:4" x14ac:dyDescent="0.3">
      <c r="A2600">
        <v>27</v>
      </c>
      <c r="B2600" t="s">
        <v>59</v>
      </c>
      <c r="C2600">
        <v>25</v>
      </c>
      <c r="D2600">
        <f>COUNTIF(WeeklyPicks!$D$262:$F$271,C2600)</f>
        <v>0</v>
      </c>
    </row>
    <row r="2601" spans="1:4" x14ac:dyDescent="0.3">
      <c r="A2601">
        <v>27</v>
      </c>
      <c r="B2601" t="s">
        <v>59</v>
      </c>
      <c r="C2601">
        <v>26</v>
      </c>
      <c r="D2601">
        <f>COUNTIF(WeeklyPicks!$D$262:$F$271,C2601)</f>
        <v>0</v>
      </c>
    </row>
    <row r="2602" spans="1:4" x14ac:dyDescent="0.3">
      <c r="A2602">
        <v>27</v>
      </c>
      <c r="B2602" t="s">
        <v>59</v>
      </c>
      <c r="C2602">
        <v>27</v>
      </c>
      <c r="D2602">
        <f>COUNTIF(WeeklyPicks!$D$262:$F$271,C2602)</f>
        <v>0</v>
      </c>
    </row>
    <row r="2603" spans="1:4" x14ac:dyDescent="0.3">
      <c r="A2603">
        <v>27</v>
      </c>
      <c r="B2603" t="s">
        <v>59</v>
      </c>
      <c r="C2603">
        <v>28</v>
      </c>
      <c r="D2603">
        <f>COUNTIF(WeeklyPicks!$D$262:$F$271,C2603)</f>
        <v>0</v>
      </c>
    </row>
    <row r="2604" spans="1:4" x14ac:dyDescent="0.3">
      <c r="A2604">
        <v>27</v>
      </c>
      <c r="B2604" t="s">
        <v>59</v>
      </c>
      <c r="C2604">
        <v>29</v>
      </c>
      <c r="D2604">
        <f>COUNTIF(WeeklyPicks!$D$262:$F$271,C2604)</f>
        <v>0</v>
      </c>
    </row>
    <row r="2605" spans="1:4" x14ac:dyDescent="0.3">
      <c r="A2605">
        <v>27</v>
      </c>
      <c r="B2605" t="s">
        <v>59</v>
      </c>
      <c r="C2605">
        <v>30</v>
      </c>
      <c r="D2605">
        <f>COUNTIF(WeeklyPicks!$D$262:$F$271,C2605)</f>
        <v>0</v>
      </c>
    </row>
    <row r="2606" spans="1:4" x14ac:dyDescent="0.3">
      <c r="A2606">
        <v>27</v>
      </c>
      <c r="B2606" t="s">
        <v>59</v>
      </c>
      <c r="C2606">
        <v>31</v>
      </c>
      <c r="D2606">
        <f>COUNTIF(WeeklyPicks!$D$262:$F$271,C2606)</f>
        <v>0</v>
      </c>
    </row>
    <row r="2607" spans="1:4" x14ac:dyDescent="0.3">
      <c r="A2607">
        <v>27</v>
      </c>
      <c r="B2607" t="s">
        <v>59</v>
      </c>
      <c r="C2607">
        <v>32</v>
      </c>
      <c r="D2607">
        <f>COUNTIF(WeeklyPicks!$D$262:$F$271,C2607)</f>
        <v>0</v>
      </c>
    </row>
    <row r="2608" spans="1:4" x14ac:dyDescent="0.3">
      <c r="A2608">
        <v>27</v>
      </c>
      <c r="B2608" t="s">
        <v>59</v>
      </c>
      <c r="C2608">
        <v>33</v>
      </c>
      <c r="D2608">
        <f>COUNTIF(WeeklyPicks!$D$262:$F$271,C2608)</f>
        <v>0</v>
      </c>
    </row>
    <row r="2609" spans="1:4" x14ac:dyDescent="0.3">
      <c r="A2609">
        <v>27</v>
      </c>
      <c r="B2609" t="s">
        <v>59</v>
      </c>
      <c r="C2609">
        <v>34</v>
      </c>
      <c r="D2609">
        <f>COUNTIF(WeeklyPicks!$D$262:$F$271,C2609)</f>
        <v>0</v>
      </c>
    </row>
    <row r="2610" spans="1:4" x14ac:dyDescent="0.3">
      <c r="A2610">
        <v>27</v>
      </c>
      <c r="B2610" t="s">
        <v>59</v>
      </c>
      <c r="C2610">
        <v>35</v>
      </c>
      <c r="D2610">
        <f>COUNTIF(WeeklyPicks!$D$262:$F$271,C2610)</f>
        <v>0</v>
      </c>
    </row>
    <row r="2611" spans="1:4" x14ac:dyDescent="0.3">
      <c r="A2611">
        <v>27</v>
      </c>
      <c r="B2611" t="s">
        <v>59</v>
      </c>
      <c r="C2611">
        <v>36</v>
      </c>
      <c r="D2611">
        <f>COUNTIF(WeeklyPicks!$D$262:$F$271,C2611)</f>
        <v>0</v>
      </c>
    </row>
    <row r="2612" spans="1:4" x14ac:dyDescent="0.3">
      <c r="A2612">
        <v>27</v>
      </c>
      <c r="B2612" t="s">
        <v>59</v>
      </c>
      <c r="C2612">
        <v>37</v>
      </c>
      <c r="D2612">
        <f>COUNTIF(WeeklyPicks!$D$262:$F$271,C2612)</f>
        <v>0</v>
      </c>
    </row>
    <row r="2613" spans="1:4" x14ac:dyDescent="0.3">
      <c r="A2613">
        <v>27</v>
      </c>
      <c r="B2613" t="s">
        <v>59</v>
      </c>
      <c r="C2613">
        <v>38</v>
      </c>
      <c r="D2613">
        <f>COUNTIF(WeeklyPicks!$D$262:$F$271,C2613)</f>
        <v>0</v>
      </c>
    </row>
    <row r="2614" spans="1:4" x14ac:dyDescent="0.3">
      <c r="A2614">
        <v>27</v>
      </c>
      <c r="B2614" t="s">
        <v>59</v>
      </c>
      <c r="C2614">
        <v>39</v>
      </c>
      <c r="D2614">
        <f>COUNTIF(WeeklyPicks!$D$262:$F$271,C2614)</f>
        <v>0</v>
      </c>
    </row>
    <row r="2615" spans="1:4" x14ac:dyDescent="0.3">
      <c r="A2615">
        <v>27</v>
      </c>
      <c r="B2615" t="s">
        <v>59</v>
      </c>
      <c r="C2615">
        <v>40</v>
      </c>
      <c r="D2615">
        <f>COUNTIF(WeeklyPicks!$D$262:$F$271,C2615)</f>
        <v>0</v>
      </c>
    </row>
    <row r="2616" spans="1:4" x14ac:dyDescent="0.3">
      <c r="A2616">
        <v>27</v>
      </c>
      <c r="B2616" t="s">
        <v>59</v>
      </c>
      <c r="C2616">
        <v>41</v>
      </c>
      <c r="D2616">
        <f>COUNTIF(WeeklyPicks!$D$262:$F$271,C2616)</f>
        <v>0</v>
      </c>
    </row>
    <row r="2617" spans="1:4" x14ac:dyDescent="0.3">
      <c r="A2617">
        <v>27</v>
      </c>
      <c r="B2617" t="s">
        <v>59</v>
      </c>
      <c r="C2617">
        <v>42</v>
      </c>
      <c r="D2617">
        <f>COUNTIF(WeeklyPicks!$D$262:$F$271,C2617)</f>
        <v>0</v>
      </c>
    </row>
    <row r="2618" spans="1:4" x14ac:dyDescent="0.3">
      <c r="A2618">
        <v>27</v>
      </c>
      <c r="B2618" t="s">
        <v>59</v>
      </c>
      <c r="C2618">
        <v>43</v>
      </c>
      <c r="D2618">
        <f>COUNTIF(WeeklyPicks!$D$262:$F$271,C2618)</f>
        <v>0</v>
      </c>
    </row>
    <row r="2619" spans="1:4" x14ac:dyDescent="0.3">
      <c r="A2619">
        <v>27</v>
      </c>
      <c r="B2619" t="s">
        <v>59</v>
      </c>
      <c r="C2619">
        <v>44</v>
      </c>
      <c r="D2619">
        <f>COUNTIF(WeeklyPicks!$D$262:$F$271,C2619)</f>
        <v>0</v>
      </c>
    </row>
    <row r="2620" spans="1:4" x14ac:dyDescent="0.3">
      <c r="A2620">
        <v>27</v>
      </c>
      <c r="B2620" t="s">
        <v>59</v>
      </c>
      <c r="C2620">
        <v>45</v>
      </c>
      <c r="D2620">
        <f>COUNTIF(WeeklyPicks!$D$262:$F$271,C2620)</f>
        <v>0</v>
      </c>
    </row>
    <row r="2621" spans="1:4" x14ac:dyDescent="0.3">
      <c r="A2621">
        <v>27</v>
      </c>
      <c r="B2621" t="s">
        <v>59</v>
      </c>
      <c r="C2621">
        <v>46</v>
      </c>
      <c r="D2621">
        <f>COUNTIF(WeeklyPicks!$D$262:$F$271,C2621)</f>
        <v>0</v>
      </c>
    </row>
    <row r="2622" spans="1:4" x14ac:dyDescent="0.3">
      <c r="A2622">
        <v>27</v>
      </c>
      <c r="B2622" t="s">
        <v>59</v>
      </c>
      <c r="C2622">
        <v>47</v>
      </c>
      <c r="D2622">
        <f>COUNTIF(WeeklyPicks!$D$262:$F$271,C2622)</f>
        <v>0</v>
      </c>
    </row>
    <row r="2623" spans="1:4" x14ac:dyDescent="0.3">
      <c r="A2623">
        <v>27</v>
      </c>
      <c r="B2623" t="s">
        <v>59</v>
      </c>
      <c r="C2623">
        <v>48</v>
      </c>
      <c r="D2623">
        <f>COUNTIF(WeeklyPicks!$D$262:$F$271,C2623)</f>
        <v>0</v>
      </c>
    </row>
    <row r="2624" spans="1:4" x14ac:dyDescent="0.3">
      <c r="A2624">
        <v>27</v>
      </c>
      <c r="B2624" t="s">
        <v>59</v>
      </c>
      <c r="C2624">
        <v>49</v>
      </c>
      <c r="D2624">
        <f>COUNTIF(WeeklyPicks!$D$262:$F$271,C2624)</f>
        <v>0</v>
      </c>
    </row>
    <row r="2625" spans="1:4" x14ac:dyDescent="0.3">
      <c r="A2625">
        <v>27</v>
      </c>
      <c r="B2625" t="s">
        <v>59</v>
      </c>
      <c r="C2625">
        <v>50</v>
      </c>
      <c r="D2625">
        <f>COUNTIF(WeeklyPicks!$D$262:$F$271,C2625)</f>
        <v>0</v>
      </c>
    </row>
    <row r="2626" spans="1:4" x14ac:dyDescent="0.3">
      <c r="A2626">
        <v>27</v>
      </c>
      <c r="B2626" t="s">
        <v>59</v>
      </c>
      <c r="C2626">
        <v>51</v>
      </c>
      <c r="D2626">
        <f>COUNTIF(WeeklyPicks!$D$262:$F$271,C2626)</f>
        <v>0</v>
      </c>
    </row>
    <row r="2627" spans="1:4" x14ac:dyDescent="0.3">
      <c r="A2627">
        <v>27</v>
      </c>
      <c r="B2627" t="s">
        <v>59</v>
      </c>
      <c r="C2627">
        <v>52</v>
      </c>
      <c r="D2627">
        <f>COUNTIF(WeeklyPicks!$D$262:$F$271,C2627)</f>
        <v>0</v>
      </c>
    </row>
    <row r="2628" spans="1:4" x14ac:dyDescent="0.3">
      <c r="A2628">
        <v>27</v>
      </c>
      <c r="B2628" t="s">
        <v>59</v>
      </c>
      <c r="C2628">
        <v>53</v>
      </c>
      <c r="D2628">
        <f>COUNTIF(WeeklyPicks!$D$262:$F$271,C2628)</f>
        <v>0</v>
      </c>
    </row>
    <row r="2629" spans="1:4" x14ac:dyDescent="0.3">
      <c r="A2629">
        <v>27</v>
      </c>
      <c r="B2629" t="s">
        <v>59</v>
      </c>
      <c r="C2629">
        <v>54</v>
      </c>
      <c r="D2629">
        <f>COUNTIF(WeeklyPicks!$D$262:$F$271,C2629)</f>
        <v>0</v>
      </c>
    </row>
    <row r="2630" spans="1:4" x14ac:dyDescent="0.3">
      <c r="A2630">
        <v>27</v>
      </c>
      <c r="B2630" t="s">
        <v>59</v>
      </c>
      <c r="C2630">
        <v>55</v>
      </c>
      <c r="D2630">
        <f>COUNTIF(WeeklyPicks!$D$262:$F$271,C2630)</f>
        <v>0</v>
      </c>
    </row>
    <row r="2631" spans="1:4" x14ac:dyDescent="0.3">
      <c r="A2631">
        <v>27</v>
      </c>
      <c r="B2631" t="s">
        <v>59</v>
      </c>
      <c r="C2631">
        <v>56</v>
      </c>
      <c r="D2631">
        <f>COUNTIF(WeeklyPicks!$D$262:$F$271,C2631)</f>
        <v>0</v>
      </c>
    </row>
    <row r="2632" spans="1:4" x14ac:dyDescent="0.3">
      <c r="A2632">
        <v>27</v>
      </c>
      <c r="B2632" t="s">
        <v>59</v>
      </c>
      <c r="C2632">
        <v>57</v>
      </c>
      <c r="D2632">
        <f>COUNTIF(WeeklyPicks!$D$262:$F$271,C2632)</f>
        <v>0</v>
      </c>
    </row>
    <row r="2633" spans="1:4" x14ac:dyDescent="0.3">
      <c r="A2633">
        <v>27</v>
      </c>
      <c r="B2633" t="s">
        <v>59</v>
      </c>
      <c r="C2633">
        <v>58</v>
      </c>
      <c r="D2633">
        <f>COUNTIF(WeeklyPicks!$D$262:$F$271,C2633)</f>
        <v>0</v>
      </c>
    </row>
    <row r="2634" spans="1:4" x14ac:dyDescent="0.3">
      <c r="A2634">
        <v>27</v>
      </c>
      <c r="B2634" t="s">
        <v>59</v>
      </c>
      <c r="C2634">
        <v>59</v>
      </c>
      <c r="D2634">
        <f>COUNTIF(WeeklyPicks!$D$262:$F$271,C2634)</f>
        <v>0</v>
      </c>
    </row>
    <row r="2635" spans="1:4" x14ac:dyDescent="0.3">
      <c r="A2635">
        <v>27</v>
      </c>
      <c r="B2635" t="s">
        <v>59</v>
      </c>
      <c r="C2635">
        <v>60</v>
      </c>
      <c r="D2635">
        <f>COUNTIF(WeeklyPicks!$D$262:$F$271,C2635)</f>
        <v>0</v>
      </c>
    </row>
    <row r="2636" spans="1:4" x14ac:dyDescent="0.3">
      <c r="A2636">
        <v>27</v>
      </c>
      <c r="B2636" t="s">
        <v>59</v>
      </c>
      <c r="C2636">
        <v>61</v>
      </c>
      <c r="D2636">
        <f>COUNTIF(WeeklyPicks!$D$262:$F$271,C2636)</f>
        <v>0</v>
      </c>
    </row>
    <row r="2637" spans="1:4" x14ac:dyDescent="0.3">
      <c r="A2637">
        <v>27</v>
      </c>
      <c r="B2637" t="s">
        <v>59</v>
      </c>
      <c r="C2637">
        <v>62</v>
      </c>
      <c r="D2637">
        <f>COUNTIF(WeeklyPicks!$D$262:$F$271,C2637)</f>
        <v>0</v>
      </c>
    </row>
    <row r="2638" spans="1:4" x14ac:dyDescent="0.3">
      <c r="A2638">
        <v>27</v>
      </c>
      <c r="B2638" t="s">
        <v>59</v>
      </c>
      <c r="C2638">
        <v>63</v>
      </c>
      <c r="D2638">
        <f>COUNTIF(WeeklyPicks!$D$262:$F$271,C2638)</f>
        <v>0</v>
      </c>
    </row>
    <row r="2639" spans="1:4" x14ac:dyDescent="0.3">
      <c r="A2639">
        <v>27</v>
      </c>
      <c r="B2639" t="s">
        <v>59</v>
      </c>
      <c r="C2639">
        <v>64</v>
      </c>
      <c r="D2639">
        <f>COUNTIF(WeeklyPicks!$D$262:$F$271,C2639)</f>
        <v>0</v>
      </c>
    </row>
    <row r="2640" spans="1:4" x14ac:dyDescent="0.3">
      <c r="A2640">
        <v>27</v>
      </c>
      <c r="B2640" t="s">
        <v>59</v>
      </c>
      <c r="C2640">
        <v>65</v>
      </c>
      <c r="D2640">
        <f>COUNTIF(WeeklyPicks!$D$262:$F$271,C2640)</f>
        <v>0</v>
      </c>
    </row>
    <row r="2641" spans="1:4" x14ac:dyDescent="0.3">
      <c r="A2641">
        <v>27</v>
      </c>
      <c r="B2641" t="s">
        <v>59</v>
      </c>
      <c r="C2641">
        <v>66</v>
      </c>
      <c r="D2641">
        <f>COUNTIF(WeeklyPicks!$D$262:$F$271,C2641)</f>
        <v>0</v>
      </c>
    </row>
    <row r="2642" spans="1:4" x14ac:dyDescent="0.3">
      <c r="A2642">
        <v>27</v>
      </c>
      <c r="B2642" t="s">
        <v>59</v>
      </c>
      <c r="C2642">
        <v>67</v>
      </c>
      <c r="D2642">
        <f>COUNTIF(WeeklyPicks!$D$262:$F$271,C2642)</f>
        <v>0</v>
      </c>
    </row>
    <row r="2643" spans="1:4" x14ac:dyDescent="0.3">
      <c r="A2643">
        <v>27</v>
      </c>
      <c r="B2643" t="s">
        <v>59</v>
      </c>
      <c r="C2643">
        <v>68</v>
      </c>
      <c r="D2643">
        <f>COUNTIF(WeeklyPicks!$D$262:$F$271,C2643)</f>
        <v>0</v>
      </c>
    </row>
    <row r="2644" spans="1:4" x14ac:dyDescent="0.3">
      <c r="A2644">
        <v>27</v>
      </c>
      <c r="B2644" t="s">
        <v>59</v>
      </c>
      <c r="C2644">
        <v>69</v>
      </c>
      <c r="D2644">
        <f>COUNTIF(WeeklyPicks!$D$262:$F$271,C2644)</f>
        <v>0</v>
      </c>
    </row>
    <row r="2645" spans="1:4" x14ac:dyDescent="0.3">
      <c r="A2645">
        <v>27</v>
      </c>
      <c r="B2645" t="s">
        <v>59</v>
      </c>
      <c r="C2645">
        <v>70</v>
      </c>
      <c r="D2645">
        <f>COUNTIF(WeeklyPicks!$D$262:$F$271,C2645)</f>
        <v>0</v>
      </c>
    </row>
    <row r="2646" spans="1:4" x14ac:dyDescent="0.3">
      <c r="A2646">
        <v>27</v>
      </c>
      <c r="B2646" t="s">
        <v>59</v>
      </c>
      <c r="C2646">
        <v>71</v>
      </c>
      <c r="D2646">
        <f>COUNTIF(WeeklyPicks!$D$262:$F$271,C2646)</f>
        <v>0</v>
      </c>
    </row>
    <row r="2647" spans="1:4" x14ac:dyDescent="0.3">
      <c r="A2647">
        <v>27</v>
      </c>
      <c r="B2647" t="s">
        <v>59</v>
      </c>
      <c r="C2647">
        <v>72</v>
      </c>
      <c r="D2647">
        <f>COUNTIF(WeeklyPicks!$D$262:$F$271,C2647)</f>
        <v>0</v>
      </c>
    </row>
    <row r="2648" spans="1:4" x14ac:dyDescent="0.3">
      <c r="A2648">
        <v>27</v>
      </c>
      <c r="B2648" t="s">
        <v>59</v>
      </c>
      <c r="C2648">
        <v>73</v>
      </c>
      <c r="D2648">
        <f>COUNTIF(WeeklyPicks!$D$262:$F$271,C2648)</f>
        <v>0</v>
      </c>
    </row>
    <row r="2649" spans="1:4" x14ac:dyDescent="0.3">
      <c r="A2649">
        <v>27</v>
      </c>
      <c r="B2649" t="s">
        <v>59</v>
      </c>
      <c r="C2649">
        <v>74</v>
      </c>
      <c r="D2649">
        <f>COUNTIF(WeeklyPicks!$D$262:$F$271,C2649)</f>
        <v>0</v>
      </c>
    </row>
    <row r="2650" spans="1:4" x14ac:dyDescent="0.3">
      <c r="A2650">
        <v>27</v>
      </c>
      <c r="B2650" t="s">
        <v>59</v>
      </c>
      <c r="C2650">
        <v>75</v>
      </c>
      <c r="D2650">
        <f>COUNTIF(WeeklyPicks!$D$262:$F$271,C2650)</f>
        <v>0</v>
      </c>
    </row>
    <row r="2651" spans="1:4" x14ac:dyDescent="0.3">
      <c r="A2651">
        <v>27</v>
      </c>
      <c r="B2651" t="s">
        <v>59</v>
      </c>
      <c r="C2651">
        <v>76</v>
      </c>
      <c r="D2651">
        <f>COUNTIF(WeeklyPicks!$D$262:$F$271,C2651)</f>
        <v>0</v>
      </c>
    </row>
    <row r="2652" spans="1:4" x14ac:dyDescent="0.3">
      <c r="A2652">
        <v>27</v>
      </c>
      <c r="B2652" t="s">
        <v>59</v>
      </c>
      <c r="C2652">
        <v>77</v>
      </c>
      <c r="D2652">
        <f>COUNTIF(WeeklyPicks!$D$262:$F$271,C2652)</f>
        <v>0</v>
      </c>
    </row>
    <row r="2653" spans="1:4" x14ac:dyDescent="0.3">
      <c r="A2653">
        <v>27</v>
      </c>
      <c r="B2653" t="s">
        <v>59</v>
      </c>
      <c r="C2653">
        <v>78</v>
      </c>
      <c r="D2653">
        <f>COUNTIF(WeeklyPicks!$D$262:$F$271,C2653)</f>
        <v>0</v>
      </c>
    </row>
    <row r="2654" spans="1:4" x14ac:dyDescent="0.3">
      <c r="A2654">
        <v>27</v>
      </c>
      <c r="B2654" t="s">
        <v>59</v>
      </c>
      <c r="C2654">
        <v>79</v>
      </c>
      <c r="D2654">
        <f>COUNTIF(WeeklyPicks!$D$262:$F$271,C2654)</f>
        <v>0</v>
      </c>
    </row>
    <row r="2655" spans="1:4" x14ac:dyDescent="0.3">
      <c r="A2655">
        <v>27</v>
      </c>
      <c r="B2655" t="s">
        <v>59</v>
      </c>
      <c r="C2655">
        <v>80</v>
      </c>
      <c r="D2655">
        <f>COUNTIF(WeeklyPicks!$D$262:$F$271,C2655)</f>
        <v>0</v>
      </c>
    </row>
    <row r="2656" spans="1:4" x14ac:dyDescent="0.3">
      <c r="A2656">
        <v>27</v>
      </c>
      <c r="B2656" t="s">
        <v>59</v>
      </c>
      <c r="C2656">
        <v>81</v>
      </c>
      <c r="D2656">
        <f>COUNTIF(WeeklyPicks!$D$262:$F$271,C2656)</f>
        <v>0</v>
      </c>
    </row>
    <row r="2657" spans="1:4" x14ac:dyDescent="0.3">
      <c r="A2657">
        <v>27</v>
      </c>
      <c r="B2657" t="s">
        <v>59</v>
      </c>
      <c r="C2657">
        <v>82</v>
      </c>
      <c r="D2657">
        <f>COUNTIF(WeeklyPicks!$D$262:$F$271,C2657)</f>
        <v>0</v>
      </c>
    </row>
    <row r="2658" spans="1:4" x14ac:dyDescent="0.3">
      <c r="A2658">
        <v>27</v>
      </c>
      <c r="B2658" t="s">
        <v>59</v>
      </c>
      <c r="C2658">
        <v>83</v>
      </c>
      <c r="D2658">
        <f>COUNTIF(WeeklyPicks!$D$262:$F$271,C2658)</f>
        <v>0</v>
      </c>
    </row>
    <row r="2659" spans="1:4" x14ac:dyDescent="0.3">
      <c r="A2659">
        <v>27</v>
      </c>
      <c r="B2659" t="s">
        <v>59</v>
      </c>
      <c r="C2659">
        <v>84</v>
      </c>
      <c r="D2659">
        <f>COUNTIF(WeeklyPicks!$D$262:$F$271,C2659)</f>
        <v>0</v>
      </c>
    </row>
    <row r="2660" spans="1:4" x14ac:dyDescent="0.3">
      <c r="A2660">
        <v>27</v>
      </c>
      <c r="B2660" t="s">
        <v>59</v>
      </c>
      <c r="C2660">
        <v>85</v>
      </c>
      <c r="D2660">
        <f>COUNTIF(WeeklyPicks!$D$262:$F$271,C2660)</f>
        <v>0</v>
      </c>
    </row>
    <row r="2661" spans="1:4" x14ac:dyDescent="0.3">
      <c r="A2661">
        <v>27</v>
      </c>
      <c r="B2661" t="s">
        <v>59</v>
      </c>
      <c r="C2661">
        <v>86</v>
      </c>
      <c r="D2661">
        <f>COUNTIF(WeeklyPicks!$D$262:$F$271,C2661)</f>
        <v>0</v>
      </c>
    </row>
    <row r="2662" spans="1:4" x14ac:dyDescent="0.3">
      <c r="A2662">
        <v>27</v>
      </c>
      <c r="B2662" t="s">
        <v>59</v>
      </c>
      <c r="C2662">
        <v>87</v>
      </c>
      <c r="D2662">
        <f>COUNTIF(WeeklyPicks!$D$262:$F$271,C2662)</f>
        <v>0</v>
      </c>
    </row>
    <row r="2663" spans="1:4" x14ac:dyDescent="0.3">
      <c r="A2663">
        <v>27</v>
      </c>
      <c r="B2663" t="s">
        <v>59</v>
      </c>
      <c r="C2663">
        <v>88</v>
      </c>
      <c r="D2663">
        <f>COUNTIF(WeeklyPicks!$D$262:$F$271,C2663)</f>
        <v>0</v>
      </c>
    </row>
    <row r="2664" spans="1:4" x14ac:dyDescent="0.3">
      <c r="A2664">
        <v>27</v>
      </c>
      <c r="B2664" t="s">
        <v>59</v>
      </c>
      <c r="C2664">
        <v>89</v>
      </c>
      <c r="D2664">
        <f>COUNTIF(WeeklyPicks!$D$262:$F$271,C2664)</f>
        <v>0</v>
      </c>
    </row>
    <row r="2665" spans="1:4" x14ac:dyDescent="0.3">
      <c r="A2665">
        <v>27</v>
      </c>
      <c r="B2665" t="s">
        <v>59</v>
      </c>
      <c r="C2665">
        <v>90</v>
      </c>
      <c r="D2665">
        <f>COUNTIF(WeeklyPicks!$D$262:$F$271,C2665)</f>
        <v>0</v>
      </c>
    </row>
    <row r="2666" spans="1:4" x14ac:dyDescent="0.3">
      <c r="A2666">
        <v>27</v>
      </c>
      <c r="B2666" t="s">
        <v>59</v>
      </c>
      <c r="C2666">
        <v>91</v>
      </c>
      <c r="D2666">
        <f>COUNTIF(WeeklyPicks!$D$262:$F$271,C2666)</f>
        <v>0</v>
      </c>
    </row>
    <row r="2667" spans="1:4" x14ac:dyDescent="0.3">
      <c r="A2667">
        <v>27</v>
      </c>
      <c r="B2667" t="s">
        <v>59</v>
      </c>
      <c r="C2667">
        <v>92</v>
      </c>
      <c r="D2667">
        <f>COUNTIF(WeeklyPicks!$D$262:$F$271,C2667)</f>
        <v>0</v>
      </c>
    </row>
    <row r="2668" spans="1:4" x14ac:dyDescent="0.3">
      <c r="A2668">
        <v>27</v>
      </c>
      <c r="B2668" t="s">
        <v>59</v>
      </c>
      <c r="C2668">
        <v>93</v>
      </c>
      <c r="D2668">
        <f>COUNTIF(WeeklyPicks!$D$262:$F$271,C2668)</f>
        <v>0</v>
      </c>
    </row>
    <row r="2669" spans="1:4" x14ac:dyDescent="0.3">
      <c r="A2669">
        <v>27</v>
      </c>
      <c r="B2669" t="s">
        <v>59</v>
      </c>
      <c r="C2669">
        <v>94</v>
      </c>
      <c r="D2669">
        <f>COUNTIF(WeeklyPicks!$D$262:$F$271,C2669)</f>
        <v>0</v>
      </c>
    </row>
    <row r="2670" spans="1:4" x14ac:dyDescent="0.3">
      <c r="A2670">
        <v>27</v>
      </c>
      <c r="B2670" t="s">
        <v>59</v>
      </c>
      <c r="C2670">
        <v>95</v>
      </c>
      <c r="D2670">
        <f>COUNTIF(WeeklyPicks!$D$262:$F$271,C2670)</f>
        <v>0</v>
      </c>
    </row>
    <row r="2671" spans="1:4" x14ac:dyDescent="0.3">
      <c r="A2671">
        <v>27</v>
      </c>
      <c r="B2671" t="s">
        <v>59</v>
      </c>
      <c r="C2671">
        <v>96</v>
      </c>
      <c r="D2671">
        <f>COUNTIF(WeeklyPicks!$D$262:$F$271,C2671)</f>
        <v>0</v>
      </c>
    </row>
    <row r="2672" spans="1:4" x14ac:dyDescent="0.3">
      <c r="A2672">
        <v>27</v>
      </c>
      <c r="B2672" t="s">
        <v>59</v>
      </c>
      <c r="C2672">
        <v>97</v>
      </c>
      <c r="D2672">
        <f>COUNTIF(WeeklyPicks!$D$262:$F$271,C2672)</f>
        <v>0</v>
      </c>
    </row>
    <row r="2673" spans="1:4" x14ac:dyDescent="0.3">
      <c r="A2673">
        <v>27</v>
      </c>
      <c r="B2673" t="s">
        <v>59</v>
      </c>
      <c r="C2673">
        <v>98</v>
      </c>
      <c r="D2673">
        <f>COUNTIF(WeeklyPicks!$D$262:$F$271,C2673)</f>
        <v>0</v>
      </c>
    </row>
    <row r="2674" spans="1:4" x14ac:dyDescent="0.3">
      <c r="A2674">
        <v>27</v>
      </c>
      <c r="B2674" t="s">
        <v>59</v>
      </c>
      <c r="C2674">
        <v>99</v>
      </c>
      <c r="D2674">
        <f>COUNTIF(WeeklyPicks!$D$262:$F$271,C2674)</f>
        <v>0</v>
      </c>
    </row>
    <row r="2675" spans="1:4" x14ac:dyDescent="0.3">
      <c r="A2675">
        <v>28</v>
      </c>
      <c r="B2675" t="s">
        <v>106</v>
      </c>
      <c r="C2675">
        <v>1</v>
      </c>
      <c r="D2675">
        <f>COUNTIF(WeeklyPicks!$D$272:$F$281,C2675)</f>
        <v>0</v>
      </c>
    </row>
    <row r="2676" spans="1:4" x14ac:dyDescent="0.3">
      <c r="A2676">
        <v>28</v>
      </c>
      <c r="B2676" t="s">
        <v>106</v>
      </c>
      <c r="C2676">
        <v>2</v>
      </c>
      <c r="D2676">
        <f>COUNTIF(WeeklyPicks!$D$272:$F$281,C2676)</f>
        <v>0</v>
      </c>
    </row>
    <row r="2677" spans="1:4" x14ac:dyDescent="0.3">
      <c r="A2677">
        <v>28</v>
      </c>
      <c r="B2677" t="s">
        <v>106</v>
      </c>
      <c r="C2677">
        <v>3</v>
      </c>
      <c r="D2677">
        <f>COUNTIF(WeeklyPicks!$D$272:$F$281,C2677)</f>
        <v>0</v>
      </c>
    </row>
    <row r="2678" spans="1:4" x14ac:dyDescent="0.3">
      <c r="A2678">
        <v>28</v>
      </c>
      <c r="B2678" t="s">
        <v>106</v>
      </c>
      <c r="C2678">
        <v>4</v>
      </c>
      <c r="D2678">
        <f>COUNTIF(WeeklyPicks!$D$272:$F$281,C2678)</f>
        <v>0</v>
      </c>
    </row>
    <row r="2679" spans="1:4" x14ac:dyDescent="0.3">
      <c r="A2679">
        <v>28</v>
      </c>
      <c r="B2679" t="s">
        <v>106</v>
      </c>
      <c r="C2679">
        <v>5</v>
      </c>
      <c r="D2679">
        <f>COUNTIF(WeeklyPicks!$D$272:$F$281,C2679)</f>
        <v>0</v>
      </c>
    </row>
    <row r="2680" spans="1:4" x14ac:dyDescent="0.3">
      <c r="A2680">
        <v>28</v>
      </c>
      <c r="B2680" t="s">
        <v>106</v>
      </c>
      <c r="C2680">
        <v>6</v>
      </c>
      <c r="D2680">
        <f>COUNTIF(WeeklyPicks!$D$272:$F$281,C2680)</f>
        <v>0</v>
      </c>
    </row>
    <row r="2681" spans="1:4" x14ac:dyDescent="0.3">
      <c r="A2681">
        <v>28</v>
      </c>
      <c r="B2681" t="s">
        <v>106</v>
      </c>
      <c r="C2681">
        <v>7</v>
      </c>
      <c r="D2681">
        <f>COUNTIF(WeeklyPicks!$D$272:$F$281,C2681)</f>
        <v>0</v>
      </c>
    </row>
    <row r="2682" spans="1:4" x14ac:dyDescent="0.3">
      <c r="A2682">
        <v>28</v>
      </c>
      <c r="B2682" t="s">
        <v>106</v>
      </c>
      <c r="C2682">
        <v>8</v>
      </c>
      <c r="D2682">
        <f>COUNTIF(WeeklyPicks!$D$272:$F$281,C2682)</f>
        <v>0</v>
      </c>
    </row>
    <row r="2683" spans="1:4" x14ac:dyDescent="0.3">
      <c r="A2683">
        <v>28</v>
      </c>
      <c r="B2683" t="s">
        <v>106</v>
      </c>
      <c r="C2683">
        <v>9</v>
      </c>
      <c r="D2683">
        <f>COUNTIF(WeeklyPicks!$D$272:$F$281,C2683)</f>
        <v>0</v>
      </c>
    </row>
    <row r="2684" spans="1:4" x14ac:dyDescent="0.3">
      <c r="A2684">
        <v>28</v>
      </c>
      <c r="B2684" t="s">
        <v>106</v>
      </c>
      <c r="C2684">
        <v>10</v>
      </c>
      <c r="D2684">
        <f>COUNTIF(WeeklyPicks!$D$272:$F$281,C2684)</f>
        <v>0</v>
      </c>
    </row>
    <row r="2685" spans="1:4" x14ac:dyDescent="0.3">
      <c r="A2685">
        <v>28</v>
      </c>
      <c r="B2685" t="s">
        <v>106</v>
      </c>
      <c r="C2685">
        <v>11</v>
      </c>
      <c r="D2685">
        <f>COUNTIF(WeeklyPicks!$D$272:$F$281,C2685)</f>
        <v>0</v>
      </c>
    </row>
    <row r="2686" spans="1:4" x14ac:dyDescent="0.3">
      <c r="A2686">
        <v>28</v>
      </c>
      <c r="B2686" t="s">
        <v>106</v>
      </c>
      <c r="C2686">
        <v>12</v>
      </c>
      <c r="D2686">
        <f>COUNTIF(WeeklyPicks!$D$272:$F$281,C2686)</f>
        <v>0</v>
      </c>
    </row>
    <row r="2687" spans="1:4" x14ac:dyDescent="0.3">
      <c r="A2687">
        <v>28</v>
      </c>
      <c r="B2687" t="s">
        <v>106</v>
      </c>
      <c r="C2687">
        <v>13</v>
      </c>
      <c r="D2687">
        <f>COUNTIF(WeeklyPicks!$D$272:$F$281,C2687)</f>
        <v>0</v>
      </c>
    </row>
    <row r="2688" spans="1:4" x14ac:dyDescent="0.3">
      <c r="A2688">
        <v>28</v>
      </c>
      <c r="B2688" t="s">
        <v>106</v>
      </c>
      <c r="C2688">
        <v>14</v>
      </c>
      <c r="D2688">
        <f>COUNTIF(WeeklyPicks!$D$272:$F$281,C2688)</f>
        <v>0</v>
      </c>
    </row>
    <row r="2689" spans="1:4" x14ac:dyDescent="0.3">
      <c r="A2689">
        <v>28</v>
      </c>
      <c r="B2689" t="s">
        <v>106</v>
      </c>
      <c r="C2689">
        <v>15</v>
      </c>
      <c r="D2689">
        <f>COUNTIF(WeeklyPicks!$D$272:$F$281,C2689)</f>
        <v>0</v>
      </c>
    </row>
    <row r="2690" spans="1:4" x14ac:dyDescent="0.3">
      <c r="A2690">
        <v>28</v>
      </c>
      <c r="B2690" t="s">
        <v>106</v>
      </c>
      <c r="C2690">
        <v>16</v>
      </c>
      <c r="D2690">
        <f>COUNTIF(WeeklyPicks!$D$272:$F$281,C2690)</f>
        <v>0</v>
      </c>
    </row>
    <row r="2691" spans="1:4" x14ac:dyDescent="0.3">
      <c r="A2691">
        <v>28</v>
      </c>
      <c r="B2691" t="s">
        <v>106</v>
      </c>
      <c r="C2691">
        <v>17</v>
      </c>
      <c r="D2691">
        <f>COUNTIF(WeeklyPicks!$D$272:$F$281,C2691)</f>
        <v>0</v>
      </c>
    </row>
    <row r="2692" spans="1:4" x14ac:dyDescent="0.3">
      <c r="A2692">
        <v>28</v>
      </c>
      <c r="B2692" t="s">
        <v>106</v>
      </c>
      <c r="C2692">
        <v>18</v>
      </c>
      <c r="D2692">
        <f>COUNTIF(WeeklyPicks!$D$272:$F$281,C2692)</f>
        <v>0</v>
      </c>
    </row>
    <row r="2693" spans="1:4" x14ac:dyDescent="0.3">
      <c r="A2693">
        <v>28</v>
      </c>
      <c r="B2693" t="s">
        <v>106</v>
      </c>
      <c r="C2693">
        <v>19</v>
      </c>
      <c r="D2693">
        <f>COUNTIF(WeeklyPicks!$D$272:$F$281,C2693)</f>
        <v>0</v>
      </c>
    </row>
    <row r="2694" spans="1:4" x14ac:dyDescent="0.3">
      <c r="A2694">
        <v>28</v>
      </c>
      <c r="B2694" t="s">
        <v>106</v>
      </c>
      <c r="C2694">
        <v>20</v>
      </c>
      <c r="D2694">
        <f>COUNTIF(WeeklyPicks!$D$272:$F$281,C2694)</f>
        <v>0</v>
      </c>
    </row>
    <row r="2695" spans="1:4" x14ac:dyDescent="0.3">
      <c r="A2695">
        <v>28</v>
      </c>
      <c r="B2695" t="s">
        <v>106</v>
      </c>
      <c r="C2695">
        <v>21</v>
      </c>
      <c r="D2695">
        <f>COUNTIF(WeeklyPicks!$D$272:$F$281,C2695)</f>
        <v>0</v>
      </c>
    </row>
    <row r="2696" spans="1:4" x14ac:dyDescent="0.3">
      <c r="A2696">
        <v>28</v>
      </c>
      <c r="B2696" t="s">
        <v>106</v>
      </c>
      <c r="C2696">
        <v>22</v>
      </c>
      <c r="D2696">
        <f>COUNTIF(WeeklyPicks!$D$272:$F$281,C2696)</f>
        <v>0</v>
      </c>
    </row>
    <row r="2697" spans="1:4" x14ac:dyDescent="0.3">
      <c r="A2697">
        <v>28</v>
      </c>
      <c r="B2697" t="s">
        <v>106</v>
      </c>
      <c r="C2697">
        <v>23</v>
      </c>
      <c r="D2697">
        <f>COUNTIF(WeeklyPicks!$D$272:$F$281,C2697)</f>
        <v>0</v>
      </c>
    </row>
    <row r="2698" spans="1:4" x14ac:dyDescent="0.3">
      <c r="A2698">
        <v>28</v>
      </c>
      <c r="B2698" t="s">
        <v>106</v>
      </c>
      <c r="C2698">
        <v>24</v>
      </c>
      <c r="D2698">
        <f>COUNTIF(WeeklyPicks!$D$272:$F$281,C2698)</f>
        <v>0</v>
      </c>
    </row>
    <row r="2699" spans="1:4" x14ac:dyDescent="0.3">
      <c r="A2699">
        <v>28</v>
      </c>
      <c r="B2699" t="s">
        <v>106</v>
      </c>
      <c r="C2699">
        <v>25</v>
      </c>
      <c r="D2699">
        <f>COUNTIF(WeeklyPicks!$D$272:$F$281,C2699)</f>
        <v>0</v>
      </c>
    </row>
    <row r="2700" spans="1:4" x14ac:dyDescent="0.3">
      <c r="A2700">
        <v>28</v>
      </c>
      <c r="B2700" t="s">
        <v>106</v>
      </c>
      <c r="C2700">
        <v>26</v>
      </c>
      <c r="D2700">
        <f>COUNTIF(WeeklyPicks!$D$272:$F$281,C2700)</f>
        <v>0</v>
      </c>
    </row>
    <row r="2701" spans="1:4" x14ac:dyDescent="0.3">
      <c r="A2701">
        <v>28</v>
      </c>
      <c r="B2701" t="s">
        <v>106</v>
      </c>
      <c r="C2701">
        <v>27</v>
      </c>
      <c r="D2701">
        <f>COUNTIF(WeeklyPicks!$D$272:$F$281,C2701)</f>
        <v>0</v>
      </c>
    </row>
    <row r="2702" spans="1:4" x14ac:dyDescent="0.3">
      <c r="A2702">
        <v>28</v>
      </c>
      <c r="B2702" t="s">
        <v>106</v>
      </c>
      <c r="C2702">
        <v>28</v>
      </c>
      <c r="D2702">
        <f>COUNTIF(WeeklyPicks!$D$272:$F$281,C2702)</f>
        <v>0</v>
      </c>
    </row>
    <row r="2703" spans="1:4" x14ac:dyDescent="0.3">
      <c r="A2703">
        <v>28</v>
      </c>
      <c r="B2703" t="s">
        <v>106</v>
      </c>
      <c r="C2703">
        <v>29</v>
      </c>
      <c r="D2703">
        <f>COUNTIF(WeeklyPicks!$D$272:$F$281,C2703)</f>
        <v>0</v>
      </c>
    </row>
    <row r="2704" spans="1:4" x14ac:dyDescent="0.3">
      <c r="A2704">
        <v>28</v>
      </c>
      <c r="B2704" t="s">
        <v>106</v>
      </c>
      <c r="C2704">
        <v>30</v>
      </c>
      <c r="D2704">
        <f>COUNTIF(WeeklyPicks!$D$272:$F$281,C2704)</f>
        <v>0</v>
      </c>
    </row>
    <row r="2705" spans="1:4" x14ac:dyDescent="0.3">
      <c r="A2705">
        <v>28</v>
      </c>
      <c r="B2705" t="s">
        <v>106</v>
      </c>
      <c r="C2705">
        <v>31</v>
      </c>
      <c r="D2705">
        <f>COUNTIF(WeeklyPicks!$D$272:$F$281,C2705)</f>
        <v>0</v>
      </c>
    </row>
    <row r="2706" spans="1:4" x14ac:dyDescent="0.3">
      <c r="A2706">
        <v>28</v>
      </c>
      <c r="B2706" t="s">
        <v>106</v>
      </c>
      <c r="C2706">
        <v>32</v>
      </c>
      <c r="D2706">
        <f>COUNTIF(WeeklyPicks!$D$272:$F$281,C2706)</f>
        <v>0</v>
      </c>
    </row>
    <row r="2707" spans="1:4" x14ac:dyDescent="0.3">
      <c r="A2707">
        <v>28</v>
      </c>
      <c r="B2707" t="s">
        <v>106</v>
      </c>
      <c r="C2707">
        <v>33</v>
      </c>
      <c r="D2707">
        <f>COUNTIF(WeeklyPicks!$D$272:$F$281,C2707)</f>
        <v>0</v>
      </c>
    </row>
    <row r="2708" spans="1:4" x14ac:dyDescent="0.3">
      <c r="A2708">
        <v>28</v>
      </c>
      <c r="B2708" t="s">
        <v>106</v>
      </c>
      <c r="C2708">
        <v>34</v>
      </c>
      <c r="D2708">
        <f>COUNTIF(WeeklyPicks!$D$272:$F$281,C2708)</f>
        <v>0</v>
      </c>
    </row>
    <row r="2709" spans="1:4" x14ac:dyDescent="0.3">
      <c r="A2709">
        <v>28</v>
      </c>
      <c r="B2709" t="s">
        <v>106</v>
      </c>
      <c r="C2709">
        <v>35</v>
      </c>
      <c r="D2709">
        <f>COUNTIF(WeeklyPicks!$D$272:$F$281,C2709)</f>
        <v>0</v>
      </c>
    </row>
    <row r="2710" spans="1:4" x14ac:dyDescent="0.3">
      <c r="A2710">
        <v>28</v>
      </c>
      <c r="B2710" t="s">
        <v>106</v>
      </c>
      <c r="C2710">
        <v>36</v>
      </c>
      <c r="D2710">
        <f>COUNTIF(WeeklyPicks!$D$272:$F$281,C2710)</f>
        <v>0</v>
      </c>
    </row>
    <row r="2711" spans="1:4" x14ac:dyDescent="0.3">
      <c r="A2711">
        <v>28</v>
      </c>
      <c r="B2711" t="s">
        <v>106</v>
      </c>
      <c r="C2711">
        <v>37</v>
      </c>
      <c r="D2711">
        <f>COUNTIF(WeeklyPicks!$D$272:$F$281,C2711)</f>
        <v>0</v>
      </c>
    </row>
    <row r="2712" spans="1:4" x14ac:dyDescent="0.3">
      <c r="A2712">
        <v>28</v>
      </c>
      <c r="B2712" t="s">
        <v>106</v>
      </c>
      <c r="C2712">
        <v>38</v>
      </c>
      <c r="D2712">
        <f>COUNTIF(WeeklyPicks!$D$272:$F$281,C2712)</f>
        <v>0</v>
      </c>
    </row>
    <row r="2713" spans="1:4" x14ac:dyDescent="0.3">
      <c r="A2713">
        <v>28</v>
      </c>
      <c r="B2713" t="s">
        <v>106</v>
      </c>
      <c r="C2713">
        <v>39</v>
      </c>
      <c r="D2713">
        <f>COUNTIF(WeeklyPicks!$D$272:$F$281,C2713)</f>
        <v>0</v>
      </c>
    </row>
    <row r="2714" spans="1:4" x14ac:dyDescent="0.3">
      <c r="A2714">
        <v>28</v>
      </c>
      <c r="B2714" t="s">
        <v>106</v>
      </c>
      <c r="C2714">
        <v>40</v>
      </c>
      <c r="D2714">
        <f>COUNTIF(WeeklyPicks!$D$272:$F$281,C2714)</f>
        <v>0</v>
      </c>
    </row>
    <row r="2715" spans="1:4" x14ac:dyDescent="0.3">
      <c r="A2715">
        <v>28</v>
      </c>
      <c r="B2715" t="s">
        <v>106</v>
      </c>
      <c r="C2715">
        <v>41</v>
      </c>
      <c r="D2715">
        <f>COUNTIF(WeeklyPicks!$D$272:$F$281,C2715)</f>
        <v>0</v>
      </c>
    </row>
    <row r="2716" spans="1:4" x14ac:dyDescent="0.3">
      <c r="A2716">
        <v>28</v>
      </c>
      <c r="B2716" t="s">
        <v>106</v>
      </c>
      <c r="C2716">
        <v>42</v>
      </c>
      <c r="D2716">
        <f>COUNTIF(WeeklyPicks!$D$272:$F$281,C2716)</f>
        <v>0</v>
      </c>
    </row>
    <row r="2717" spans="1:4" x14ac:dyDescent="0.3">
      <c r="A2717">
        <v>28</v>
      </c>
      <c r="B2717" t="s">
        <v>106</v>
      </c>
      <c r="C2717">
        <v>43</v>
      </c>
      <c r="D2717">
        <f>COUNTIF(WeeklyPicks!$D$272:$F$281,C2717)</f>
        <v>0</v>
      </c>
    </row>
    <row r="2718" spans="1:4" x14ac:dyDescent="0.3">
      <c r="A2718">
        <v>28</v>
      </c>
      <c r="B2718" t="s">
        <v>106</v>
      </c>
      <c r="C2718">
        <v>44</v>
      </c>
      <c r="D2718">
        <f>COUNTIF(WeeklyPicks!$D$272:$F$281,C2718)</f>
        <v>0</v>
      </c>
    </row>
    <row r="2719" spans="1:4" x14ac:dyDescent="0.3">
      <c r="A2719">
        <v>28</v>
      </c>
      <c r="B2719" t="s">
        <v>106</v>
      </c>
      <c r="C2719">
        <v>45</v>
      </c>
      <c r="D2719">
        <f>COUNTIF(WeeklyPicks!$D$272:$F$281,C2719)</f>
        <v>0</v>
      </c>
    </row>
    <row r="2720" spans="1:4" x14ac:dyDescent="0.3">
      <c r="A2720">
        <v>28</v>
      </c>
      <c r="B2720" t="s">
        <v>106</v>
      </c>
      <c r="C2720">
        <v>46</v>
      </c>
      <c r="D2720">
        <f>COUNTIF(WeeklyPicks!$D$272:$F$281,C2720)</f>
        <v>0</v>
      </c>
    </row>
    <row r="2721" spans="1:4" x14ac:dyDescent="0.3">
      <c r="A2721">
        <v>28</v>
      </c>
      <c r="B2721" t="s">
        <v>106</v>
      </c>
      <c r="C2721">
        <v>47</v>
      </c>
      <c r="D2721">
        <f>COUNTIF(WeeklyPicks!$D$272:$F$281,C2721)</f>
        <v>0</v>
      </c>
    </row>
    <row r="2722" spans="1:4" x14ac:dyDescent="0.3">
      <c r="A2722">
        <v>28</v>
      </c>
      <c r="B2722" t="s">
        <v>106</v>
      </c>
      <c r="C2722">
        <v>48</v>
      </c>
      <c r="D2722">
        <f>COUNTIF(WeeklyPicks!$D$272:$F$281,C2722)</f>
        <v>0</v>
      </c>
    </row>
    <row r="2723" spans="1:4" x14ac:dyDescent="0.3">
      <c r="A2723">
        <v>28</v>
      </c>
      <c r="B2723" t="s">
        <v>106</v>
      </c>
      <c r="C2723">
        <v>49</v>
      </c>
      <c r="D2723">
        <f>COUNTIF(WeeklyPicks!$D$272:$F$281,C2723)</f>
        <v>0</v>
      </c>
    </row>
    <row r="2724" spans="1:4" x14ac:dyDescent="0.3">
      <c r="A2724">
        <v>28</v>
      </c>
      <c r="B2724" t="s">
        <v>106</v>
      </c>
      <c r="C2724">
        <v>50</v>
      </c>
      <c r="D2724">
        <f>COUNTIF(WeeklyPicks!$D$272:$F$281,C2724)</f>
        <v>0</v>
      </c>
    </row>
    <row r="2725" spans="1:4" x14ac:dyDescent="0.3">
      <c r="A2725">
        <v>28</v>
      </c>
      <c r="B2725" t="s">
        <v>106</v>
      </c>
      <c r="C2725">
        <v>51</v>
      </c>
      <c r="D2725">
        <f>COUNTIF(WeeklyPicks!$D$272:$F$281,C2725)</f>
        <v>0</v>
      </c>
    </row>
    <row r="2726" spans="1:4" x14ac:dyDescent="0.3">
      <c r="A2726">
        <v>28</v>
      </c>
      <c r="B2726" t="s">
        <v>106</v>
      </c>
      <c r="C2726">
        <v>52</v>
      </c>
      <c r="D2726">
        <f>COUNTIF(WeeklyPicks!$D$272:$F$281,C2726)</f>
        <v>0</v>
      </c>
    </row>
    <row r="2727" spans="1:4" x14ac:dyDescent="0.3">
      <c r="A2727">
        <v>28</v>
      </c>
      <c r="B2727" t="s">
        <v>106</v>
      </c>
      <c r="C2727">
        <v>53</v>
      </c>
      <c r="D2727">
        <f>COUNTIF(WeeklyPicks!$D$272:$F$281,C2727)</f>
        <v>0</v>
      </c>
    </row>
    <row r="2728" spans="1:4" x14ac:dyDescent="0.3">
      <c r="A2728">
        <v>28</v>
      </c>
      <c r="B2728" t="s">
        <v>106</v>
      </c>
      <c r="C2728">
        <v>54</v>
      </c>
      <c r="D2728">
        <f>COUNTIF(WeeklyPicks!$D$272:$F$281,C2728)</f>
        <v>0</v>
      </c>
    </row>
    <row r="2729" spans="1:4" x14ac:dyDescent="0.3">
      <c r="A2729">
        <v>28</v>
      </c>
      <c r="B2729" t="s">
        <v>106</v>
      </c>
      <c r="C2729">
        <v>55</v>
      </c>
      <c r="D2729">
        <f>COUNTIF(WeeklyPicks!$D$272:$F$281,C2729)</f>
        <v>0</v>
      </c>
    </row>
    <row r="2730" spans="1:4" x14ac:dyDescent="0.3">
      <c r="A2730">
        <v>28</v>
      </c>
      <c r="B2730" t="s">
        <v>106</v>
      </c>
      <c r="C2730">
        <v>56</v>
      </c>
      <c r="D2730">
        <f>COUNTIF(WeeklyPicks!$D$272:$F$281,C2730)</f>
        <v>0</v>
      </c>
    </row>
    <row r="2731" spans="1:4" x14ac:dyDescent="0.3">
      <c r="A2731">
        <v>28</v>
      </c>
      <c r="B2731" t="s">
        <v>106</v>
      </c>
      <c r="C2731">
        <v>57</v>
      </c>
      <c r="D2731">
        <f>COUNTIF(WeeklyPicks!$D$272:$F$281,C2731)</f>
        <v>0</v>
      </c>
    </row>
    <row r="2732" spans="1:4" x14ac:dyDescent="0.3">
      <c r="A2732">
        <v>28</v>
      </c>
      <c r="B2732" t="s">
        <v>106</v>
      </c>
      <c r="C2732">
        <v>58</v>
      </c>
      <c r="D2732">
        <f>COUNTIF(WeeklyPicks!$D$272:$F$281,C2732)</f>
        <v>0</v>
      </c>
    </row>
    <row r="2733" spans="1:4" x14ac:dyDescent="0.3">
      <c r="A2733">
        <v>28</v>
      </c>
      <c r="B2733" t="s">
        <v>106</v>
      </c>
      <c r="C2733">
        <v>59</v>
      </c>
      <c r="D2733">
        <f>COUNTIF(WeeklyPicks!$D$272:$F$281,C2733)</f>
        <v>0</v>
      </c>
    </row>
    <row r="2734" spans="1:4" x14ac:dyDescent="0.3">
      <c r="A2734">
        <v>28</v>
      </c>
      <c r="B2734" t="s">
        <v>106</v>
      </c>
      <c r="C2734">
        <v>60</v>
      </c>
      <c r="D2734">
        <f>COUNTIF(WeeklyPicks!$D$272:$F$281,C2734)</f>
        <v>0</v>
      </c>
    </row>
    <row r="2735" spans="1:4" x14ac:dyDescent="0.3">
      <c r="A2735">
        <v>28</v>
      </c>
      <c r="B2735" t="s">
        <v>106</v>
      </c>
      <c r="C2735">
        <v>61</v>
      </c>
      <c r="D2735">
        <f>COUNTIF(WeeklyPicks!$D$272:$F$281,C2735)</f>
        <v>0</v>
      </c>
    </row>
    <row r="2736" spans="1:4" x14ac:dyDescent="0.3">
      <c r="A2736">
        <v>28</v>
      </c>
      <c r="B2736" t="s">
        <v>106</v>
      </c>
      <c r="C2736">
        <v>62</v>
      </c>
      <c r="D2736">
        <f>COUNTIF(WeeklyPicks!$D$272:$F$281,C2736)</f>
        <v>0</v>
      </c>
    </row>
    <row r="2737" spans="1:4" x14ac:dyDescent="0.3">
      <c r="A2737">
        <v>28</v>
      </c>
      <c r="B2737" t="s">
        <v>106</v>
      </c>
      <c r="C2737">
        <v>63</v>
      </c>
      <c r="D2737">
        <f>COUNTIF(WeeklyPicks!$D$272:$F$281,C2737)</f>
        <v>0</v>
      </c>
    </row>
    <row r="2738" spans="1:4" x14ac:dyDescent="0.3">
      <c r="A2738">
        <v>28</v>
      </c>
      <c r="B2738" t="s">
        <v>106</v>
      </c>
      <c r="C2738">
        <v>64</v>
      </c>
      <c r="D2738">
        <f>COUNTIF(WeeklyPicks!$D$272:$F$281,C2738)</f>
        <v>0</v>
      </c>
    </row>
    <row r="2739" spans="1:4" x14ac:dyDescent="0.3">
      <c r="A2739">
        <v>28</v>
      </c>
      <c r="B2739" t="s">
        <v>106</v>
      </c>
      <c r="C2739">
        <v>65</v>
      </c>
      <c r="D2739">
        <f>COUNTIF(WeeklyPicks!$D$272:$F$281,C2739)</f>
        <v>0</v>
      </c>
    </row>
    <row r="2740" spans="1:4" x14ac:dyDescent="0.3">
      <c r="A2740">
        <v>28</v>
      </c>
      <c r="B2740" t="s">
        <v>106</v>
      </c>
      <c r="C2740">
        <v>66</v>
      </c>
      <c r="D2740">
        <f>COUNTIF(WeeklyPicks!$D$272:$F$281,C2740)</f>
        <v>0</v>
      </c>
    </row>
    <row r="2741" spans="1:4" x14ac:dyDescent="0.3">
      <c r="A2741">
        <v>28</v>
      </c>
      <c r="B2741" t="s">
        <v>106</v>
      </c>
      <c r="C2741">
        <v>67</v>
      </c>
      <c r="D2741">
        <f>COUNTIF(WeeklyPicks!$D$272:$F$281,C2741)</f>
        <v>0</v>
      </c>
    </row>
    <row r="2742" spans="1:4" x14ac:dyDescent="0.3">
      <c r="A2742">
        <v>28</v>
      </c>
      <c r="B2742" t="s">
        <v>106</v>
      </c>
      <c r="C2742">
        <v>68</v>
      </c>
      <c r="D2742">
        <f>COUNTIF(WeeklyPicks!$D$272:$F$281,C2742)</f>
        <v>0</v>
      </c>
    </row>
    <row r="2743" spans="1:4" x14ac:dyDescent="0.3">
      <c r="A2743">
        <v>28</v>
      </c>
      <c r="B2743" t="s">
        <v>106</v>
      </c>
      <c r="C2743">
        <v>69</v>
      </c>
      <c r="D2743">
        <f>COUNTIF(WeeklyPicks!$D$272:$F$281,C2743)</f>
        <v>0</v>
      </c>
    </row>
    <row r="2744" spans="1:4" x14ac:dyDescent="0.3">
      <c r="A2744">
        <v>28</v>
      </c>
      <c r="B2744" t="s">
        <v>106</v>
      </c>
      <c r="C2744">
        <v>70</v>
      </c>
      <c r="D2744">
        <f>COUNTIF(WeeklyPicks!$D$272:$F$281,C2744)</f>
        <v>0</v>
      </c>
    </row>
    <row r="2745" spans="1:4" x14ac:dyDescent="0.3">
      <c r="A2745">
        <v>28</v>
      </c>
      <c r="B2745" t="s">
        <v>106</v>
      </c>
      <c r="C2745">
        <v>71</v>
      </c>
      <c r="D2745">
        <f>COUNTIF(WeeklyPicks!$D$272:$F$281,C2745)</f>
        <v>0</v>
      </c>
    </row>
    <row r="2746" spans="1:4" x14ac:dyDescent="0.3">
      <c r="A2746">
        <v>28</v>
      </c>
      <c r="B2746" t="s">
        <v>106</v>
      </c>
      <c r="C2746">
        <v>72</v>
      </c>
      <c r="D2746">
        <f>COUNTIF(WeeklyPicks!$D$272:$F$281,C2746)</f>
        <v>0</v>
      </c>
    </row>
    <row r="2747" spans="1:4" x14ac:dyDescent="0.3">
      <c r="A2747">
        <v>28</v>
      </c>
      <c r="B2747" t="s">
        <v>106</v>
      </c>
      <c r="C2747">
        <v>73</v>
      </c>
      <c r="D2747">
        <f>COUNTIF(WeeklyPicks!$D$272:$F$281,C2747)</f>
        <v>0</v>
      </c>
    </row>
    <row r="2748" spans="1:4" x14ac:dyDescent="0.3">
      <c r="A2748">
        <v>28</v>
      </c>
      <c r="B2748" t="s">
        <v>106</v>
      </c>
      <c r="C2748">
        <v>74</v>
      </c>
      <c r="D2748">
        <f>COUNTIF(WeeklyPicks!$D$272:$F$281,C2748)</f>
        <v>0</v>
      </c>
    </row>
    <row r="2749" spans="1:4" x14ac:dyDescent="0.3">
      <c r="A2749">
        <v>28</v>
      </c>
      <c r="B2749" t="s">
        <v>106</v>
      </c>
      <c r="C2749">
        <v>75</v>
      </c>
      <c r="D2749">
        <f>COUNTIF(WeeklyPicks!$D$272:$F$281,C2749)</f>
        <v>0</v>
      </c>
    </row>
    <row r="2750" spans="1:4" x14ac:dyDescent="0.3">
      <c r="A2750">
        <v>28</v>
      </c>
      <c r="B2750" t="s">
        <v>106</v>
      </c>
      <c r="C2750">
        <v>76</v>
      </c>
      <c r="D2750">
        <f>COUNTIF(WeeklyPicks!$D$272:$F$281,C2750)</f>
        <v>0</v>
      </c>
    </row>
    <row r="2751" spans="1:4" x14ac:dyDescent="0.3">
      <c r="A2751">
        <v>28</v>
      </c>
      <c r="B2751" t="s">
        <v>106</v>
      </c>
      <c r="C2751">
        <v>77</v>
      </c>
      <c r="D2751">
        <f>COUNTIF(WeeklyPicks!$D$272:$F$281,C2751)</f>
        <v>0</v>
      </c>
    </row>
    <row r="2752" spans="1:4" x14ac:dyDescent="0.3">
      <c r="A2752">
        <v>28</v>
      </c>
      <c r="B2752" t="s">
        <v>106</v>
      </c>
      <c r="C2752">
        <v>78</v>
      </c>
      <c r="D2752">
        <f>COUNTIF(WeeklyPicks!$D$272:$F$281,C2752)</f>
        <v>0</v>
      </c>
    </row>
    <row r="2753" spans="1:4" x14ac:dyDescent="0.3">
      <c r="A2753">
        <v>28</v>
      </c>
      <c r="B2753" t="s">
        <v>106</v>
      </c>
      <c r="C2753">
        <v>79</v>
      </c>
      <c r="D2753">
        <f>COUNTIF(WeeklyPicks!$D$272:$F$281,C2753)</f>
        <v>0</v>
      </c>
    </row>
    <row r="2754" spans="1:4" x14ac:dyDescent="0.3">
      <c r="A2754">
        <v>28</v>
      </c>
      <c r="B2754" t="s">
        <v>106</v>
      </c>
      <c r="C2754">
        <v>80</v>
      </c>
      <c r="D2754">
        <f>COUNTIF(WeeklyPicks!$D$272:$F$281,C2754)</f>
        <v>0</v>
      </c>
    </row>
    <row r="2755" spans="1:4" x14ac:dyDescent="0.3">
      <c r="A2755">
        <v>28</v>
      </c>
      <c r="B2755" t="s">
        <v>106</v>
      </c>
      <c r="C2755">
        <v>81</v>
      </c>
      <c r="D2755">
        <f>COUNTIF(WeeklyPicks!$D$272:$F$281,C2755)</f>
        <v>0</v>
      </c>
    </row>
    <row r="2756" spans="1:4" x14ac:dyDescent="0.3">
      <c r="A2756">
        <v>28</v>
      </c>
      <c r="B2756" t="s">
        <v>106</v>
      </c>
      <c r="C2756">
        <v>82</v>
      </c>
      <c r="D2756">
        <f>COUNTIF(WeeklyPicks!$D$272:$F$281,C2756)</f>
        <v>0</v>
      </c>
    </row>
    <row r="2757" spans="1:4" x14ac:dyDescent="0.3">
      <c r="A2757">
        <v>28</v>
      </c>
      <c r="B2757" t="s">
        <v>106</v>
      </c>
      <c r="C2757">
        <v>83</v>
      </c>
      <c r="D2757">
        <f>COUNTIF(WeeklyPicks!$D$272:$F$281,C2757)</f>
        <v>0</v>
      </c>
    </row>
    <row r="2758" spans="1:4" x14ac:dyDescent="0.3">
      <c r="A2758">
        <v>28</v>
      </c>
      <c r="B2758" t="s">
        <v>106</v>
      </c>
      <c r="C2758">
        <v>84</v>
      </c>
      <c r="D2758">
        <f>COUNTIF(WeeklyPicks!$D$272:$F$281,C2758)</f>
        <v>0</v>
      </c>
    </row>
    <row r="2759" spans="1:4" x14ac:dyDescent="0.3">
      <c r="A2759">
        <v>28</v>
      </c>
      <c r="B2759" t="s">
        <v>106</v>
      </c>
      <c r="C2759">
        <v>85</v>
      </c>
      <c r="D2759">
        <f>COUNTIF(WeeklyPicks!$D$272:$F$281,C2759)</f>
        <v>0</v>
      </c>
    </row>
    <row r="2760" spans="1:4" x14ac:dyDescent="0.3">
      <c r="A2760">
        <v>28</v>
      </c>
      <c r="B2760" t="s">
        <v>106</v>
      </c>
      <c r="C2760">
        <v>86</v>
      </c>
      <c r="D2760">
        <f>COUNTIF(WeeklyPicks!$D$272:$F$281,C2760)</f>
        <v>0</v>
      </c>
    </row>
    <row r="2761" spans="1:4" x14ac:dyDescent="0.3">
      <c r="A2761">
        <v>28</v>
      </c>
      <c r="B2761" t="s">
        <v>106</v>
      </c>
      <c r="C2761">
        <v>87</v>
      </c>
      <c r="D2761">
        <f>COUNTIF(WeeklyPicks!$D$272:$F$281,C2761)</f>
        <v>0</v>
      </c>
    </row>
    <row r="2762" spans="1:4" x14ac:dyDescent="0.3">
      <c r="A2762">
        <v>28</v>
      </c>
      <c r="B2762" t="s">
        <v>106</v>
      </c>
      <c r="C2762">
        <v>88</v>
      </c>
      <c r="D2762">
        <f>COUNTIF(WeeklyPicks!$D$272:$F$281,C2762)</f>
        <v>0</v>
      </c>
    </row>
    <row r="2763" spans="1:4" x14ac:dyDescent="0.3">
      <c r="A2763">
        <v>28</v>
      </c>
      <c r="B2763" t="s">
        <v>106</v>
      </c>
      <c r="C2763">
        <v>89</v>
      </c>
      <c r="D2763">
        <f>COUNTIF(WeeklyPicks!$D$272:$F$281,C2763)</f>
        <v>0</v>
      </c>
    </row>
    <row r="2764" spans="1:4" x14ac:dyDescent="0.3">
      <c r="A2764">
        <v>28</v>
      </c>
      <c r="B2764" t="s">
        <v>106</v>
      </c>
      <c r="C2764">
        <v>90</v>
      </c>
      <c r="D2764">
        <f>COUNTIF(WeeklyPicks!$D$272:$F$281,C2764)</f>
        <v>0</v>
      </c>
    </row>
    <row r="2765" spans="1:4" x14ac:dyDescent="0.3">
      <c r="A2765">
        <v>28</v>
      </c>
      <c r="B2765" t="s">
        <v>106</v>
      </c>
      <c r="C2765">
        <v>91</v>
      </c>
      <c r="D2765">
        <f>COUNTIF(WeeklyPicks!$D$272:$F$281,C2765)</f>
        <v>0</v>
      </c>
    </row>
    <row r="2766" spans="1:4" x14ac:dyDescent="0.3">
      <c r="A2766">
        <v>28</v>
      </c>
      <c r="B2766" t="s">
        <v>106</v>
      </c>
      <c r="C2766">
        <v>92</v>
      </c>
      <c r="D2766">
        <f>COUNTIF(WeeklyPicks!$D$272:$F$281,C2766)</f>
        <v>0</v>
      </c>
    </row>
    <row r="2767" spans="1:4" x14ac:dyDescent="0.3">
      <c r="A2767">
        <v>28</v>
      </c>
      <c r="B2767" t="s">
        <v>106</v>
      </c>
      <c r="C2767">
        <v>93</v>
      </c>
      <c r="D2767">
        <f>COUNTIF(WeeklyPicks!$D$272:$F$281,C2767)</f>
        <v>0</v>
      </c>
    </row>
    <row r="2768" spans="1:4" x14ac:dyDescent="0.3">
      <c r="A2768">
        <v>28</v>
      </c>
      <c r="B2768" t="s">
        <v>106</v>
      </c>
      <c r="C2768">
        <v>94</v>
      </c>
      <c r="D2768">
        <f>COUNTIF(WeeklyPicks!$D$272:$F$281,C2768)</f>
        <v>0</v>
      </c>
    </row>
    <row r="2769" spans="1:4" x14ac:dyDescent="0.3">
      <c r="A2769">
        <v>28</v>
      </c>
      <c r="B2769" t="s">
        <v>106</v>
      </c>
      <c r="C2769">
        <v>95</v>
      </c>
      <c r="D2769">
        <f>COUNTIF(WeeklyPicks!$D$272:$F$281,C2769)</f>
        <v>0</v>
      </c>
    </row>
    <row r="2770" spans="1:4" x14ac:dyDescent="0.3">
      <c r="A2770">
        <v>28</v>
      </c>
      <c r="B2770" t="s">
        <v>106</v>
      </c>
      <c r="C2770">
        <v>96</v>
      </c>
      <c r="D2770">
        <f>COUNTIF(WeeklyPicks!$D$272:$F$281,C2770)</f>
        <v>0</v>
      </c>
    </row>
    <row r="2771" spans="1:4" x14ac:dyDescent="0.3">
      <c r="A2771">
        <v>28</v>
      </c>
      <c r="B2771" t="s">
        <v>106</v>
      </c>
      <c r="C2771">
        <v>97</v>
      </c>
      <c r="D2771">
        <f>COUNTIF(WeeklyPicks!$D$272:$F$281,C2771)</f>
        <v>0</v>
      </c>
    </row>
    <row r="2772" spans="1:4" x14ac:dyDescent="0.3">
      <c r="A2772">
        <v>28</v>
      </c>
      <c r="B2772" t="s">
        <v>106</v>
      </c>
      <c r="C2772">
        <v>98</v>
      </c>
      <c r="D2772">
        <f>COUNTIF(WeeklyPicks!$D$272:$F$281,C2772)</f>
        <v>0</v>
      </c>
    </row>
    <row r="2773" spans="1:4" x14ac:dyDescent="0.3">
      <c r="A2773">
        <v>28</v>
      </c>
      <c r="B2773" t="s">
        <v>106</v>
      </c>
      <c r="C2773">
        <v>99</v>
      </c>
      <c r="D2773">
        <f>COUNTIF(WeeklyPicks!$D$272:$F$281,C2773)</f>
        <v>0</v>
      </c>
    </row>
    <row r="2774" spans="1:4" x14ac:dyDescent="0.3">
      <c r="A2774">
        <v>29</v>
      </c>
      <c r="B2774" t="s">
        <v>63</v>
      </c>
      <c r="C2774">
        <v>1</v>
      </c>
      <c r="D2774">
        <f>COUNTIF(WeeklyPicks!$D$282:$F$291,C2774)</f>
        <v>0</v>
      </c>
    </row>
    <row r="2775" spans="1:4" x14ac:dyDescent="0.3">
      <c r="A2775">
        <v>29</v>
      </c>
      <c r="B2775" t="s">
        <v>63</v>
      </c>
      <c r="C2775">
        <v>2</v>
      </c>
      <c r="D2775">
        <f>COUNTIF(WeeklyPicks!$D$282:$F$291,C2775)</f>
        <v>0</v>
      </c>
    </row>
    <row r="2776" spans="1:4" x14ac:dyDescent="0.3">
      <c r="A2776">
        <v>29</v>
      </c>
      <c r="B2776" t="s">
        <v>63</v>
      </c>
      <c r="C2776">
        <v>3</v>
      </c>
      <c r="D2776">
        <f>COUNTIF(WeeklyPicks!$D$282:$F$291,C2776)</f>
        <v>0</v>
      </c>
    </row>
    <row r="2777" spans="1:4" x14ac:dyDescent="0.3">
      <c r="A2777">
        <v>29</v>
      </c>
      <c r="B2777" t="s">
        <v>63</v>
      </c>
      <c r="C2777">
        <v>4</v>
      </c>
      <c r="D2777">
        <f>COUNTIF(WeeklyPicks!$D$282:$F$291,C2777)</f>
        <v>0</v>
      </c>
    </row>
    <row r="2778" spans="1:4" x14ac:dyDescent="0.3">
      <c r="A2778">
        <v>29</v>
      </c>
      <c r="B2778" t="s">
        <v>63</v>
      </c>
      <c r="C2778">
        <v>5</v>
      </c>
      <c r="D2778">
        <f>COUNTIF(WeeklyPicks!$D$282:$F$291,C2778)</f>
        <v>0</v>
      </c>
    </row>
    <row r="2779" spans="1:4" x14ac:dyDescent="0.3">
      <c r="A2779">
        <v>29</v>
      </c>
      <c r="B2779" t="s">
        <v>63</v>
      </c>
      <c r="C2779">
        <v>6</v>
      </c>
      <c r="D2779">
        <f>COUNTIF(WeeklyPicks!$D$282:$F$291,C2779)</f>
        <v>0</v>
      </c>
    </row>
    <row r="2780" spans="1:4" x14ac:dyDescent="0.3">
      <c r="A2780">
        <v>29</v>
      </c>
      <c r="B2780" t="s">
        <v>63</v>
      </c>
      <c r="C2780">
        <v>7</v>
      </c>
      <c r="D2780">
        <f>COUNTIF(WeeklyPicks!$D$282:$F$291,C2780)</f>
        <v>0</v>
      </c>
    </row>
    <row r="2781" spans="1:4" x14ac:dyDescent="0.3">
      <c r="A2781">
        <v>29</v>
      </c>
      <c r="B2781" t="s">
        <v>63</v>
      </c>
      <c r="C2781">
        <v>8</v>
      </c>
      <c r="D2781">
        <f>COUNTIF(WeeklyPicks!$D$282:$F$291,C2781)</f>
        <v>0</v>
      </c>
    </row>
    <row r="2782" spans="1:4" x14ac:dyDescent="0.3">
      <c r="A2782">
        <v>29</v>
      </c>
      <c r="B2782" t="s">
        <v>63</v>
      </c>
      <c r="C2782">
        <v>9</v>
      </c>
      <c r="D2782">
        <f>COUNTIF(WeeklyPicks!$D$282:$F$291,C2782)</f>
        <v>0</v>
      </c>
    </row>
    <row r="2783" spans="1:4" x14ac:dyDescent="0.3">
      <c r="A2783">
        <v>29</v>
      </c>
      <c r="B2783" t="s">
        <v>63</v>
      </c>
      <c r="C2783">
        <v>10</v>
      </c>
      <c r="D2783">
        <f>COUNTIF(WeeklyPicks!$D$282:$F$291,C2783)</f>
        <v>0</v>
      </c>
    </row>
    <row r="2784" spans="1:4" x14ac:dyDescent="0.3">
      <c r="A2784">
        <v>29</v>
      </c>
      <c r="B2784" t="s">
        <v>63</v>
      </c>
      <c r="C2784">
        <v>11</v>
      </c>
      <c r="D2784">
        <f>COUNTIF(WeeklyPicks!$D$282:$F$291,C2784)</f>
        <v>0</v>
      </c>
    </row>
    <row r="2785" spans="1:4" x14ac:dyDescent="0.3">
      <c r="A2785">
        <v>29</v>
      </c>
      <c r="B2785" t="s">
        <v>63</v>
      </c>
      <c r="C2785">
        <v>12</v>
      </c>
      <c r="D2785">
        <f>COUNTIF(WeeklyPicks!$D$282:$F$291,C2785)</f>
        <v>0</v>
      </c>
    </row>
    <row r="2786" spans="1:4" x14ac:dyDescent="0.3">
      <c r="A2786">
        <v>29</v>
      </c>
      <c r="B2786" t="s">
        <v>63</v>
      </c>
      <c r="C2786">
        <v>13</v>
      </c>
      <c r="D2786">
        <f>COUNTIF(WeeklyPicks!$D$282:$F$291,C2786)</f>
        <v>0</v>
      </c>
    </row>
    <row r="2787" spans="1:4" x14ac:dyDescent="0.3">
      <c r="A2787">
        <v>29</v>
      </c>
      <c r="B2787" t="s">
        <v>63</v>
      </c>
      <c r="C2787">
        <v>14</v>
      </c>
      <c r="D2787">
        <f>COUNTIF(WeeklyPicks!$D$282:$F$291,C2787)</f>
        <v>0</v>
      </c>
    </row>
    <row r="2788" spans="1:4" x14ac:dyDescent="0.3">
      <c r="A2788">
        <v>29</v>
      </c>
      <c r="B2788" t="s">
        <v>63</v>
      </c>
      <c r="C2788">
        <v>15</v>
      </c>
      <c r="D2788">
        <f>COUNTIF(WeeklyPicks!$D$282:$F$291,C2788)</f>
        <v>0</v>
      </c>
    </row>
    <row r="2789" spans="1:4" x14ac:dyDescent="0.3">
      <c r="A2789">
        <v>29</v>
      </c>
      <c r="B2789" t="s">
        <v>63</v>
      </c>
      <c r="C2789">
        <v>16</v>
      </c>
      <c r="D2789">
        <f>COUNTIF(WeeklyPicks!$D$282:$F$291,C2789)</f>
        <v>0</v>
      </c>
    </row>
    <row r="2790" spans="1:4" x14ac:dyDescent="0.3">
      <c r="A2790">
        <v>29</v>
      </c>
      <c r="B2790" t="s">
        <v>63</v>
      </c>
      <c r="C2790">
        <v>17</v>
      </c>
      <c r="D2790">
        <f>COUNTIF(WeeklyPicks!$D$282:$F$291,C2790)</f>
        <v>0</v>
      </c>
    </row>
    <row r="2791" spans="1:4" x14ac:dyDescent="0.3">
      <c r="A2791">
        <v>29</v>
      </c>
      <c r="B2791" t="s">
        <v>63</v>
      </c>
      <c r="C2791">
        <v>18</v>
      </c>
      <c r="D2791">
        <f>COUNTIF(WeeklyPicks!$D$282:$F$291,C2791)</f>
        <v>0</v>
      </c>
    </row>
    <row r="2792" spans="1:4" x14ac:dyDescent="0.3">
      <c r="A2792">
        <v>29</v>
      </c>
      <c r="B2792" t="s">
        <v>63</v>
      </c>
      <c r="C2792">
        <v>19</v>
      </c>
      <c r="D2792">
        <f>COUNTIF(WeeklyPicks!$D$282:$F$291,C2792)</f>
        <v>0</v>
      </c>
    </row>
    <row r="2793" spans="1:4" x14ac:dyDescent="0.3">
      <c r="A2793">
        <v>29</v>
      </c>
      <c r="B2793" t="s">
        <v>63</v>
      </c>
      <c r="C2793">
        <v>20</v>
      </c>
      <c r="D2793">
        <f>COUNTIF(WeeklyPicks!$D$282:$F$291,C2793)</f>
        <v>0</v>
      </c>
    </row>
    <row r="2794" spans="1:4" x14ac:dyDescent="0.3">
      <c r="A2794">
        <v>29</v>
      </c>
      <c r="B2794" t="s">
        <v>63</v>
      </c>
      <c r="C2794">
        <v>21</v>
      </c>
      <c r="D2794">
        <f>COUNTIF(WeeklyPicks!$D$282:$F$291,C2794)</f>
        <v>0</v>
      </c>
    </row>
    <row r="2795" spans="1:4" x14ac:dyDescent="0.3">
      <c r="A2795">
        <v>29</v>
      </c>
      <c r="B2795" t="s">
        <v>63</v>
      </c>
      <c r="C2795">
        <v>22</v>
      </c>
      <c r="D2795">
        <f>COUNTIF(WeeklyPicks!$D$282:$F$291,C2795)</f>
        <v>0</v>
      </c>
    </row>
    <row r="2796" spans="1:4" x14ac:dyDescent="0.3">
      <c r="A2796">
        <v>29</v>
      </c>
      <c r="B2796" t="s">
        <v>63</v>
      </c>
      <c r="C2796">
        <v>23</v>
      </c>
      <c r="D2796">
        <f>COUNTIF(WeeklyPicks!$D$282:$F$291,C2796)</f>
        <v>0</v>
      </c>
    </row>
    <row r="2797" spans="1:4" x14ac:dyDescent="0.3">
      <c r="A2797">
        <v>29</v>
      </c>
      <c r="B2797" t="s">
        <v>63</v>
      </c>
      <c r="C2797">
        <v>24</v>
      </c>
      <c r="D2797">
        <f>COUNTIF(WeeklyPicks!$D$282:$F$291,C2797)</f>
        <v>0</v>
      </c>
    </row>
    <row r="2798" spans="1:4" x14ac:dyDescent="0.3">
      <c r="A2798">
        <v>29</v>
      </c>
      <c r="B2798" t="s">
        <v>63</v>
      </c>
      <c r="C2798">
        <v>25</v>
      </c>
      <c r="D2798">
        <f>COUNTIF(WeeklyPicks!$D$282:$F$291,C2798)</f>
        <v>0</v>
      </c>
    </row>
    <row r="2799" spans="1:4" x14ac:dyDescent="0.3">
      <c r="A2799">
        <v>29</v>
      </c>
      <c r="B2799" t="s">
        <v>63</v>
      </c>
      <c r="C2799">
        <v>26</v>
      </c>
      <c r="D2799">
        <f>COUNTIF(WeeklyPicks!$D$282:$F$291,C2799)</f>
        <v>0</v>
      </c>
    </row>
    <row r="2800" spans="1:4" x14ac:dyDescent="0.3">
      <c r="A2800">
        <v>29</v>
      </c>
      <c r="B2800" t="s">
        <v>63</v>
      </c>
      <c r="C2800">
        <v>27</v>
      </c>
      <c r="D2800">
        <f>COUNTIF(WeeklyPicks!$D$282:$F$291,C2800)</f>
        <v>0</v>
      </c>
    </row>
    <row r="2801" spans="1:4" x14ac:dyDescent="0.3">
      <c r="A2801">
        <v>29</v>
      </c>
      <c r="B2801" t="s">
        <v>63</v>
      </c>
      <c r="C2801">
        <v>28</v>
      </c>
      <c r="D2801">
        <f>COUNTIF(WeeklyPicks!$D$282:$F$291,C2801)</f>
        <v>0</v>
      </c>
    </row>
    <row r="2802" spans="1:4" x14ac:dyDescent="0.3">
      <c r="A2802">
        <v>29</v>
      </c>
      <c r="B2802" t="s">
        <v>63</v>
      </c>
      <c r="C2802">
        <v>29</v>
      </c>
      <c r="D2802">
        <f>COUNTIF(WeeklyPicks!$D$282:$F$291,C2802)</f>
        <v>0</v>
      </c>
    </row>
    <row r="2803" spans="1:4" x14ac:dyDescent="0.3">
      <c r="A2803">
        <v>29</v>
      </c>
      <c r="B2803" t="s">
        <v>63</v>
      </c>
      <c r="C2803">
        <v>30</v>
      </c>
      <c r="D2803">
        <f>COUNTIF(WeeklyPicks!$D$282:$F$291,C2803)</f>
        <v>0</v>
      </c>
    </row>
    <row r="2804" spans="1:4" x14ac:dyDescent="0.3">
      <c r="A2804">
        <v>29</v>
      </c>
      <c r="B2804" t="s">
        <v>63</v>
      </c>
      <c r="C2804">
        <v>31</v>
      </c>
      <c r="D2804">
        <f>COUNTIF(WeeklyPicks!$D$282:$F$291,C2804)</f>
        <v>0</v>
      </c>
    </row>
    <row r="2805" spans="1:4" x14ac:dyDescent="0.3">
      <c r="A2805">
        <v>29</v>
      </c>
      <c r="B2805" t="s">
        <v>63</v>
      </c>
      <c r="C2805">
        <v>32</v>
      </c>
      <c r="D2805">
        <f>COUNTIF(WeeklyPicks!$D$282:$F$291,C2805)</f>
        <v>0</v>
      </c>
    </row>
    <row r="2806" spans="1:4" x14ac:dyDescent="0.3">
      <c r="A2806">
        <v>29</v>
      </c>
      <c r="B2806" t="s">
        <v>63</v>
      </c>
      <c r="C2806">
        <v>33</v>
      </c>
      <c r="D2806">
        <f>COUNTIF(WeeklyPicks!$D$282:$F$291,C2806)</f>
        <v>0</v>
      </c>
    </row>
    <row r="2807" spans="1:4" x14ac:dyDescent="0.3">
      <c r="A2807">
        <v>29</v>
      </c>
      <c r="B2807" t="s">
        <v>63</v>
      </c>
      <c r="C2807">
        <v>34</v>
      </c>
      <c r="D2807">
        <f>COUNTIF(WeeklyPicks!$D$282:$F$291,C2807)</f>
        <v>0</v>
      </c>
    </row>
    <row r="2808" spans="1:4" x14ac:dyDescent="0.3">
      <c r="A2808">
        <v>29</v>
      </c>
      <c r="B2808" t="s">
        <v>63</v>
      </c>
      <c r="C2808">
        <v>35</v>
      </c>
      <c r="D2808">
        <f>COUNTIF(WeeklyPicks!$D$282:$F$291,C2808)</f>
        <v>0</v>
      </c>
    </row>
    <row r="2809" spans="1:4" x14ac:dyDescent="0.3">
      <c r="A2809">
        <v>29</v>
      </c>
      <c r="B2809" t="s">
        <v>63</v>
      </c>
      <c r="C2809">
        <v>36</v>
      </c>
      <c r="D2809">
        <f>COUNTIF(WeeklyPicks!$D$282:$F$291,C2809)</f>
        <v>0</v>
      </c>
    </row>
    <row r="2810" spans="1:4" x14ac:dyDescent="0.3">
      <c r="A2810">
        <v>29</v>
      </c>
      <c r="B2810" t="s">
        <v>63</v>
      </c>
      <c r="C2810">
        <v>37</v>
      </c>
      <c r="D2810">
        <f>COUNTIF(WeeklyPicks!$D$282:$F$291,C2810)</f>
        <v>0</v>
      </c>
    </row>
    <row r="2811" spans="1:4" x14ac:dyDescent="0.3">
      <c r="A2811">
        <v>29</v>
      </c>
      <c r="B2811" t="s">
        <v>63</v>
      </c>
      <c r="C2811">
        <v>38</v>
      </c>
      <c r="D2811">
        <f>COUNTIF(WeeklyPicks!$D$282:$F$291,C2811)</f>
        <v>0</v>
      </c>
    </row>
    <row r="2812" spans="1:4" x14ac:dyDescent="0.3">
      <c r="A2812">
        <v>29</v>
      </c>
      <c r="B2812" t="s">
        <v>63</v>
      </c>
      <c r="C2812">
        <v>39</v>
      </c>
      <c r="D2812">
        <f>COUNTIF(WeeklyPicks!$D$282:$F$291,C2812)</f>
        <v>0</v>
      </c>
    </row>
    <row r="2813" spans="1:4" x14ac:dyDescent="0.3">
      <c r="A2813">
        <v>29</v>
      </c>
      <c r="B2813" t="s">
        <v>63</v>
      </c>
      <c r="C2813">
        <v>40</v>
      </c>
      <c r="D2813">
        <f>COUNTIF(WeeklyPicks!$D$282:$F$291,C2813)</f>
        <v>0</v>
      </c>
    </row>
    <row r="2814" spans="1:4" x14ac:dyDescent="0.3">
      <c r="A2814">
        <v>29</v>
      </c>
      <c r="B2814" t="s">
        <v>63</v>
      </c>
      <c r="C2814">
        <v>41</v>
      </c>
      <c r="D2814">
        <f>COUNTIF(WeeklyPicks!$D$282:$F$291,C2814)</f>
        <v>0</v>
      </c>
    </row>
    <row r="2815" spans="1:4" x14ac:dyDescent="0.3">
      <c r="A2815">
        <v>29</v>
      </c>
      <c r="B2815" t="s">
        <v>63</v>
      </c>
      <c r="C2815">
        <v>42</v>
      </c>
      <c r="D2815">
        <f>COUNTIF(WeeklyPicks!$D$282:$F$291,C2815)</f>
        <v>0</v>
      </c>
    </row>
    <row r="2816" spans="1:4" x14ac:dyDescent="0.3">
      <c r="A2816">
        <v>29</v>
      </c>
      <c r="B2816" t="s">
        <v>63</v>
      </c>
      <c r="C2816">
        <v>43</v>
      </c>
      <c r="D2816">
        <f>COUNTIF(WeeklyPicks!$D$282:$F$291,C2816)</f>
        <v>0</v>
      </c>
    </row>
    <row r="2817" spans="1:4" x14ac:dyDescent="0.3">
      <c r="A2817">
        <v>29</v>
      </c>
      <c r="B2817" t="s">
        <v>63</v>
      </c>
      <c r="C2817">
        <v>44</v>
      </c>
      <c r="D2817">
        <f>COUNTIF(WeeklyPicks!$D$282:$F$291,C2817)</f>
        <v>0</v>
      </c>
    </row>
    <row r="2818" spans="1:4" x14ac:dyDescent="0.3">
      <c r="A2818">
        <v>29</v>
      </c>
      <c r="B2818" t="s">
        <v>63</v>
      </c>
      <c r="C2818">
        <v>45</v>
      </c>
      <c r="D2818">
        <f>COUNTIF(WeeklyPicks!$D$282:$F$291,C2818)</f>
        <v>0</v>
      </c>
    </row>
    <row r="2819" spans="1:4" x14ac:dyDescent="0.3">
      <c r="A2819">
        <v>29</v>
      </c>
      <c r="B2819" t="s">
        <v>63</v>
      </c>
      <c r="C2819">
        <v>46</v>
      </c>
      <c r="D2819">
        <f>COUNTIF(WeeklyPicks!$D$282:$F$291,C2819)</f>
        <v>0</v>
      </c>
    </row>
    <row r="2820" spans="1:4" x14ac:dyDescent="0.3">
      <c r="A2820">
        <v>29</v>
      </c>
      <c r="B2820" t="s">
        <v>63</v>
      </c>
      <c r="C2820">
        <v>47</v>
      </c>
      <c r="D2820">
        <f>COUNTIF(WeeklyPicks!$D$282:$F$291,C2820)</f>
        <v>0</v>
      </c>
    </row>
    <row r="2821" spans="1:4" x14ac:dyDescent="0.3">
      <c r="A2821">
        <v>29</v>
      </c>
      <c r="B2821" t="s">
        <v>63</v>
      </c>
      <c r="C2821">
        <v>48</v>
      </c>
      <c r="D2821">
        <f>COUNTIF(WeeklyPicks!$D$282:$F$291,C2821)</f>
        <v>0</v>
      </c>
    </row>
    <row r="2822" spans="1:4" x14ac:dyDescent="0.3">
      <c r="A2822">
        <v>29</v>
      </c>
      <c r="B2822" t="s">
        <v>63</v>
      </c>
      <c r="C2822">
        <v>49</v>
      </c>
      <c r="D2822">
        <f>COUNTIF(WeeklyPicks!$D$282:$F$291,C2822)</f>
        <v>0</v>
      </c>
    </row>
    <row r="2823" spans="1:4" x14ac:dyDescent="0.3">
      <c r="A2823">
        <v>29</v>
      </c>
      <c r="B2823" t="s">
        <v>63</v>
      </c>
      <c r="C2823">
        <v>50</v>
      </c>
      <c r="D2823">
        <f>COUNTIF(WeeklyPicks!$D$282:$F$291,C2823)</f>
        <v>0</v>
      </c>
    </row>
    <row r="2824" spans="1:4" x14ac:dyDescent="0.3">
      <c r="A2824">
        <v>29</v>
      </c>
      <c r="B2824" t="s">
        <v>63</v>
      </c>
      <c r="C2824">
        <v>51</v>
      </c>
      <c r="D2824">
        <f>COUNTIF(WeeklyPicks!$D$282:$F$291,C2824)</f>
        <v>0</v>
      </c>
    </row>
    <row r="2825" spans="1:4" x14ac:dyDescent="0.3">
      <c r="A2825">
        <v>29</v>
      </c>
      <c r="B2825" t="s">
        <v>63</v>
      </c>
      <c r="C2825">
        <v>52</v>
      </c>
      <c r="D2825">
        <f>COUNTIF(WeeklyPicks!$D$282:$F$291,C2825)</f>
        <v>0</v>
      </c>
    </row>
    <row r="2826" spans="1:4" x14ac:dyDescent="0.3">
      <c r="A2826">
        <v>29</v>
      </c>
      <c r="B2826" t="s">
        <v>63</v>
      </c>
      <c r="C2826">
        <v>53</v>
      </c>
      <c r="D2826">
        <f>COUNTIF(WeeklyPicks!$D$282:$F$291,C2826)</f>
        <v>0</v>
      </c>
    </row>
    <row r="2827" spans="1:4" x14ac:dyDescent="0.3">
      <c r="A2827">
        <v>29</v>
      </c>
      <c r="B2827" t="s">
        <v>63</v>
      </c>
      <c r="C2827">
        <v>54</v>
      </c>
      <c r="D2827">
        <f>COUNTIF(WeeklyPicks!$D$282:$F$291,C2827)</f>
        <v>0</v>
      </c>
    </row>
    <row r="2828" spans="1:4" x14ac:dyDescent="0.3">
      <c r="A2828">
        <v>29</v>
      </c>
      <c r="B2828" t="s">
        <v>63</v>
      </c>
      <c r="C2828">
        <v>55</v>
      </c>
      <c r="D2828">
        <f>COUNTIF(WeeklyPicks!$D$282:$F$291,C2828)</f>
        <v>0</v>
      </c>
    </row>
    <row r="2829" spans="1:4" x14ac:dyDescent="0.3">
      <c r="A2829">
        <v>29</v>
      </c>
      <c r="B2829" t="s">
        <v>63</v>
      </c>
      <c r="C2829">
        <v>56</v>
      </c>
      <c r="D2829">
        <f>COUNTIF(WeeklyPicks!$D$282:$F$291,C2829)</f>
        <v>0</v>
      </c>
    </row>
    <row r="2830" spans="1:4" x14ac:dyDescent="0.3">
      <c r="A2830">
        <v>29</v>
      </c>
      <c r="B2830" t="s">
        <v>63</v>
      </c>
      <c r="C2830">
        <v>57</v>
      </c>
      <c r="D2830">
        <f>COUNTIF(WeeklyPicks!$D$282:$F$291,C2830)</f>
        <v>0</v>
      </c>
    </row>
    <row r="2831" spans="1:4" x14ac:dyDescent="0.3">
      <c r="A2831">
        <v>29</v>
      </c>
      <c r="B2831" t="s">
        <v>63</v>
      </c>
      <c r="C2831">
        <v>58</v>
      </c>
      <c r="D2831">
        <f>COUNTIF(WeeklyPicks!$D$282:$F$291,C2831)</f>
        <v>0</v>
      </c>
    </row>
    <row r="2832" spans="1:4" x14ac:dyDescent="0.3">
      <c r="A2832">
        <v>29</v>
      </c>
      <c r="B2832" t="s">
        <v>63</v>
      </c>
      <c r="C2832">
        <v>59</v>
      </c>
      <c r="D2832">
        <f>COUNTIF(WeeklyPicks!$D$282:$F$291,C2832)</f>
        <v>0</v>
      </c>
    </row>
    <row r="2833" spans="1:4" x14ac:dyDescent="0.3">
      <c r="A2833">
        <v>29</v>
      </c>
      <c r="B2833" t="s">
        <v>63</v>
      </c>
      <c r="C2833">
        <v>60</v>
      </c>
      <c r="D2833">
        <f>COUNTIF(WeeklyPicks!$D$282:$F$291,C2833)</f>
        <v>0</v>
      </c>
    </row>
    <row r="2834" spans="1:4" x14ac:dyDescent="0.3">
      <c r="A2834">
        <v>29</v>
      </c>
      <c r="B2834" t="s">
        <v>63</v>
      </c>
      <c r="C2834">
        <v>61</v>
      </c>
      <c r="D2834">
        <f>COUNTIF(WeeklyPicks!$D$282:$F$291,C2834)</f>
        <v>0</v>
      </c>
    </row>
    <row r="2835" spans="1:4" x14ac:dyDescent="0.3">
      <c r="A2835">
        <v>29</v>
      </c>
      <c r="B2835" t="s">
        <v>63</v>
      </c>
      <c r="C2835">
        <v>62</v>
      </c>
      <c r="D2835">
        <f>COUNTIF(WeeklyPicks!$D$282:$F$291,C2835)</f>
        <v>0</v>
      </c>
    </row>
    <row r="2836" spans="1:4" x14ac:dyDescent="0.3">
      <c r="A2836">
        <v>29</v>
      </c>
      <c r="B2836" t="s">
        <v>63</v>
      </c>
      <c r="C2836">
        <v>63</v>
      </c>
      <c r="D2836">
        <f>COUNTIF(WeeklyPicks!$D$282:$F$291,C2836)</f>
        <v>0</v>
      </c>
    </row>
    <row r="2837" spans="1:4" x14ac:dyDescent="0.3">
      <c r="A2837">
        <v>29</v>
      </c>
      <c r="B2837" t="s">
        <v>63</v>
      </c>
      <c r="C2837">
        <v>64</v>
      </c>
      <c r="D2837">
        <f>COUNTIF(WeeklyPicks!$D$282:$F$291,C2837)</f>
        <v>0</v>
      </c>
    </row>
    <row r="2838" spans="1:4" x14ac:dyDescent="0.3">
      <c r="A2838">
        <v>29</v>
      </c>
      <c r="B2838" t="s">
        <v>63</v>
      </c>
      <c r="C2838">
        <v>65</v>
      </c>
      <c r="D2838">
        <f>COUNTIF(WeeklyPicks!$D$282:$F$291,C2838)</f>
        <v>0</v>
      </c>
    </row>
    <row r="2839" spans="1:4" x14ac:dyDescent="0.3">
      <c r="A2839">
        <v>29</v>
      </c>
      <c r="B2839" t="s">
        <v>63</v>
      </c>
      <c r="C2839">
        <v>66</v>
      </c>
      <c r="D2839">
        <f>COUNTIF(WeeklyPicks!$D$282:$F$291,C2839)</f>
        <v>0</v>
      </c>
    </row>
    <row r="2840" spans="1:4" x14ac:dyDescent="0.3">
      <c r="A2840">
        <v>29</v>
      </c>
      <c r="B2840" t="s">
        <v>63</v>
      </c>
      <c r="C2840">
        <v>67</v>
      </c>
      <c r="D2840">
        <f>COUNTIF(WeeklyPicks!$D$282:$F$291,C2840)</f>
        <v>0</v>
      </c>
    </row>
    <row r="2841" spans="1:4" x14ac:dyDescent="0.3">
      <c r="A2841">
        <v>29</v>
      </c>
      <c r="B2841" t="s">
        <v>63</v>
      </c>
      <c r="C2841">
        <v>68</v>
      </c>
      <c r="D2841">
        <f>COUNTIF(WeeklyPicks!$D$282:$F$291,C2841)</f>
        <v>0</v>
      </c>
    </row>
    <row r="2842" spans="1:4" x14ac:dyDescent="0.3">
      <c r="A2842">
        <v>29</v>
      </c>
      <c r="B2842" t="s">
        <v>63</v>
      </c>
      <c r="C2842">
        <v>69</v>
      </c>
      <c r="D2842">
        <f>COUNTIF(WeeklyPicks!$D$282:$F$291,C2842)</f>
        <v>0</v>
      </c>
    </row>
    <row r="2843" spans="1:4" x14ac:dyDescent="0.3">
      <c r="A2843">
        <v>29</v>
      </c>
      <c r="B2843" t="s">
        <v>63</v>
      </c>
      <c r="C2843">
        <v>70</v>
      </c>
      <c r="D2843">
        <f>COUNTIF(WeeklyPicks!$D$282:$F$291,C2843)</f>
        <v>0</v>
      </c>
    </row>
    <row r="2844" spans="1:4" x14ac:dyDescent="0.3">
      <c r="A2844">
        <v>29</v>
      </c>
      <c r="B2844" t="s">
        <v>63</v>
      </c>
      <c r="C2844">
        <v>71</v>
      </c>
      <c r="D2844">
        <f>COUNTIF(WeeklyPicks!$D$282:$F$291,C2844)</f>
        <v>0</v>
      </c>
    </row>
    <row r="2845" spans="1:4" x14ac:dyDescent="0.3">
      <c r="A2845">
        <v>29</v>
      </c>
      <c r="B2845" t="s">
        <v>63</v>
      </c>
      <c r="C2845">
        <v>72</v>
      </c>
      <c r="D2845">
        <f>COUNTIF(WeeklyPicks!$D$282:$F$291,C2845)</f>
        <v>0</v>
      </c>
    </row>
    <row r="2846" spans="1:4" x14ac:dyDescent="0.3">
      <c r="A2846">
        <v>29</v>
      </c>
      <c r="B2846" t="s">
        <v>63</v>
      </c>
      <c r="C2846">
        <v>73</v>
      </c>
      <c r="D2846">
        <f>COUNTIF(WeeklyPicks!$D$282:$F$291,C2846)</f>
        <v>0</v>
      </c>
    </row>
    <row r="2847" spans="1:4" x14ac:dyDescent="0.3">
      <c r="A2847">
        <v>29</v>
      </c>
      <c r="B2847" t="s">
        <v>63</v>
      </c>
      <c r="C2847">
        <v>74</v>
      </c>
      <c r="D2847">
        <f>COUNTIF(WeeklyPicks!$D$282:$F$291,C2847)</f>
        <v>0</v>
      </c>
    </row>
    <row r="2848" spans="1:4" x14ac:dyDescent="0.3">
      <c r="A2848">
        <v>29</v>
      </c>
      <c r="B2848" t="s">
        <v>63</v>
      </c>
      <c r="C2848">
        <v>75</v>
      </c>
      <c r="D2848">
        <f>COUNTIF(WeeklyPicks!$D$282:$F$291,C2848)</f>
        <v>0</v>
      </c>
    </row>
    <row r="2849" spans="1:4" x14ac:dyDescent="0.3">
      <c r="A2849">
        <v>29</v>
      </c>
      <c r="B2849" t="s">
        <v>63</v>
      </c>
      <c r="C2849">
        <v>76</v>
      </c>
      <c r="D2849">
        <f>COUNTIF(WeeklyPicks!$D$282:$F$291,C2849)</f>
        <v>0</v>
      </c>
    </row>
    <row r="2850" spans="1:4" x14ac:dyDescent="0.3">
      <c r="A2850">
        <v>29</v>
      </c>
      <c r="B2850" t="s">
        <v>63</v>
      </c>
      <c r="C2850">
        <v>77</v>
      </c>
      <c r="D2850">
        <f>COUNTIF(WeeklyPicks!$D$282:$F$291,C2850)</f>
        <v>0</v>
      </c>
    </row>
    <row r="2851" spans="1:4" x14ac:dyDescent="0.3">
      <c r="A2851">
        <v>29</v>
      </c>
      <c r="B2851" t="s">
        <v>63</v>
      </c>
      <c r="C2851">
        <v>78</v>
      </c>
      <c r="D2851">
        <f>COUNTIF(WeeklyPicks!$D$282:$F$291,C2851)</f>
        <v>0</v>
      </c>
    </row>
    <row r="2852" spans="1:4" x14ac:dyDescent="0.3">
      <c r="A2852">
        <v>29</v>
      </c>
      <c r="B2852" t="s">
        <v>63</v>
      </c>
      <c r="C2852">
        <v>79</v>
      </c>
      <c r="D2852">
        <f>COUNTIF(WeeklyPicks!$D$282:$F$291,C2852)</f>
        <v>0</v>
      </c>
    </row>
    <row r="2853" spans="1:4" x14ac:dyDescent="0.3">
      <c r="A2853">
        <v>29</v>
      </c>
      <c r="B2853" t="s">
        <v>63</v>
      </c>
      <c r="C2853">
        <v>80</v>
      </c>
      <c r="D2853">
        <f>COUNTIF(WeeklyPicks!$D$282:$F$291,C2853)</f>
        <v>0</v>
      </c>
    </row>
    <row r="2854" spans="1:4" x14ac:dyDescent="0.3">
      <c r="A2854">
        <v>29</v>
      </c>
      <c r="B2854" t="s">
        <v>63</v>
      </c>
      <c r="C2854">
        <v>81</v>
      </c>
      <c r="D2854">
        <f>COUNTIF(WeeklyPicks!$D$282:$F$291,C2854)</f>
        <v>0</v>
      </c>
    </row>
    <row r="2855" spans="1:4" x14ac:dyDescent="0.3">
      <c r="A2855">
        <v>29</v>
      </c>
      <c r="B2855" t="s">
        <v>63</v>
      </c>
      <c r="C2855">
        <v>82</v>
      </c>
      <c r="D2855">
        <f>COUNTIF(WeeklyPicks!$D$282:$F$291,C2855)</f>
        <v>0</v>
      </c>
    </row>
    <row r="2856" spans="1:4" x14ac:dyDescent="0.3">
      <c r="A2856">
        <v>29</v>
      </c>
      <c r="B2856" t="s">
        <v>63</v>
      </c>
      <c r="C2856">
        <v>83</v>
      </c>
      <c r="D2856">
        <f>COUNTIF(WeeklyPicks!$D$282:$F$291,C2856)</f>
        <v>0</v>
      </c>
    </row>
    <row r="2857" spans="1:4" x14ac:dyDescent="0.3">
      <c r="A2857">
        <v>29</v>
      </c>
      <c r="B2857" t="s">
        <v>63</v>
      </c>
      <c r="C2857">
        <v>84</v>
      </c>
      <c r="D2857">
        <f>COUNTIF(WeeklyPicks!$D$282:$F$291,C2857)</f>
        <v>0</v>
      </c>
    </row>
    <row r="2858" spans="1:4" x14ac:dyDescent="0.3">
      <c r="A2858">
        <v>29</v>
      </c>
      <c r="B2858" t="s">
        <v>63</v>
      </c>
      <c r="C2858">
        <v>85</v>
      </c>
      <c r="D2858">
        <f>COUNTIF(WeeklyPicks!$D$282:$F$291,C2858)</f>
        <v>0</v>
      </c>
    </row>
    <row r="2859" spans="1:4" x14ac:dyDescent="0.3">
      <c r="A2859">
        <v>29</v>
      </c>
      <c r="B2859" t="s">
        <v>63</v>
      </c>
      <c r="C2859">
        <v>86</v>
      </c>
      <c r="D2859">
        <f>COUNTIF(WeeklyPicks!$D$282:$F$291,C2859)</f>
        <v>0</v>
      </c>
    </row>
    <row r="2860" spans="1:4" x14ac:dyDescent="0.3">
      <c r="A2860">
        <v>29</v>
      </c>
      <c r="B2860" t="s">
        <v>63</v>
      </c>
      <c r="C2860">
        <v>87</v>
      </c>
      <c r="D2860">
        <f>COUNTIF(WeeklyPicks!$D$282:$F$291,C2860)</f>
        <v>0</v>
      </c>
    </row>
    <row r="2861" spans="1:4" x14ac:dyDescent="0.3">
      <c r="A2861">
        <v>29</v>
      </c>
      <c r="B2861" t="s">
        <v>63</v>
      </c>
      <c r="C2861">
        <v>88</v>
      </c>
      <c r="D2861">
        <f>COUNTIF(WeeklyPicks!$D$282:$F$291,C2861)</f>
        <v>0</v>
      </c>
    </row>
    <row r="2862" spans="1:4" x14ac:dyDescent="0.3">
      <c r="A2862">
        <v>29</v>
      </c>
      <c r="B2862" t="s">
        <v>63</v>
      </c>
      <c r="C2862">
        <v>89</v>
      </c>
      <c r="D2862">
        <f>COUNTIF(WeeklyPicks!$D$282:$F$291,C2862)</f>
        <v>0</v>
      </c>
    </row>
    <row r="2863" spans="1:4" x14ac:dyDescent="0.3">
      <c r="A2863">
        <v>29</v>
      </c>
      <c r="B2863" t="s">
        <v>63</v>
      </c>
      <c r="C2863">
        <v>90</v>
      </c>
      <c r="D2863">
        <f>COUNTIF(WeeklyPicks!$D$282:$F$291,C2863)</f>
        <v>0</v>
      </c>
    </row>
    <row r="2864" spans="1:4" x14ac:dyDescent="0.3">
      <c r="A2864">
        <v>29</v>
      </c>
      <c r="B2864" t="s">
        <v>63</v>
      </c>
      <c r="C2864">
        <v>91</v>
      </c>
      <c r="D2864">
        <f>COUNTIF(WeeklyPicks!$D$282:$F$291,C2864)</f>
        <v>0</v>
      </c>
    </row>
    <row r="2865" spans="1:4" x14ac:dyDescent="0.3">
      <c r="A2865">
        <v>29</v>
      </c>
      <c r="B2865" t="s">
        <v>63</v>
      </c>
      <c r="C2865">
        <v>92</v>
      </c>
      <c r="D2865">
        <f>COUNTIF(WeeklyPicks!$D$282:$F$291,C2865)</f>
        <v>0</v>
      </c>
    </row>
    <row r="2866" spans="1:4" x14ac:dyDescent="0.3">
      <c r="A2866">
        <v>29</v>
      </c>
      <c r="B2866" t="s">
        <v>63</v>
      </c>
      <c r="C2866">
        <v>93</v>
      </c>
      <c r="D2866">
        <f>COUNTIF(WeeklyPicks!$D$282:$F$291,C2866)</f>
        <v>0</v>
      </c>
    </row>
    <row r="2867" spans="1:4" x14ac:dyDescent="0.3">
      <c r="A2867">
        <v>29</v>
      </c>
      <c r="B2867" t="s">
        <v>63</v>
      </c>
      <c r="C2867">
        <v>94</v>
      </c>
      <c r="D2867">
        <f>COUNTIF(WeeklyPicks!$D$282:$F$291,C2867)</f>
        <v>0</v>
      </c>
    </row>
    <row r="2868" spans="1:4" x14ac:dyDescent="0.3">
      <c r="A2868">
        <v>29</v>
      </c>
      <c r="B2868" t="s">
        <v>63</v>
      </c>
      <c r="C2868">
        <v>95</v>
      </c>
      <c r="D2868">
        <f>COUNTIF(WeeklyPicks!$D$282:$F$291,C2868)</f>
        <v>0</v>
      </c>
    </row>
    <row r="2869" spans="1:4" x14ac:dyDescent="0.3">
      <c r="A2869">
        <v>29</v>
      </c>
      <c r="B2869" t="s">
        <v>63</v>
      </c>
      <c r="C2869">
        <v>96</v>
      </c>
      <c r="D2869">
        <f>COUNTIF(WeeklyPicks!$D$282:$F$291,C2869)</f>
        <v>0</v>
      </c>
    </row>
    <row r="2870" spans="1:4" x14ac:dyDescent="0.3">
      <c r="A2870">
        <v>29</v>
      </c>
      <c r="B2870" t="s">
        <v>63</v>
      </c>
      <c r="C2870">
        <v>97</v>
      </c>
      <c r="D2870">
        <f>COUNTIF(WeeklyPicks!$D$282:$F$291,C2870)</f>
        <v>0</v>
      </c>
    </row>
    <row r="2871" spans="1:4" x14ac:dyDescent="0.3">
      <c r="A2871">
        <v>29</v>
      </c>
      <c r="B2871" t="s">
        <v>63</v>
      </c>
      <c r="C2871">
        <v>98</v>
      </c>
      <c r="D2871">
        <f>COUNTIF(WeeklyPicks!$D$282:$F$291,C2871)</f>
        <v>0</v>
      </c>
    </row>
    <row r="2872" spans="1:4" x14ac:dyDescent="0.3">
      <c r="A2872">
        <v>29</v>
      </c>
      <c r="B2872" t="s">
        <v>63</v>
      </c>
      <c r="C2872">
        <v>99</v>
      </c>
      <c r="D2872">
        <f>COUNTIF(WeeklyPicks!$D$282:$F$291,C2872)</f>
        <v>0</v>
      </c>
    </row>
    <row r="2873" spans="1:4" x14ac:dyDescent="0.3">
      <c r="A2873">
        <v>30</v>
      </c>
      <c r="B2873" t="s">
        <v>65</v>
      </c>
      <c r="C2873">
        <v>1</v>
      </c>
      <c r="D2873">
        <f>COUNTIF(WeeklyPicks!$D$292:$F$301,C2873)</f>
        <v>0</v>
      </c>
    </row>
    <row r="2874" spans="1:4" x14ac:dyDescent="0.3">
      <c r="A2874">
        <v>30</v>
      </c>
      <c r="B2874" t="s">
        <v>65</v>
      </c>
      <c r="C2874">
        <v>2</v>
      </c>
      <c r="D2874">
        <f>COUNTIF(WeeklyPicks!$D$292:$F$301,C2874)</f>
        <v>0</v>
      </c>
    </row>
    <row r="2875" spans="1:4" x14ac:dyDescent="0.3">
      <c r="A2875">
        <v>30</v>
      </c>
      <c r="B2875" t="s">
        <v>65</v>
      </c>
      <c r="C2875">
        <v>3</v>
      </c>
      <c r="D2875">
        <f>COUNTIF(WeeklyPicks!$D$292:$F$301,C2875)</f>
        <v>0</v>
      </c>
    </row>
    <row r="2876" spans="1:4" x14ac:dyDescent="0.3">
      <c r="A2876">
        <v>30</v>
      </c>
      <c r="B2876" t="s">
        <v>65</v>
      </c>
      <c r="C2876">
        <v>4</v>
      </c>
      <c r="D2876">
        <f>COUNTIF(WeeklyPicks!$D$292:$F$301,C2876)</f>
        <v>0</v>
      </c>
    </row>
    <row r="2877" spans="1:4" x14ac:dyDescent="0.3">
      <c r="A2877">
        <v>30</v>
      </c>
      <c r="B2877" t="s">
        <v>65</v>
      </c>
      <c r="C2877">
        <v>5</v>
      </c>
      <c r="D2877">
        <f>COUNTIF(WeeklyPicks!$D$292:$F$301,C2877)</f>
        <v>0</v>
      </c>
    </row>
    <row r="2878" spans="1:4" x14ac:dyDescent="0.3">
      <c r="A2878">
        <v>30</v>
      </c>
      <c r="B2878" t="s">
        <v>65</v>
      </c>
      <c r="C2878">
        <v>6</v>
      </c>
      <c r="D2878">
        <f>COUNTIF(WeeklyPicks!$D$292:$F$301,C2878)</f>
        <v>0</v>
      </c>
    </row>
    <row r="2879" spans="1:4" x14ac:dyDescent="0.3">
      <c r="A2879">
        <v>30</v>
      </c>
      <c r="B2879" t="s">
        <v>65</v>
      </c>
      <c r="C2879">
        <v>7</v>
      </c>
      <c r="D2879">
        <f>COUNTIF(WeeklyPicks!$D$292:$F$301,C2879)</f>
        <v>0</v>
      </c>
    </row>
    <row r="2880" spans="1:4" x14ac:dyDescent="0.3">
      <c r="A2880">
        <v>30</v>
      </c>
      <c r="B2880" t="s">
        <v>65</v>
      </c>
      <c r="C2880">
        <v>8</v>
      </c>
      <c r="D2880">
        <f>COUNTIF(WeeklyPicks!$D$292:$F$301,C2880)</f>
        <v>0</v>
      </c>
    </row>
    <row r="2881" spans="1:4" x14ac:dyDescent="0.3">
      <c r="A2881">
        <v>30</v>
      </c>
      <c r="B2881" t="s">
        <v>65</v>
      </c>
      <c r="C2881">
        <v>9</v>
      </c>
      <c r="D2881">
        <f>COUNTIF(WeeklyPicks!$D$292:$F$301,C2881)</f>
        <v>0</v>
      </c>
    </row>
    <row r="2882" spans="1:4" x14ac:dyDescent="0.3">
      <c r="A2882">
        <v>30</v>
      </c>
      <c r="B2882" t="s">
        <v>65</v>
      </c>
      <c r="C2882">
        <v>10</v>
      </c>
      <c r="D2882">
        <f>COUNTIF(WeeklyPicks!$D$292:$F$301,C2882)</f>
        <v>0</v>
      </c>
    </row>
    <row r="2883" spans="1:4" x14ac:dyDescent="0.3">
      <c r="A2883">
        <v>30</v>
      </c>
      <c r="B2883" t="s">
        <v>65</v>
      </c>
      <c r="C2883">
        <v>11</v>
      </c>
      <c r="D2883">
        <f>COUNTIF(WeeklyPicks!$D$292:$F$301,C2883)</f>
        <v>0</v>
      </c>
    </row>
    <row r="2884" spans="1:4" x14ac:dyDescent="0.3">
      <c r="A2884">
        <v>30</v>
      </c>
      <c r="B2884" t="s">
        <v>65</v>
      </c>
      <c r="C2884">
        <v>12</v>
      </c>
      <c r="D2884">
        <f>COUNTIF(WeeklyPicks!$D$292:$F$301,C2884)</f>
        <v>0</v>
      </c>
    </row>
    <row r="2885" spans="1:4" x14ac:dyDescent="0.3">
      <c r="A2885">
        <v>30</v>
      </c>
      <c r="B2885" t="s">
        <v>65</v>
      </c>
      <c r="C2885">
        <v>13</v>
      </c>
      <c r="D2885">
        <f>COUNTIF(WeeklyPicks!$D$292:$F$301,C2885)</f>
        <v>0</v>
      </c>
    </row>
    <row r="2886" spans="1:4" x14ac:dyDescent="0.3">
      <c r="A2886">
        <v>30</v>
      </c>
      <c r="B2886" t="s">
        <v>65</v>
      </c>
      <c r="C2886">
        <v>14</v>
      </c>
      <c r="D2886">
        <f>COUNTIF(WeeklyPicks!$D$292:$F$301,C2886)</f>
        <v>0</v>
      </c>
    </row>
    <row r="2887" spans="1:4" x14ac:dyDescent="0.3">
      <c r="A2887">
        <v>30</v>
      </c>
      <c r="B2887" t="s">
        <v>65</v>
      </c>
      <c r="C2887">
        <v>15</v>
      </c>
      <c r="D2887">
        <f>COUNTIF(WeeklyPicks!$D$292:$F$301,C2887)</f>
        <v>0</v>
      </c>
    </row>
    <row r="2888" spans="1:4" x14ac:dyDescent="0.3">
      <c r="A2888">
        <v>30</v>
      </c>
      <c r="B2888" t="s">
        <v>65</v>
      </c>
      <c r="C2888">
        <v>16</v>
      </c>
      <c r="D2888">
        <f>COUNTIF(WeeklyPicks!$D$292:$F$301,C2888)</f>
        <v>0</v>
      </c>
    </row>
    <row r="2889" spans="1:4" x14ac:dyDescent="0.3">
      <c r="A2889">
        <v>30</v>
      </c>
      <c r="B2889" t="s">
        <v>65</v>
      </c>
      <c r="C2889">
        <v>17</v>
      </c>
      <c r="D2889">
        <f>COUNTIF(WeeklyPicks!$D$292:$F$301,C2889)</f>
        <v>0</v>
      </c>
    </row>
    <row r="2890" spans="1:4" x14ac:dyDescent="0.3">
      <c r="A2890">
        <v>30</v>
      </c>
      <c r="B2890" t="s">
        <v>65</v>
      </c>
      <c r="C2890">
        <v>18</v>
      </c>
      <c r="D2890">
        <f>COUNTIF(WeeklyPicks!$D$292:$F$301,C2890)</f>
        <v>0</v>
      </c>
    </row>
    <row r="2891" spans="1:4" x14ac:dyDescent="0.3">
      <c r="A2891">
        <v>30</v>
      </c>
      <c r="B2891" t="s">
        <v>65</v>
      </c>
      <c r="C2891">
        <v>19</v>
      </c>
      <c r="D2891">
        <f>COUNTIF(WeeklyPicks!$D$292:$F$301,C2891)</f>
        <v>0</v>
      </c>
    </row>
    <row r="2892" spans="1:4" x14ac:dyDescent="0.3">
      <c r="A2892">
        <v>30</v>
      </c>
      <c r="B2892" t="s">
        <v>65</v>
      </c>
      <c r="C2892">
        <v>20</v>
      </c>
      <c r="D2892">
        <f>COUNTIF(WeeklyPicks!$D$292:$F$301,C2892)</f>
        <v>0</v>
      </c>
    </row>
    <row r="2893" spans="1:4" x14ac:dyDescent="0.3">
      <c r="A2893">
        <v>30</v>
      </c>
      <c r="B2893" t="s">
        <v>65</v>
      </c>
      <c r="C2893">
        <v>21</v>
      </c>
      <c r="D2893">
        <f>COUNTIF(WeeklyPicks!$D$292:$F$301,C2893)</f>
        <v>0</v>
      </c>
    </row>
    <row r="2894" spans="1:4" x14ac:dyDescent="0.3">
      <c r="A2894">
        <v>30</v>
      </c>
      <c r="B2894" t="s">
        <v>65</v>
      </c>
      <c r="C2894">
        <v>22</v>
      </c>
      <c r="D2894">
        <f>COUNTIF(WeeklyPicks!$D$292:$F$301,C2894)</f>
        <v>0</v>
      </c>
    </row>
    <row r="2895" spans="1:4" x14ac:dyDescent="0.3">
      <c r="A2895">
        <v>30</v>
      </c>
      <c r="B2895" t="s">
        <v>65</v>
      </c>
      <c r="C2895">
        <v>23</v>
      </c>
      <c r="D2895">
        <f>COUNTIF(WeeklyPicks!$D$292:$F$301,C2895)</f>
        <v>0</v>
      </c>
    </row>
    <row r="2896" spans="1:4" x14ac:dyDescent="0.3">
      <c r="A2896">
        <v>30</v>
      </c>
      <c r="B2896" t="s">
        <v>65</v>
      </c>
      <c r="C2896">
        <v>24</v>
      </c>
      <c r="D2896">
        <f>COUNTIF(WeeklyPicks!$D$292:$F$301,C2896)</f>
        <v>0</v>
      </c>
    </row>
    <row r="2897" spans="1:4" x14ac:dyDescent="0.3">
      <c r="A2897">
        <v>30</v>
      </c>
      <c r="B2897" t="s">
        <v>65</v>
      </c>
      <c r="C2897">
        <v>25</v>
      </c>
      <c r="D2897">
        <f>COUNTIF(WeeklyPicks!$D$292:$F$301,C2897)</f>
        <v>0</v>
      </c>
    </row>
    <row r="2898" spans="1:4" x14ac:dyDescent="0.3">
      <c r="A2898">
        <v>30</v>
      </c>
      <c r="B2898" t="s">
        <v>65</v>
      </c>
      <c r="C2898">
        <v>26</v>
      </c>
      <c r="D2898">
        <f>COUNTIF(WeeklyPicks!$D$292:$F$301,C2898)</f>
        <v>0</v>
      </c>
    </row>
    <row r="2899" spans="1:4" x14ac:dyDescent="0.3">
      <c r="A2899">
        <v>30</v>
      </c>
      <c r="B2899" t="s">
        <v>65</v>
      </c>
      <c r="C2899">
        <v>27</v>
      </c>
      <c r="D2899">
        <f>COUNTIF(WeeklyPicks!$D$292:$F$301,C2899)</f>
        <v>0</v>
      </c>
    </row>
    <row r="2900" spans="1:4" x14ac:dyDescent="0.3">
      <c r="A2900">
        <v>30</v>
      </c>
      <c r="B2900" t="s">
        <v>65</v>
      </c>
      <c r="C2900">
        <v>28</v>
      </c>
      <c r="D2900">
        <f>COUNTIF(WeeklyPicks!$D$292:$F$301,C2900)</f>
        <v>0</v>
      </c>
    </row>
    <row r="2901" spans="1:4" x14ac:dyDescent="0.3">
      <c r="A2901">
        <v>30</v>
      </c>
      <c r="B2901" t="s">
        <v>65</v>
      </c>
      <c r="C2901">
        <v>29</v>
      </c>
      <c r="D2901">
        <f>COUNTIF(WeeklyPicks!$D$292:$F$301,C2901)</f>
        <v>0</v>
      </c>
    </row>
    <row r="2902" spans="1:4" x14ac:dyDescent="0.3">
      <c r="A2902">
        <v>30</v>
      </c>
      <c r="B2902" t="s">
        <v>65</v>
      </c>
      <c r="C2902">
        <v>30</v>
      </c>
      <c r="D2902">
        <f>COUNTIF(WeeklyPicks!$D$292:$F$301,C2902)</f>
        <v>0</v>
      </c>
    </row>
    <row r="2903" spans="1:4" x14ac:dyDescent="0.3">
      <c r="A2903">
        <v>30</v>
      </c>
      <c r="B2903" t="s">
        <v>65</v>
      </c>
      <c r="C2903">
        <v>31</v>
      </c>
      <c r="D2903">
        <f>COUNTIF(WeeklyPicks!$D$292:$F$301,C2903)</f>
        <v>0</v>
      </c>
    </row>
    <row r="2904" spans="1:4" x14ac:dyDescent="0.3">
      <c r="A2904">
        <v>30</v>
      </c>
      <c r="B2904" t="s">
        <v>65</v>
      </c>
      <c r="C2904">
        <v>32</v>
      </c>
      <c r="D2904">
        <f>COUNTIF(WeeklyPicks!$D$292:$F$301,C2904)</f>
        <v>0</v>
      </c>
    </row>
    <row r="2905" spans="1:4" x14ac:dyDescent="0.3">
      <c r="A2905">
        <v>30</v>
      </c>
      <c r="B2905" t="s">
        <v>65</v>
      </c>
      <c r="C2905">
        <v>33</v>
      </c>
      <c r="D2905">
        <f>COUNTIF(WeeklyPicks!$D$292:$F$301,C2905)</f>
        <v>0</v>
      </c>
    </row>
    <row r="2906" spans="1:4" x14ac:dyDescent="0.3">
      <c r="A2906">
        <v>30</v>
      </c>
      <c r="B2906" t="s">
        <v>65</v>
      </c>
      <c r="C2906">
        <v>34</v>
      </c>
      <c r="D2906">
        <f>COUNTIF(WeeklyPicks!$D$292:$F$301,C2906)</f>
        <v>0</v>
      </c>
    </row>
    <row r="2907" spans="1:4" x14ac:dyDescent="0.3">
      <c r="A2907">
        <v>30</v>
      </c>
      <c r="B2907" t="s">
        <v>65</v>
      </c>
      <c r="C2907">
        <v>35</v>
      </c>
      <c r="D2907">
        <f>COUNTIF(WeeklyPicks!$D$292:$F$301,C2907)</f>
        <v>0</v>
      </c>
    </row>
    <row r="2908" spans="1:4" x14ac:dyDescent="0.3">
      <c r="A2908">
        <v>30</v>
      </c>
      <c r="B2908" t="s">
        <v>65</v>
      </c>
      <c r="C2908">
        <v>36</v>
      </c>
      <c r="D2908">
        <f>COUNTIF(WeeklyPicks!$D$292:$F$301,C2908)</f>
        <v>0</v>
      </c>
    </row>
    <row r="2909" spans="1:4" x14ac:dyDescent="0.3">
      <c r="A2909">
        <v>30</v>
      </c>
      <c r="B2909" t="s">
        <v>65</v>
      </c>
      <c r="C2909">
        <v>37</v>
      </c>
      <c r="D2909">
        <f>COUNTIF(WeeklyPicks!$D$292:$F$301,C2909)</f>
        <v>0</v>
      </c>
    </row>
    <row r="2910" spans="1:4" x14ac:dyDescent="0.3">
      <c r="A2910">
        <v>30</v>
      </c>
      <c r="B2910" t="s">
        <v>65</v>
      </c>
      <c r="C2910">
        <v>38</v>
      </c>
      <c r="D2910">
        <f>COUNTIF(WeeklyPicks!$D$292:$F$301,C2910)</f>
        <v>0</v>
      </c>
    </row>
    <row r="2911" spans="1:4" x14ac:dyDescent="0.3">
      <c r="A2911">
        <v>30</v>
      </c>
      <c r="B2911" t="s">
        <v>65</v>
      </c>
      <c r="C2911">
        <v>39</v>
      </c>
      <c r="D2911">
        <f>COUNTIF(WeeklyPicks!$D$292:$F$301,C2911)</f>
        <v>0</v>
      </c>
    </row>
    <row r="2912" spans="1:4" x14ac:dyDescent="0.3">
      <c r="A2912">
        <v>30</v>
      </c>
      <c r="B2912" t="s">
        <v>65</v>
      </c>
      <c r="C2912">
        <v>40</v>
      </c>
      <c r="D2912">
        <f>COUNTIF(WeeklyPicks!$D$292:$F$301,C2912)</f>
        <v>0</v>
      </c>
    </row>
    <row r="2913" spans="1:4" x14ac:dyDescent="0.3">
      <c r="A2913">
        <v>30</v>
      </c>
      <c r="B2913" t="s">
        <v>65</v>
      </c>
      <c r="C2913">
        <v>41</v>
      </c>
      <c r="D2913">
        <f>COUNTIF(WeeklyPicks!$D$292:$F$301,C2913)</f>
        <v>0</v>
      </c>
    </row>
    <row r="2914" spans="1:4" x14ac:dyDescent="0.3">
      <c r="A2914">
        <v>30</v>
      </c>
      <c r="B2914" t="s">
        <v>65</v>
      </c>
      <c r="C2914">
        <v>42</v>
      </c>
      <c r="D2914">
        <f>COUNTIF(WeeklyPicks!$D$292:$F$301,C2914)</f>
        <v>0</v>
      </c>
    </row>
    <row r="2915" spans="1:4" x14ac:dyDescent="0.3">
      <c r="A2915">
        <v>30</v>
      </c>
      <c r="B2915" t="s">
        <v>65</v>
      </c>
      <c r="C2915">
        <v>43</v>
      </c>
      <c r="D2915">
        <f>COUNTIF(WeeklyPicks!$D$292:$F$301,C2915)</f>
        <v>0</v>
      </c>
    </row>
    <row r="2916" spans="1:4" x14ac:dyDescent="0.3">
      <c r="A2916">
        <v>30</v>
      </c>
      <c r="B2916" t="s">
        <v>65</v>
      </c>
      <c r="C2916">
        <v>44</v>
      </c>
      <c r="D2916">
        <f>COUNTIF(WeeklyPicks!$D$292:$F$301,C2916)</f>
        <v>0</v>
      </c>
    </row>
    <row r="2917" spans="1:4" x14ac:dyDescent="0.3">
      <c r="A2917">
        <v>30</v>
      </c>
      <c r="B2917" t="s">
        <v>65</v>
      </c>
      <c r="C2917">
        <v>45</v>
      </c>
      <c r="D2917">
        <f>COUNTIF(WeeklyPicks!$D$292:$F$301,C2917)</f>
        <v>0</v>
      </c>
    </row>
    <row r="2918" spans="1:4" x14ac:dyDescent="0.3">
      <c r="A2918">
        <v>30</v>
      </c>
      <c r="B2918" t="s">
        <v>65</v>
      </c>
      <c r="C2918">
        <v>46</v>
      </c>
      <c r="D2918">
        <f>COUNTIF(WeeklyPicks!$D$292:$F$301,C2918)</f>
        <v>0</v>
      </c>
    </row>
    <row r="2919" spans="1:4" x14ac:dyDescent="0.3">
      <c r="A2919">
        <v>30</v>
      </c>
      <c r="B2919" t="s">
        <v>65</v>
      </c>
      <c r="C2919">
        <v>47</v>
      </c>
      <c r="D2919">
        <f>COUNTIF(WeeklyPicks!$D$292:$F$301,C2919)</f>
        <v>0</v>
      </c>
    </row>
    <row r="2920" spans="1:4" x14ac:dyDescent="0.3">
      <c r="A2920">
        <v>30</v>
      </c>
      <c r="B2920" t="s">
        <v>65</v>
      </c>
      <c r="C2920">
        <v>48</v>
      </c>
      <c r="D2920">
        <f>COUNTIF(WeeklyPicks!$D$292:$F$301,C2920)</f>
        <v>0</v>
      </c>
    </row>
    <row r="2921" spans="1:4" x14ac:dyDescent="0.3">
      <c r="A2921">
        <v>30</v>
      </c>
      <c r="B2921" t="s">
        <v>65</v>
      </c>
      <c r="C2921">
        <v>49</v>
      </c>
      <c r="D2921">
        <f>COUNTIF(WeeklyPicks!$D$292:$F$301,C2921)</f>
        <v>0</v>
      </c>
    </row>
    <row r="2922" spans="1:4" x14ac:dyDescent="0.3">
      <c r="A2922">
        <v>30</v>
      </c>
      <c r="B2922" t="s">
        <v>65</v>
      </c>
      <c r="C2922">
        <v>50</v>
      </c>
      <c r="D2922">
        <f>COUNTIF(WeeklyPicks!$D$292:$F$301,C2922)</f>
        <v>0</v>
      </c>
    </row>
    <row r="2923" spans="1:4" x14ac:dyDescent="0.3">
      <c r="A2923">
        <v>30</v>
      </c>
      <c r="B2923" t="s">
        <v>65</v>
      </c>
      <c r="C2923">
        <v>51</v>
      </c>
      <c r="D2923">
        <f>COUNTIF(WeeklyPicks!$D$292:$F$301,C2923)</f>
        <v>0</v>
      </c>
    </row>
    <row r="2924" spans="1:4" x14ac:dyDescent="0.3">
      <c r="A2924">
        <v>30</v>
      </c>
      <c r="B2924" t="s">
        <v>65</v>
      </c>
      <c r="C2924">
        <v>52</v>
      </c>
      <c r="D2924">
        <f>COUNTIF(WeeklyPicks!$D$292:$F$301,C2924)</f>
        <v>0</v>
      </c>
    </row>
    <row r="2925" spans="1:4" x14ac:dyDescent="0.3">
      <c r="A2925">
        <v>30</v>
      </c>
      <c r="B2925" t="s">
        <v>65</v>
      </c>
      <c r="C2925">
        <v>53</v>
      </c>
      <c r="D2925">
        <f>COUNTIF(WeeklyPicks!$D$292:$F$301,C2925)</f>
        <v>0</v>
      </c>
    </row>
    <row r="2926" spans="1:4" x14ac:dyDescent="0.3">
      <c r="A2926">
        <v>30</v>
      </c>
      <c r="B2926" t="s">
        <v>65</v>
      </c>
      <c r="C2926">
        <v>54</v>
      </c>
      <c r="D2926">
        <f>COUNTIF(WeeklyPicks!$D$292:$F$301,C2926)</f>
        <v>0</v>
      </c>
    </row>
    <row r="2927" spans="1:4" x14ac:dyDescent="0.3">
      <c r="A2927">
        <v>30</v>
      </c>
      <c r="B2927" t="s">
        <v>65</v>
      </c>
      <c r="C2927">
        <v>55</v>
      </c>
      <c r="D2927">
        <f>COUNTIF(WeeklyPicks!$D$292:$F$301,C2927)</f>
        <v>0</v>
      </c>
    </row>
    <row r="2928" spans="1:4" x14ac:dyDescent="0.3">
      <c r="A2928">
        <v>30</v>
      </c>
      <c r="B2928" t="s">
        <v>65</v>
      </c>
      <c r="C2928">
        <v>56</v>
      </c>
      <c r="D2928">
        <f>COUNTIF(WeeklyPicks!$D$292:$F$301,C2928)</f>
        <v>0</v>
      </c>
    </row>
    <row r="2929" spans="1:4" x14ac:dyDescent="0.3">
      <c r="A2929">
        <v>30</v>
      </c>
      <c r="B2929" t="s">
        <v>65</v>
      </c>
      <c r="C2929">
        <v>57</v>
      </c>
      <c r="D2929">
        <f>COUNTIF(WeeklyPicks!$D$292:$F$301,C2929)</f>
        <v>0</v>
      </c>
    </row>
    <row r="2930" spans="1:4" x14ac:dyDescent="0.3">
      <c r="A2930">
        <v>30</v>
      </c>
      <c r="B2930" t="s">
        <v>65</v>
      </c>
      <c r="C2930">
        <v>58</v>
      </c>
      <c r="D2930">
        <f>COUNTIF(WeeklyPicks!$D$292:$F$301,C2930)</f>
        <v>0</v>
      </c>
    </row>
    <row r="2931" spans="1:4" x14ac:dyDescent="0.3">
      <c r="A2931">
        <v>30</v>
      </c>
      <c r="B2931" t="s">
        <v>65</v>
      </c>
      <c r="C2931">
        <v>59</v>
      </c>
      <c r="D2931">
        <f>COUNTIF(WeeklyPicks!$D$292:$F$301,C2931)</f>
        <v>0</v>
      </c>
    </row>
    <row r="2932" spans="1:4" x14ac:dyDescent="0.3">
      <c r="A2932">
        <v>30</v>
      </c>
      <c r="B2932" t="s">
        <v>65</v>
      </c>
      <c r="C2932">
        <v>60</v>
      </c>
      <c r="D2932">
        <f>COUNTIF(WeeklyPicks!$D$292:$F$301,C2932)</f>
        <v>0</v>
      </c>
    </row>
    <row r="2933" spans="1:4" x14ac:dyDescent="0.3">
      <c r="A2933">
        <v>30</v>
      </c>
      <c r="B2933" t="s">
        <v>65</v>
      </c>
      <c r="C2933">
        <v>61</v>
      </c>
      <c r="D2933">
        <f>COUNTIF(WeeklyPicks!$D$292:$F$301,C2933)</f>
        <v>0</v>
      </c>
    </row>
    <row r="2934" spans="1:4" x14ac:dyDescent="0.3">
      <c r="A2934">
        <v>30</v>
      </c>
      <c r="B2934" t="s">
        <v>65</v>
      </c>
      <c r="C2934">
        <v>62</v>
      </c>
      <c r="D2934">
        <f>COUNTIF(WeeklyPicks!$D$292:$F$301,C2934)</f>
        <v>0</v>
      </c>
    </row>
    <row r="2935" spans="1:4" x14ac:dyDescent="0.3">
      <c r="A2935">
        <v>30</v>
      </c>
      <c r="B2935" t="s">
        <v>65</v>
      </c>
      <c r="C2935">
        <v>63</v>
      </c>
      <c r="D2935">
        <f>COUNTIF(WeeklyPicks!$D$292:$F$301,C2935)</f>
        <v>0</v>
      </c>
    </row>
    <row r="2936" spans="1:4" x14ac:dyDescent="0.3">
      <c r="A2936">
        <v>30</v>
      </c>
      <c r="B2936" t="s">
        <v>65</v>
      </c>
      <c r="C2936">
        <v>64</v>
      </c>
      <c r="D2936">
        <f>COUNTIF(WeeklyPicks!$D$292:$F$301,C2936)</f>
        <v>0</v>
      </c>
    </row>
    <row r="2937" spans="1:4" x14ac:dyDescent="0.3">
      <c r="A2937">
        <v>30</v>
      </c>
      <c r="B2937" t="s">
        <v>65</v>
      </c>
      <c r="C2937">
        <v>65</v>
      </c>
      <c r="D2937">
        <f>COUNTIF(WeeklyPicks!$D$292:$F$301,C2937)</f>
        <v>0</v>
      </c>
    </row>
    <row r="2938" spans="1:4" x14ac:dyDescent="0.3">
      <c r="A2938">
        <v>30</v>
      </c>
      <c r="B2938" t="s">
        <v>65</v>
      </c>
      <c r="C2938">
        <v>66</v>
      </c>
      <c r="D2938">
        <f>COUNTIF(WeeklyPicks!$D$292:$F$301,C2938)</f>
        <v>0</v>
      </c>
    </row>
    <row r="2939" spans="1:4" x14ac:dyDescent="0.3">
      <c r="A2939">
        <v>30</v>
      </c>
      <c r="B2939" t="s">
        <v>65</v>
      </c>
      <c r="C2939">
        <v>67</v>
      </c>
      <c r="D2939">
        <f>COUNTIF(WeeklyPicks!$D$292:$F$301,C2939)</f>
        <v>0</v>
      </c>
    </row>
    <row r="2940" spans="1:4" x14ac:dyDescent="0.3">
      <c r="A2940">
        <v>30</v>
      </c>
      <c r="B2940" t="s">
        <v>65</v>
      </c>
      <c r="C2940">
        <v>68</v>
      </c>
      <c r="D2940">
        <f>COUNTIF(WeeklyPicks!$D$292:$F$301,C2940)</f>
        <v>0</v>
      </c>
    </row>
    <row r="2941" spans="1:4" x14ac:dyDescent="0.3">
      <c r="A2941">
        <v>30</v>
      </c>
      <c r="B2941" t="s">
        <v>65</v>
      </c>
      <c r="C2941">
        <v>69</v>
      </c>
      <c r="D2941">
        <f>COUNTIF(WeeklyPicks!$D$292:$F$301,C2941)</f>
        <v>0</v>
      </c>
    </row>
    <row r="2942" spans="1:4" x14ac:dyDescent="0.3">
      <c r="A2942">
        <v>30</v>
      </c>
      <c r="B2942" t="s">
        <v>65</v>
      </c>
      <c r="C2942">
        <v>70</v>
      </c>
      <c r="D2942">
        <f>COUNTIF(WeeklyPicks!$D$292:$F$301,C2942)</f>
        <v>0</v>
      </c>
    </row>
    <row r="2943" spans="1:4" x14ac:dyDescent="0.3">
      <c r="A2943">
        <v>30</v>
      </c>
      <c r="B2943" t="s">
        <v>65</v>
      </c>
      <c r="C2943">
        <v>71</v>
      </c>
      <c r="D2943">
        <f>COUNTIF(WeeklyPicks!$D$292:$F$301,C2943)</f>
        <v>0</v>
      </c>
    </row>
    <row r="2944" spans="1:4" x14ac:dyDescent="0.3">
      <c r="A2944">
        <v>30</v>
      </c>
      <c r="B2944" t="s">
        <v>65</v>
      </c>
      <c r="C2944">
        <v>72</v>
      </c>
      <c r="D2944">
        <f>COUNTIF(WeeklyPicks!$D$292:$F$301,C2944)</f>
        <v>0</v>
      </c>
    </row>
    <row r="2945" spans="1:4" x14ac:dyDescent="0.3">
      <c r="A2945">
        <v>30</v>
      </c>
      <c r="B2945" t="s">
        <v>65</v>
      </c>
      <c r="C2945">
        <v>73</v>
      </c>
      <c r="D2945">
        <f>COUNTIF(WeeklyPicks!$D$292:$F$301,C2945)</f>
        <v>0</v>
      </c>
    </row>
    <row r="2946" spans="1:4" x14ac:dyDescent="0.3">
      <c r="A2946">
        <v>30</v>
      </c>
      <c r="B2946" t="s">
        <v>65</v>
      </c>
      <c r="C2946">
        <v>74</v>
      </c>
      <c r="D2946">
        <f>COUNTIF(WeeklyPicks!$D$292:$F$301,C2946)</f>
        <v>0</v>
      </c>
    </row>
    <row r="2947" spans="1:4" x14ac:dyDescent="0.3">
      <c r="A2947">
        <v>30</v>
      </c>
      <c r="B2947" t="s">
        <v>65</v>
      </c>
      <c r="C2947">
        <v>75</v>
      </c>
      <c r="D2947">
        <f>COUNTIF(WeeklyPicks!$D$292:$F$301,C2947)</f>
        <v>0</v>
      </c>
    </row>
    <row r="2948" spans="1:4" x14ac:dyDescent="0.3">
      <c r="A2948">
        <v>30</v>
      </c>
      <c r="B2948" t="s">
        <v>65</v>
      </c>
      <c r="C2948">
        <v>76</v>
      </c>
      <c r="D2948">
        <f>COUNTIF(WeeklyPicks!$D$292:$F$301,C2948)</f>
        <v>0</v>
      </c>
    </row>
    <row r="2949" spans="1:4" x14ac:dyDescent="0.3">
      <c r="A2949">
        <v>30</v>
      </c>
      <c r="B2949" t="s">
        <v>65</v>
      </c>
      <c r="C2949">
        <v>77</v>
      </c>
      <c r="D2949">
        <f>COUNTIF(WeeklyPicks!$D$292:$F$301,C2949)</f>
        <v>0</v>
      </c>
    </row>
    <row r="2950" spans="1:4" x14ac:dyDescent="0.3">
      <c r="A2950">
        <v>30</v>
      </c>
      <c r="B2950" t="s">
        <v>65</v>
      </c>
      <c r="C2950">
        <v>78</v>
      </c>
      <c r="D2950">
        <f>COUNTIF(WeeklyPicks!$D$292:$F$301,C2950)</f>
        <v>0</v>
      </c>
    </row>
    <row r="2951" spans="1:4" x14ac:dyDescent="0.3">
      <c r="A2951">
        <v>30</v>
      </c>
      <c r="B2951" t="s">
        <v>65</v>
      </c>
      <c r="C2951">
        <v>79</v>
      </c>
      <c r="D2951">
        <f>COUNTIF(WeeklyPicks!$D$292:$F$301,C2951)</f>
        <v>0</v>
      </c>
    </row>
    <row r="2952" spans="1:4" x14ac:dyDescent="0.3">
      <c r="A2952">
        <v>30</v>
      </c>
      <c r="B2952" t="s">
        <v>65</v>
      </c>
      <c r="C2952">
        <v>80</v>
      </c>
      <c r="D2952">
        <f>COUNTIF(WeeklyPicks!$D$292:$F$301,C2952)</f>
        <v>0</v>
      </c>
    </row>
    <row r="2953" spans="1:4" x14ac:dyDescent="0.3">
      <c r="A2953">
        <v>30</v>
      </c>
      <c r="B2953" t="s">
        <v>65</v>
      </c>
      <c r="C2953">
        <v>81</v>
      </c>
      <c r="D2953">
        <f>COUNTIF(WeeklyPicks!$D$292:$F$301,C2953)</f>
        <v>0</v>
      </c>
    </row>
    <row r="2954" spans="1:4" x14ac:dyDescent="0.3">
      <c r="A2954">
        <v>30</v>
      </c>
      <c r="B2954" t="s">
        <v>65</v>
      </c>
      <c r="C2954">
        <v>82</v>
      </c>
      <c r="D2954">
        <f>COUNTIF(WeeklyPicks!$D$292:$F$301,C2954)</f>
        <v>0</v>
      </c>
    </row>
    <row r="2955" spans="1:4" x14ac:dyDescent="0.3">
      <c r="A2955">
        <v>30</v>
      </c>
      <c r="B2955" t="s">
        <v>65</v>
      </c>
      <c r="C2955">
        <v>83</v>
      </c>
      <c r="D2955">
        <f>COUNTIF(WeeklyPicks!$D$292:$F$301,C2955)</f>
        <v>0</v>
      </c>
    </row>
    <row r="2956" spans="1:4" x14ac:dyDescent="0.3">
      <c r="A2956">
        <v>30</v>
      </c>
      <c r="B2956" t="s">
        <v>65</v>
      </c>
      <c r="C2956">
        <v>84</v>
      </c>
      <c r="D2956">
        <f>COUNTIF(WeeklyPicks!$D$292:$F$301,C2956)</f>
        <v>0</v>
      </c>
    </row>
    <row r="2957" spans="1:4" x14ac:dyDescent="0.3">
      <c r="A2957">
        <v>30</v>
      </c>
      <c r="B2957" t="s">
        <v>65</v>
      </c>
      <c r="C2957">
        <v>85</v>
      </c>
      <c r="D2957">
        <f>COUNTIF(WeeklyPicks!$D$292:$F$301,C2957)</f>
        <v>0</v>
      </c>
    </row>
    <row r="2958" spans="1:4" x14ac:dyDescent="0.3">
      <c r="A2958">
        <v>30</v>
      </c>
      <c r="B2958" t="s">
        <v>65</v>
      </c>
      <c r="C2958">
        <v>86</v>
      </c>
      <c r="D2958">
        <f>COUNTIF(WeeklyPicks!$D$292:$F$301,C2958)</f>
        <v>0</v>
      </c>
    </row>
    <row r="2959" spans="1:4" x14ac:dyDescent="0.3">
      <c r="A2959">
        <v>30</v>
      </c>
      <c r="B2959" t="s">
        <v>65</v>
      </c>
      <c r="C2959">
        <v>87</v>
      </c>
      <c r="D2959">
        <f>COUNTIF(WeeklyPicks!$D$292:$F$301,C2959)</f>
        <v>0</v>
      </c>
    </row>
    <row r="2960" spans="1:4" x14ac:dyDescent="0.3">
      <c r="A2960">
        <v>30</v>
      </c>
      <c r="B2960" t="s">
        <v>65</v>
      </c>
      <c r="C2960">
        <v>88</v>
      </c>
      <c r="D2960">
        <f>COUNTIF(WeeklyPicks!$D$292:$F$301,C2960)</f>
        <v>0</v>
      </c>
    </row>
    <row r="2961" spans="1:4" x14ac:dyDescent="0.3">
      <c r="A2961">
        <v>30</v>
      </c>
      <c r="B2961" t="s">
        <v>65</v>
      </c>
      <c r="C2961">
        <v>89</v>
      </c>
      <c r="D2961">
        <f>COUNTIF(WeeklyPicks!$D$292:$F$301,C2961)</f>
        <v>0</v>
      </c>
    </row>
    <row r="2962" spans="1:4" x14ac:dyDescent="0.3">
      <c r="A2962">
        <v>30</v>
      </c>
      <c r="B2962" t="s">
        <v>65</v>
      </c>
      <c r="C2962">
        <v>90</v>
      </c>
      <c r="D2962">
        <f>COUNTIF(WeeklyPicks!$D$292:$F$301,C2962)</f>
        <v>0</v>
      </c>
    </row>
    <row r="2963" spans="1:4" x14ac:dyDescent="0.3">
      <c r="A2963">
        <v>30</v>
      </c>
      <c r="B2963" t="s">
        <v>65</v>
      </c>
      <c r="C2963">
        <v>91</v>
      </c>
      <c r="D2963">
        <f>COUNTIF(WeeklyPicks!$D$292:$F$301,C2963)</f>
        <v>0</v>
      </c>
    </row>
    <row r="2964" spans="1:4" x14ac:dyDescent="0.3">
      <c r="A2964">
        <v>30</v>
      </c>
      <c r="B2964" t="s">
        <v>65</v>
      </c>
      <c r="C2964">
        <v>92</v>
      </c>
      <c r="D2964">
        <f>COUNTIF(WeeklyPicks!$D$292:$F$301,C2964)</f>
        <v>0</v>
      </c>
    </row>
    <row r="2965" spans="1:4" x14ac:dyDescent="0.3">
      <c r="A2965">
        <v>30</v>
      </c>
      <c r="B2965" t="s">
        <v>65</v>
      </c>
      <c r="C2965">
        <v>93</v>
      </c>
      <c r="D2965">
        <f>COUNTIF(WeeklyPicks!$D$292:$F$301,C2965)</f>
        <v>0</v>
      </c>
    </row>
    <row r="2966" spans="1:4" x14ac:dyDescent="0.3">
      <c r="A2966">
        <v>30</v>
      </c>
      <c r="B2966" t="s">
        <v>65</v>
      </c>
      <c r="C2966">
        <v>94</v>
      </c>
      <c r="D2966">
        <f>COUNTIF(WeeklyPicks!$D$292:$F$301,C2966)</f>
        <v>0</v>
      </c>
    </row>
    <row r="2967" spans="1:4" x14ac:dyDescent="0.3">
      <c r="A2967">
        <v>30</v>
      </c>
      <c r="B2967" t="s">
        <v>65</v>
      </c>
      <c r="C2967">
        <v>95</v>
      </c>
      <c r="D2967">
        <f>COUNTIF(WeeklyPicks!$D$292:$F$301,C2967)</f>
        <v>0</v>
      </c>
    </row>
    <row r="2968" spans="1:4" x14ac:dyDescent="0.3">
      <c r="A2968">
        <v>30</v>
      </c>
      <c r="B2968" t="s">
        <v>65</v>
      </c>
      <c r="C2968">
        <v>96</v>
      </c>
      <c r="D2968">
        <f>COUNTIF(WeeklyPicks!$D$292:$F$301,C2968)</f>
        <v>0</v>
      </c>
    </row>
    <row r="2969" spans="1:4" x14ac:dyDescent="0.3">
      <c r="A2969">
        <v>30</v>
      </c>
      <c r="B2969" t="s">
        <v>65</v>
      </c>
      <c r="C2969">
        <v>97</v>
      </c>
      <c r="D2969">
        <f>COUNTIF(WeeklyPicks!$D$292:$F$301,C2969)</f>
        <v>0</v>
      </c>
    </row>
    <row r="2970" spans="1:4" x14ac:dyDescent="0.3">
      <c r="A2970">
        <v>30</v>
      </c>
      <c r="B2970" t="s">
        <v>65</v>
      </c>
      <c r="C2970">
        <v>98</v>
      </c>
      <c r="D2970">
        <f>COUNTIF(WeeklyPicks!$D$292:$F$301,C2970)</f>
        <v>0</v>
      </c>
    </row>
    <row r="2971" spans="1:4" x14ac:dyDescent="0.3">
      <c r="A2971">
        <v>30</v>
      </c>
      <c r="B2971" t="s">
        <v>65</v>
      </c>
      <c r="C2971">
        <v>99</v>
      </c>
      <c r="D2971">
        <f>COUNTIF(WeeklyPicks!$D$292:$F$301,C2971)</f>
        <v>0</v>
      </c>
    </row>
    <row r="2972" spans="1:4" x14ac:dyDescent="0.3">
      <c r="A2972">
        <v>31</v>
      </c>
      <c r="B2972" t="s">
        <v>57</v>
      </c>
      <c r="C2972">
        <v>1</v>
      </c>
      <c r="D2972">
        <f>COUNTIF(WeeklyPicks!$D$302:$F$311,C2972)</f>
        <v>0</v>
      </c>
    </row>
    <row r="2973" spans="1:4" x14ac:dyDescent="0.3">
      <c r="A2973">
        <v>31</v>
      </c>
      <c r="B2973" t="s">
        <v>57</v>
      </c>
      <c r="C2973">
        <v>2</v>
      </c>
      <c r="D2973">
        <f>COUNTIF(WeeklyPicks!$D$302:$F$311,C2973)</f>
        <v>0</v>
      </c>
    </row>
    <row r="2974" spans="1:4" x14ac:dyDescent="0.3">
      <c r="A2974">
        <v>31</v>
      </c>
      <c r="B2974" t="s">
        <v>57</v>
      </c>
      <c r="C2974">
        <v>3</v>
      </c>
      <c r="D2974">
        <f>COUNTIF(WeeklyPicks!$D$302:$F$311,C2974)</f>
        <v>0</v>
      </c>
    </row>
    <row r="2975" spans="1:4" x14ac:dyDescent="0.3">
      <c r="A2975">
        <v>31</v>
      </c>
      <c r="B2975" t="s">
        <v>57</v>
      </c>
      <c r="C2975">
        <v>4</v>
      </c>
      <c r="D2975">
        <f>COUNTIF(WeeklyPicks!$D$302:$F$311,C2975)</f>
        <v>0</v>
      </c>
    </row>
    <row r="2976" spans="1:4" x14ac:dyDescent="0.3">
      <c r="A2976">
        <v>31</v>
      </c>
      <c r="B2976" t="s">
        <v>57</v>
      </c>
      <c r="C2976">
        <v>5</v>
      </c>
      <c r="D2976">
        <f>COUNTIF(WeeklyPicks!$D$302:$F$311,C2976)</f>
        <v>0</v>
      </c>
    </row>
    <row r="2977" spans="1:4" x14ac:dyDescent="0.3">
      <c r="A2977">
        <v>31</v>
      </c>
      <c r="B2977" t="s">
        <v>57</v>
      </c>
      <c r="C2977">
        <v>6</v>
      </c>
      <c r="D2977">
        <f>COUNTIF(WeeklyPicks!$D$302:$F$311,C2977)</f>
        <v>0</v>
      </c>
    </row>
    <row r="2978" spans="1:4" x14ac:dyDescent="0.3">
      <c r="A2978">
        <v>31</v>
      </c>
      <c r="B2978" t="s">
        <v>57</v>
      </c>
      <c r="C2978">
        <v>7</v>
      </c>
      <c r="D2978">
        <f>COUNTIF(WeeklyPicks!$D$302:$F$311,C2978)</f>
        <v>0</v>
      </c>
    </row>
    <row r="2979" spans="1:4" x14ac:dyDescent="0.3">
      <c r="A2979">
        <v>31</v>
      </c>
      <c r="B2979" t="s">
        <v>57</v>
      </c>
      <c r="C2979">
        <v>8</v>
      </c>
      <c r="D2979">
        <f>COUNTIF(WeeklyPicks!$D$302:$F$311,C2979)</f>
        <v>0</v>
      </c>
    </row>
    <row r="2980" spans="1:4" x14ac:dyDescent="0.3">
      <c r="A2980">
        <v>31</v>
      </c>
      <c r="B2980" t="s">
        <v>57</v>
      </c>
      <c r="C2980">
        <v>9</v>
      </c>
      <c r="D2980">
        <f>COUNTIF(WeeklyPicks!$D$302:$F$311,C2980)</f>
        <v>0</v>
      </c>
    </row>
    <row r="2981" spans="1:4" x14ac:dyDescent="0.3">
      <c r="A2981">
        <v>31</v>
      </c>
      <c r="B2981" t="s">
        <v>57</v>
      </c>
      <c r="C2981">
        <v>10</v>
      </c>
      <c r="D2981">
        <f>COUNTIF(WeeklyPicks!$D$302:$F$311,C2981)</f>
        <v>0</v>
      </c>
    </row>
    <row r="2982" spans="1:4" x14ac:dyDescent="0.3">
      <c r="A2982">
        <v>31</v>
      </c>
      <c r="B2982" t="s">
        <v>57</v>
      </c>
      <c r="C2982">
        <v>11</v>
      </c>
      <c r="D2982">
        <f>COUNTIF(WeeklyPicks!$D$302:$F$311,C2982)</f>
        <v>0</v>
      </c>
    </row>
    <row r="2983" spans="1:4" x14ac:dyDescent="0.3">
      <c r="A2983">
        <v>31</v>
      </c>
      <c r="B2983" t="s">
        <v>57</v>
      </c>
      <c r="C2983">
        <v>12</v>
      </c>
      <c r="D2983">
        <f>COUNTIF(WeeklyPicks!$D$302:$F$311,C2983)</f>
        <v>0</v>
      </c>
    </row>
    <row r="2984" spans="1:4" x14ac:dyDescent="0.3">
      <c r="A2984">
        <v>31</v>
      </c>
      <c r="B2984" t="s">
        <v>57</v>
      </c>
      <c r="C2984">
        <v>13</v>
      </c>
      <c r="D2984">
        <f>COUNTIF(WeeklyPicks!$D$302:$F$311,C2984)</f>
        <v>0</v>
      </c>
    </row>
    <row r="2985" spans="1:4" x14ac:dyDescent="0.3">
      <c r="A2985">
        <v>31</v>
      </c>
      <c r="B2985" t="s">
        <v>57</v>
      </c>
      <c r="C2985">
        <v>14</v>
      </c>
      <c r="D2985">
        <f>COUNTIF(WeeklyPicks!$D$302:$F$311,C2985)</f>
        <v>0</v>
      </c>
    </row>
    <row r="2986" spans="1:4" x14ac:dyDescent="0.3">
      <c r="A2986">
        <v>31</v>
      </c>
      <c r="B2986" t="s">
        <v>57</v>
      </c>
      <c r="C2986">
        <v>15</v>
      </c>
      <c r="D2986">
        <f>COUNTIF(WeeklyPicks!$D$302:$F$311,C2986)</f>
        <v>0</v>
      </c>
    </row>
    <row r="2987" spans="1:4" x14ac:dyDescent="0.3">
      <c r="A2987">
        <v>31</v>
      </c>
      <c r="B2987" t="s">
        <v>57</v>
      </c>
      <c r="C2987">
        <v>16</v>
      </c>
      <c r="D2987">
        <f>COUNTIF(WeeklyPicks!$D$302:$F$311,C2987)</f>
        <v>0</v>
      </c>
    </row>
    <row r="2988" spans="1:4" x14ac:dyDescent="0.3">
      <c r="A2988">
        <v>31</v>
      </c>
      <c r="B2988" t="s">
        <v>57</v>
      </c>
      <c r="C2988">
        <v>17</v>
      </c>
      <c r="D2988">
        <f>COUNTIF(WeeklyPicks!$D$302:$F$311,C2988)</f>
        <v>0</v>
      </c>
    </row>
    <row r="2989" spans="1:4" x14ac:dyDescent="0.3">
      <c r="A2989">
        <v>31</v>
      </c>
      <c r="B2989" t="s">
        <v>57</v>
      </c>
      <c r="C2989">
        <v>18</v>
      </c>
      <c r="D2989">
        <f>COUNTIF(WeeklyPicks!$D$302:$F$311,C2989)</f>
        <v>0</v>
      </c>
    </row>
    <row r="2990" spans="1:4" x14ac:dyDescent="0.3">
      <c r="A2990">
        <v>31</v>
      </c>
      <c r="B2990" t="s">
        <v>57</v>
      </c>
      <c r="C2990">
        <v>19</v>
      </c>
      <c r="D2990">
        <f>COUNTIF(WeeklyPicks!$D$302:$F$311,C2990)</f>
        <v>0</v>
      </c>
    </row>
    <row r="2991" spans="1:4" x14ac:dyDescent="0.3">
      <c r="A2991">
        <v>31</v>
      </c>
      <c r="B2991" t="s">
        <v>57</v>
      </c>
      <c r="C2991">
        <v>20</v>
      </c>
      <c r="D2991">
        <f>COUNTIF(WeeklyPicks!$D$302:$F$311,C2991)</f>
        <v>0</v>
      </c>
    </row>
    <row r="2992" spans="1:4" x14ac:dyDescent="0.3">
      <c r="A2992">
        <v>31</v>
      </c>
      <c r="B2992" t="s">
        <v>57</v>
      </c>
      <c r="C2992">
        <v>21</v>
      </c>
      <c r="D2992">
        <f>COUNTIF(WeeklyPicks!$D$302:$F$311,C2992)</f>
        <v>0</v>
      </c>
    </row>
    <row r="2993" spans="1:4" x14ac:dyDescent="0.3">
      <c r="A2993">
        <v>31</v>
      </c>
      <c r="B2993" t="s">
        <v>57</v>
      </c>
      <c r="C2993">
        <v>22</v>
      </c>
      <c r="D2993">
        <f>COUNTIF(WeeklyPicks!$D$302:$F$311,C2993)</f>
        <v>0</v>
      </c>
    </row>
    <row r="2994" spans="1:4" x14ac:dyDescent="0.3">
      <c r="A2994">
        <v>31</v>
      </c>
      <c r="B2994" t="s">
        <v>57</v>
      </c>
      <c r="C2994">
        <v>23</v>
      </c>
      <c r="D2994">
        <f>COUNTIF(WeeklyPicks!$D$302:$F$311,C2994)</f>
        <v>0</v>
      </c>
    </row>
    <row r="2995" spans="1:4" x14ac:dyDescent="0.3">
      <c r="A2995">
        <v>31</v>
      </c>
      <c r="B2995" t="s">
        <v>57</v>
      </c>
      <c r="C2995">
        <v>24</v>
      </c>
      <c r="D2995">
        <f>COUNTIF(WeeklyPicks!$D$302:$F$311,C2995)</f>
        <v>0</v>
      </c>
    </row>
    <row r="2996" spans="1:4" x14ac:dyDescent="0.3">
      <c r="A2996">
        <v>31</v>
      </c>
      <c r="B2996" t="s">
        <v>57</v>
      </c>
      <c r="C2996">
        <v>25</v>
      </c>
      <c r="D2996">
        <f>COUNTIF(WeeklyPicks!$D$302:$F$311,C2996)</f>
        <v>0</v>
      </c>
    </row>
    <row r="2997" spans="1:4" x14ac:dyDescent="0.3">
      <c r="A2997">
        <v>31</v>
      </c>
      <c r="B2997" t="s">
        <v>57</v>
      </c>
      <c r="C2997">
        <v>26</v>
      </c>
      <c r="D2997">
        <f>COUNTIF(WeeklyPicks!$D$302:$F$311,C2997)</f>
        <v>0</v>
      </c>
    </row>
    <row r="2998" spans="1:4" x14ac:dyDescent="0.3">
      <c r="A2998">
        <v>31</v>
      </c>
      <c r="B2998" t="s">
        <v>57</v>
      </c>
      <c r="C2998">
        <v>27</v>
      </c>
      <c r="D2998">
        <f>COUNTIF(WeeklyPicks!$D$302:$F$311,C2998)</f>
        <v>0</v>
      </c>
    </row>
    <row r="2999" spans="1:4" x14ac:dyDescent="0.3">
      <c r="A2999">
        <v>31</v>
      </c>
      <c r="B2999" t="s">
        <v>57</v>
      </c>
      <c r="C2999">
        <v>28</v>
      </c>
      <c r="D2999">
        <f>COUNTIF(WeeklyPicks!$D$302:$F$311,C2999)</f>
        <v>0</v>
      </c>
    </row>
    <row r="3000" spans="1:4" x14ac:dyDescent="0.3">
      <c r="A3000">
        <v>31</v>
      </c>
      <c r="B3000" t="s">
        <v>57</v>
      </c>
      <c r="C3000">
        <v>29</v>
      </c>
      <c r="D3000">
        <f>COUNTIF(WeeklyPicks!$D$302:$F$311,C3000)</f>
        <v>0</v>
      </c>
    </row>
    <row r="3001" spans="1:4" x14ac:dyDescent="0.3">
      <c r="A3001">
        <v>31</v>
      </c>
      <c r="B3001" t="s">
        <v>57</v>
      </c>
      <c r="C3001">
        <v>30</v>
      </c>
      <c r="D3001">
        <f>COUNTIF(WeeklyPicks!$D$302:$F$311,C3001)</f>
        <v>0</v>
      </c>
    </row>
    <row r="3002" spans="1:4" x14ac:dyDescent="0.3">
      <c r="A3002">
        <v>31</v>
      </c>
      <c r="B3002" t="s">
        <v>57</v>
      </c>
      <c r="C3002">
        <v>31</v>
      </c>
      <c r="D3002">
        <f>COUNTIF(WeeklyPicks!$D$302:$F$311,C3002)</f>
        <v>0</v>
      </c>
    </row>
    <row r="3003" spans="1:4" x14ac:dyDescent="0.3">
      <c r="A3003">
        <v>31</v>
      </c>
      <c r="B3003" t="s">
        <v>57</v>
      </c>
      <c r="C3003">
        <v>32</v>
      </c>
      <c r="D3003">
        <f>COUNTIF(WeeklyPicks!$D$302:$F$311,C3003)</f>
        <v>0</v>
      </c>
    </row>
    <row r="3004" spans="1:4" x14ac:dyDescent="0.3">
      <c r="A3004">
        <v>31</v>
      </c>
      <c r="B3004" t="s">
        <v>57</v>
      </c>
      <c r="C3004">
        <v>33</v>
      </c>
      <c r="D3004">
        <f>COUNTIF(WeeklyPicks!$D$302:$F$311,C3004)</f>
        <v>0</v>
      </c>
    </row>
    <row r="3005" spans="1:4" x14ac:dyDescent="0.3">
      <c r="A3005">
        <v>31</v>
      </c>
      <c r="B3005" t="s">
        <v>57</v>
      </c>
      <c r="C3005">
        <v>34</v>
      </c>
      <c r="D3005">
        <f>COUNTIF(WeeklyPicks!$D$302:$F$311,C3005)</f>
        <v>0</v>
      </c>
    </row>
    <row r="3006" spans="1:4" x14ac:dyDescent="0.3">
      <c r="A3006">
        <v>31</v>
      </c>
      <c r="B3006" t="s">
        <v>57</v>
      </c>
      <c r="C3006">
        <v>35</v>
      </c>
      <c r="D3006">
        <f>COUNTIF(WeeklyPicks!$D$302:$F$311,C3006)</f>
        <v>0</v>
      </c>
    </row>
    <row r="3007" spans="1:4" x14ac:dyDescent="0.3">
      <c r="A3007">
        <v>31</v>
      </c>
      <c r="B3007" t="s">
        <v>57</v>
      </c>
      <c r="C3007">
        <v>36</v>
      </c>
      <c r="D3007">
        <f>COUNTIF(WeeklyPicks!$D$302:$F$311,C3007)</f>
        <v>0</v>
      </c>
    </row>
    <row r="3008" spans="1:4" x14ac:dyDescent="0.3">
      <c r="A3008">
        <v>31</v>
      </c>
      <c r="B3008" t="s">
        <v>57</v>
      </c>
      <c r="C3008">
        <v>37</v>
      </c>
      <c r="D3008">
        <f>COUNTIF(WeeklyPicks!$D$302:$F$311,C3008)</f>
        <v>0</v>
      </c>
    </row>
    <row r="3009" spans="1:4" x14ac:dyDescent="0.3">
      <c r="A3009">
        <v>31</v>
      </c>
      <c r="B3009" t="s">
        <v>57</v>
      </c>
      <c r="C3009">
        <v>38</v>
      </c>
      <c r="D3009">
        <f>COUNTIF(WeeklyPicks!$D$302:$F$311,C3009)</f>
        <v>0</v>
      </c>
    </row>
    <row r="3010" spans="1:4" x14ac:dyDescent="0.3">
      <c r="A3010">
        <v>31</v>
      </c>
      <c r="B3010" t="s">
        <v>57</v>
      </c>
      <c r="C3010">
        <v>39</v>
      </c>
      <c r="D3010">
        <f>COUNTIF(WeeklyPicks!$D$302:$F$311,C3010)</f>
        <v>0</v>
      </c>
    </row>
    <row r="3011" spans="1:4" x14ac:dyDescent="0.3">
      <c r="A3011">
        <v>31</v>
      </c>
      <c r="B3011" t="s">
        <v>57</v>
      </c>
      <c r="C3011">
        <v>40</v>
      </c>
      <c r="D3011">
        <f>COUNTIF(WeeklyPicks!$D$302:$F$311,C3011)</f>
        <v>0</v>
      </c>
    </row>
    <row r="3012" spans="1:4" x14ac:dyDescent="0.3">
      <c r="A3012">
        <v>31</v>
      </c>
      <c r="B3012" t="s">
        <v>57</v>
      </c>
      <c r="C3012">
        <v>41</v>
      </c>
      <c r="D3012">
        <f>COUNTIF(WeeklyPicks!$D$302:$F$311,C3012)</f>
        <v>0</v>
      </c>
    </row>
    <row r="3013" spans="1:4" x14ac:dyDescent="0.3">
      <c r="A3013">
        <v>31</v>
      </c>
      <c r="B3013" t="s">
        <v>57</v>
      </c>
      <c r="C3013">
        <v>42</v>
      </c>
      <c r="D3013">
        <f>COUNTIF(WeeklyPicks!$D$302:$F$311,C3013)</f>
        <v>0</v>
      </c>
    </row>
    <row r="3014" spans="1:4" x14ac:dyDescent="0.3">
      <c r="A3014">
        <v>31</v>
      </c>
      <c r="B3014" t="s">
        <v>57</v>
      </c>
      <c r="C3014">
        <v>43</v>
      </c>
      <c r="D3014">
        <f>COUNTIF(WeeklyPicks!$D$302:$F$311,C3014)</f>
        <v>0</v>
      </c>
    </row>
    <row r="3015" spans="1:4" x14ac:dyDescent="0.3">
      <c r="A3015">
        <v>31</v>
      </c>
      <c r="B3015" t="s">
        <v>57</v>
      </c>
      <c r="C3015">
        <v>44</v>
      </c>
      <c r="D3015">
        <f>COUNTIF(WeeklyPicks!$D$302:$F$311,C3015)</f>
        <v>0</v>
      </c>
    </row>
    <row r="3016" spans="1:4" x14ac:dyDescent="0.3">
      <c r="A3016">
        <v>31</v>
      </c>
      <c r="B3016" t="s">
        <v>57</v>
      </c>
      <c r="C3016">
        <v>45</v>
      </c>
      <c r="D3016">
        <f>COUNTIF(WeeklyPicks!$D$302:$F$311,C3016)</f>
        <v>0</v>
      </c>
    </row>
    <row r="3017" spans="1:4" x14ac:dyDescent="0.3">
      <c r="A3017">
        <v>31</v>
      </c>
      <c r="B3017" t="s">
        <v>57</v>
      </c>
      <c r="C3017">
        <v>46</v>
      </c>
      <c r="D3017">
        <f>COUNTIF(WeeklyPicks!$D$302:$F$311,C3017)</f>
        <v>0</v>
      </c>
    </row>
    <row r="3018" spans="1:4" x14ac:dyDescent="0.3">
      <c r="A3018">
        <v>31</v>
      </c>
      <c r="B3018" t="s">
        <v>57</v>
      </c>
      <c r="C3018">
        <v>47</v>
      </c>
      <c r="D3018">
        <f>COUNTIF(WeeklyPicks!$D$302:$F$311,C3018)</f>
        <v>0</v>
      </c>
    </row>
    <row r="3019" spans="1:4" x14ac:dyDescent="0.3">
      <c r="A3019">
        <v>31</v>
      </c>
      <c r="B3019" t="s">
        <v>57</v>
      </c>
      <c r="C3019">
        <v>48</v>
      </c>
      <c r="D3019">
        <f>COUNTIF(WeeklyPicks!$D$302:$F$311,C3019)</f>
        <v>0</v>
      </c>
    </row>
    <row r="3020" spans="1:4" x14ac:dyDescent="0.3">
      <c r="A3020">
        <v>31</v>
      </c>
      <c r="B3020" t="s">
        <v>57</v>
      </c>
      <c r="C3020">
        <v>49</v>
      </c>
      <c r="D3020">
        <f>COUNTIF(WeeklyPicks!$D$302:$F$311,C3020)</f>
        <v>0</v>
      </c>
    </row>
    <row r="3021" spans="1:4" x14ac:dyDescent="0.3">
      <c r="A3021">
        <v>31</v>
      </c>
      <c r="B3021" t="s">
        <v>57</v>
      </c>
      <c r="C3021">
        <v>50</v>
      </c>
      <c r="D3021">
        <f>COUNTIF(WeeklyPicks!$D$302:$F$311,C3021)</f>
        <v>0</v>
      </c>
    </row>
    <row r="3022" spans="1:4" x14ac:dyDescent="0.3">
      <c r="A3022">
        <v>31</v>
      </c>
      <c r="B3022" t="s">
        <v>57</v>
      </c>
      <c r="C3022">
        <v>51</v>
      </c>
      <c r="D3022">
        <f>COUNTIF(WeeklyPicks!$D$302:$F$311,C3022)</f>
        <v>0</v>
      </c>
    </row>
    <row r="3023" spans="1:4" x14ac:dyDescent="0.3">
      <c r="A3023">
        <v>31</v>
      </c>
      <c r="B3023" t="s">
        <v>57</v>
      </c>
      <c r="C3023">
        <v>52</v>
      </c>
      <c r="D3023">
        <f>COUNTIF(WeeklyPicks!$D$302:$F$311,C3023)</f>
        <v>0</v>
      </c>
    </row>
    <row r="3024" spans="1:4" x14ac:dyDescent="0.3">
      <c r="A3024">
        <v>31</v>
      </c>
      <c r="B3024" t="s">
        <v>57</v>
      </c>
      <c r="C3024">
        <v>53</v>
      </c>
      <c r="D3024">
        <f>COUNTIF(WeeklyPicks!$D$302:$F$311,C3024)</f>
        <v>0</v>
      </c>
    </row>
    <row r="3025" spans="1:4" x14ac:dyDescent="0.3">
      <c r="A3025">
        <v>31</v>
      </c>
      <c r="B3025" t="s">
        <v>57</v>
      </c>
      <c r="C3025">
        <v>54</v>
      </c>
      <c r="D3025">
        <f>COUNTIF(WeeklyPicks!$D$302:$F$311,C3025)</f>
        <v>0</v>
      </c>
    </row>
    <row r="3026" spans="1:4" x14ac:dyDescent="0.3">
      <c r="A3026">
        <v>31</v>
      </c>
      <c r="B3026" t="s">
        <v>57</v>
      </c>
      <c r="C3026">
        <v>55</v>
      </c>
      <c r="D3026">
        <f>COUNTIF(WeeklyPicks!$D$302:$F$311,C3026)</f>
        <v>0</v>
      </c>
    </row>
    <row r="3027" spans="1:4" x14ac:dyDescent="0.3">
      <c r="A3027">
        <v>31</v>
      </c>
      <c r="B3027" t="s">
        <v>57</v>
      </c>
      <c r="C3027">
        <v>56</v>
      </c>
      <c r="D3027">
        <f>COUNTIF(WeeklyPicks!$D$302:$F$311,C3027)</f>
        <v>0</v>
      </c>
    </row>
    <row r="3028" spans="1:4" x14ac:dyDescent="0.3">
      <c r="A3028">
        <v>31</v>
      </c>
      <c r="B3028" t="s">
        <v>57</v>
      </c>
      <c r="C3028">
        <v>57</v>
      </c>
      <c r="D3028">
        <f>COUNTIF(WeeklyPicks!$D$302:$F$311,C3028)</f>
        <v>0</v>
      </c>
    </row>
    <row r="3029" spans="1:4" x14ac:dyDescent="0.3">
      <c r="A3029">
        <v>31</v>
      </c>
      <c r="B3029" t="s">
        <v>57</v>
      </c>
      <c r="C3029">
        <v>58</v>
      </c>
      <c r="D3029">
        <f>COUNTIF(WeeklyPicks!$D$302:$F$311,C3029)</f>
        <v>0</v>
      </c>
    </row>
    <row r="3030" spans="1:4" x14ac:dyDescent="0.3">
      <c r="A3030">
        <v>31</v>
      </c>
      <c r="B3030" t="s">
        <v>57</v>
      </c>
      <c r="C3030">
        <v>59</v>
      </c>
      <c r="D3030">
        <f>COUNTIF(WeeklyPicks!$D$302:$F$311,C3030)</f>
        <v>0</v>
      </c>
    </row>
    <row r="3031" spans="1:4" x14ac:dyDescent="0.3">
      <c r="A3031">
        <v>31</v>
      </c>
      <c r="B3031" t="s">
        <v>57</v>
      </c>
      <c r="C3031">
        <v>60</v>
      </c>
      <c r="D3031">
        <f>COUNTIF(WeeklyPicks!$D$302:$F$311,C3031)</f>
        <v>0</v>
      </c>
    </row>
    <row r="3032" spans="1:4" x14ac:dyDescent="0.3">
      <c r="A3032">
        <v>31</v>
      </c>
      <c r="B3032" t="s">
        <v>57</v>
      </c>
      <c r="C3032">
        <v>61</v>
      </c>
      <c r="D3032">
        <f>COUNTIF(WeeklyPicks!$D$302:$F$311,C3032)</f>
        <v>0</v>
      </c>
    </row>
    <row r="3033" spans="1:4" x14ac:dyDescent="0.3">
      <c r="A3033">
        <v>31</v>
      </c>
      <c r="B3033" t="s">
        <v>57</v>
      </c>
      <c r="C3033">
        <v>62</v>
      </c>
      <c r="D3033">
        <f>COUNTIF(WeeklyPicks!$D$302:$F$311,C3033)</f>
        <v>0</v>
      </c>
    </row>
    <row r="3034" spans="1:4" x14ac:dyDescent="0.3">
      <c r="A3034">
        <v>31</v>
      </c>
      <c r="B3034" t="s">
        <v>57</v>
      </c>
      <c r="C3034">
        <v>63</v>
      </c>
      <c r="D3034">
        <f>COUNTIF(WeeklyPicks!$D$302:$F$311,C3034)</f>
        <v>0</v>
      </c>
    </row>
    <row r="3035" spans="1:4" x14ac:dyDescent="0.3">
      <c r="A3035">
        <v>31</v>
      </c>
      <c r="B3035" t="s">
        <v>57</v>
      </c>
      <c r="C3035">
        <v>64</v>
      </c>
      <c r="D3035">
        <f>COUNTIF(WeeklyPicks!$D$302:$F$311,C3035)</f>
        <v>0</v>
      </c>
    </row>
    <row r="3036" spans="1:4" x14ac:dyDescent="0.3">
      <c r="A3036">
        <v>31</v>
      </c>
      <c r="B3036" t="s">
        <v>57</v>
      </c>
      <c r="C3036">
        <v>65</v>
      </c>
      <c r="D3036">
        <f>COUNTIF(WeeklyPicks!$D$302:$F$311,C3036)</f>
        <v>0</v>
      </c>
    </row>
    <row r="3037" spans="1:4" x14ac:dyDescent="0.3">
      <c r="A3037">
        <v>31</v>
      </c>
      <c r="B3037" t="s">
        <v>57</v>
      </c>
      <c r="C3037">
        <v>66</v>
      </c>
      <c r="D3037">
        <f>COUNTIF(WeeklyPicks!$D$302:$F$311,C3037)</f>
        <v>0</v>
      </c>
    </row>
    <row r="3038" spans="1:4" x14ac:dyDescent="0.3">
      <c r="A3038">
        <v>31</v>
      </c>
      <c r="B3038" t="s">
        <v>57</v>
      </c>
      <c r="C3038">
        <v>67</v>
      </c>
      <c r="D3038">
        <f>COUNTIF(WeeklyPicks!$D$302:$F$311,C3038)</f>
        <v>0</v>
      </c>
    </row>
    <row r="3039" spans="1:4" x14ac:dyDescent="0.3">
      <c r="A3039">
        <v>31</v>
      </c>
      <c r="B3039" t="s">
        <v>57</v>
      </c>
      <c r="C3039">
        <v>68</v>
      </c>
      <c r="D3039">
        <f>COUNTIF(WeeklyPicks!$D$302:$F$311,C3039)</f>
        <v>0</v>
      </c>
    </row>
    <row r="3040" spans="1:4" x14ac:dyDescent="0.3">
      <c r="A3040">
        <v>31</v>
      </c>
      <c r="B3040" t="s">
        <v>57</v>
      </c>
      <c r="C3040">
        <v>69</v>
      </c>
      <c r="D3040">
        <f>COUNTIF(WeeklyPicks!$D$302:$F$311,C3040)</f>
        <v>0</v>
      </c>
    </row>
    <row r="3041" spans="1:4" x14ac:dyDescent="0.3">
      <c r="A3041">
        <v>31</v>
      </c>
      <c r="B3041" t="s">
        <v>57</v>
      </c>
      <c r="C3041">
        <v>70</v>
      </c>
      <c r="D3041">
        <f>COUNTIF(WeeklyPicks!$D$302:$F$311,C3041)</f>
        <v>0</v>
      </c>
    </row>
    <row r="3042" spans="1:4" x14ac:dyDescent="0.3">
      <c r="A3042">
        <v>31</v>
      </c>
      <c r="B3042" t="s">
        <v>57</v>
      </c>
      <c r="C3042">
        <v>71</v>
      </c>
      <c r="D3042">
        <f>COUNTIF(WeeklyPicks!$D$302:$F$311,C3042)</f>
        <v>0</v>
      </c>
    </row>
    <row r="3043" spans="1:4" x14ac:dyDescent="0.3">
      <c r="A3043">
        <v>31</v>
      </c>
      <c r="B3043" t="s">
        <v>57</v>
      </c>
      <c r="C3043">
        <v>72</v>
      </c>
      <c r="D3043">
        <f>COUNTIF(WeeklyPicks!$D$302:$F$311,C3043)</f>
        <v>0</v>
      </c>
    </row>
    <row r="3044" spans="1:4" x14ac:dyDescent="0.3">
      <c r="A3044">
        <v>31</v>
      </c>
      <c r="B3044" t="s">
        <v>57</v>
      </c>
      <c r="C3044">
        <v>73</v>
      </c>
      <c r="D3044">
        <f>COUNTIF(WeeklyPicks!$D$302:$F$311,C3044)</f>
        <v>0</v>
      </c>
    </row>
    <row r="3045" spans="1:4" x14ac:dyDescent="0.3">
      <c r="A3045">
        <v>31</v>
      </c>
      <c r="B3045" t="s">
        <v>57</v>
      </c>
      <c r="C3045">
        <v>74</v>
      </c>
      <c r="D3045">
        <f>COUNTIF(WeeklyPicks!$D$302:$F$311,C3045)</f>
        <v>0</v>
      </c>
    </row>
    <row r="3046" spans="1:4" x14ac:dyDescent="0.3">
      <c r="A3046">
        <v>31</v>
      </c>
      <c r="B3046" t="s">
        <v>57</v>
      </c>
      <c r="C3046">
        <v>75</v>
      </c>
      <c r="D3046">
        <f>COUNTIF(WeeklyPicks!$D$302:$F$311,C3046)</f>
        <v>0</v>
      </c>
    </row>
    <row r="3047" spans="1:4" x14ac:dyDescent="0.3">
      <c r="A3047">
        <v>31</v>
      </c>
      <c r="B3047" t="s">
        <v>57</v>
      </c>
      <c r="C3047">
        <v>76</v>
      </c>
      <c r="D3047">
        <f>COUNTIF(WeeklyPicks!$D$302:$F$311,C3047)</f>
        <v>0</v>
      </c>
    </row>
    <row r="3048" spans="1:4" x14ac:dyDescent="0.3">
      <c r="A3048">
        <v>31</v>
      </c>
      <c r="B3048" t="s">
        <v>57</v>
      </c>
      <c r="C3048">
        <v>77</v>
      </c>
      <c r="D3048">
        <f>COUNTIF(WeeklyPicks!$D$302:$F$311,C3048)</f>
        <v>0</v>
      </c>
    </row>
    <row r="3049" spans="1:4" x14ac:dyDescent="0.3">
      <c r="A3049">
        <v>31</v>
      </c>
      <c r="B3049" t="s">
        <v>57</v>
      </c>
      <c r="C3049">
        <v>78</v>
      </c>
      <c r="D3049">
        <f>COUNTIF(WeeklyPicks!$D$302:$F$311,C3049)</f>
        <v>0</v>
      </c>
    </row>
    <row r="3050" spans="1:4" x14ac:dyDescent="0.3">
      <c r="A3050">
        <v>31</v>
      </c>
      <c r="B3050" t="s">
        <v>57</v>
      </c>
      <c r="C3050">
        <v>79</v>
      </c>
      <c r="D3050">
        <f>COUNTIF(WeeklyPicks!$D$302:$F$311,C3050)</f>
        <v>0</v>
      </c>
    </row>
    <row r="3051" spans="1:4" x14ac:dyDescent="0.3">
      <c r="A3051">
        <v>31</v>
      </c>
      <c r="B3051" t="s">
        <v>57</v>
      </c>
      <c r="C3051">
        <v>80</v>
      </c>
      <c r="D3051">
        <f>COUNTIF(WeeklyPicks!$D$302:$F$311,C3051)</f>
        <v>0</v>
      </c>
    </row>
    <row r="3052" spans="1:4" x14ac:dyDescent="0.3">
      <c r="A3052">
        <v>31</v>
      </c>
      <c r="B3052" t="s">
        <v>57</v>
      </c>
      <c r="C3052">
        <v>81</v>
      </c>
      <c r="D3052">
        <f>COUNTIF(WeeklyPicks!$D$302:$F$311,C3052)</f>
        <v>0</v>
      </c>
    </row>
    <row r="3053" spans="1:4" x14ac:dyDescent="0.3">
      <c r="A3053">
        <v>31</v>
      </c>
      <c r="B3053" t="s">
        <v>57</v>
      </c>
      <c r="C3053">
        <v>82</v>
      </c>
      <c r="D3053">
        <f>COUNTIF(WeeklyPicks!$D$302:$F$311,C3053)</f>
        <v>0</v>
      </c>
    </row>
    <row r="3054" spans="1:4" x14ac:dyDescent="0.3">
      <c r="A3054">
        <v>31</v>
      </c>
      <c r="B3054" t="s">
        <v>57</v>
      </c>
      <c r="C3054">
        <v>83</v>
      </c>
      <c r="D3054">
        <f>COUNTIF(WeeklyPicks!$D$302:$F$311,C3054)</f>
        <v>0</v>
      </c>
    </row>
    <row r="3055" spans="1:4" x14ac:dyDescent="0.3">
      <c r="A3055">
        <v>31</v>
      </c>
      <c r="B3055" t="s">
        <v>57</v>
      </c>
      <c r="C3055">
        <v>84</v>
      </c>
      <c r="D3055">
        <f>COUNTIF(WeeklyPicks!$D$302:$F$311,C3055)</f>
        <v>0</v>
      </c>
    </row>
    <row r="3056" spans="1:4" x14ac:dyDescent="0.3">
      <c r="A3056">
        <v>31</v>
      </c>
      <c r="B3056" t="s">
        <v>57</v>
      </c>
      <c r="C3056">
        <v>85</v>
      </c>
      <c r="D3056">
        <f>COUNTIF(WeeklyPicks!$D$302:$F$311,C3056)</f>
        <v>0</v>
      </c>
    </row>
    <row r="3057" spans="1:4" x14ac:dyDescent="0.3">
      <c r="A3057">
        <v>31</v>
      </c>
      <c r="B3057" t="s">
        <v>57</v>
      </c>
      <c r="C3057">
        <v>86</v>
      </c>
      <c r="D3057">
        <f>COUNTIF(WeeklyPicks!$D$302:$F$311,C3057)</f>
        <v>0</v>
      </c>
    </row>
    <row r="3058" spans="1:4" x14ac:dyDescent="0.3">
      <c r="A3058">
        <v>31</v>
      </c>
      <c r="B3058" t="s">
        <v>57</v>
      </c>
      <c r="C3058">
        <v>87</v>
      </c>
      <c r="D3058">
        <f>COUNTIF(WeeklyPicks!$D$302:$F$311,C3058)</f>
        <v>0</v>
      </c>
    </row>
    <row r="3059" spans="1:4" x14ac:dyDescent="0.3">
      <c r="A3059">
        <v>31</v>
      </c>
      <c r="B3059" t="s">
        <v>57</v>
      </c>
      <c r="C3059">
        <v>88</v>
      </c>
      <c r="D3059">
        <f>COUNTIF(WeeklyPicks!$D$302:$F$311,C3059)</f>
        <v>0</v>
      </c>
    </row>
    <row r="3060" spans="1:4" x14ac:dyDescent="0.3">
      <c r="A3060">
        <v>31</v>
      </c>
      <c r="B3060" t="s">
        <v>57</v>
      </c>
      <c r="C3060">
        <v>89</v>
      </c>
      <c r="D3060">
        <f>COUNTIF(WeeklyPicks!$D$302:$F$311,C3060)</f>
        <v>0</v>
      </c>
    </row>
    <row r="3061" spans="1:4" x14ac:dyDescent="0.3">
      <c r="A3061">
        <v>31</v>
      </c>
      <c r="B3061" t="s">
        <v>57</v>
      </c>
      <c r="C3061">
        <v>90</v>
      </c>
      <c r="D3061">
        <f>COUNTIF(WeeklyPicks!$D$302:$F$311,C3061)</f>
        <v>0</v>
      </c>
    </row>
    <row r="3062" spans="1:4" x14ac:dyDescent="0.3">
      <c r="A3062">
        <v>31</v>
      </c>
      <c r="B3062" t="s">
        <v>57</v>
      </c>
      <c r="C3062">
        <v>91</v>
      </c>
      <c r="D3062">
        <f>COUNTIF(WeeklyPicks!$D$302:$F$311,C3062)</f>
        <v>0</v>
      </c>
    </row>
    <row r="3063" spans="1:4" x14ac:dyDescent="0.3">
      <c r="A3063">
        <v>31</v>
      </c>
      <c r="B3063" t="s">
        <v>57</v>
      </c>
      <c r="C3063">
        <v>92</v>
      </c>
      <c r="D3063">
        <f>COUNTIF(WeeklyPicks!$D$302:$F$311,C3063)</f>
        <v>0</v>
      </c>
    </row>
    <row r="3064" spans="1:4" x14ac:dyDescent="0.3">
      <c r="A3064">
        <v>31</v>
      </c>
      <c r="B3064" t="s">
        <v>57</v>
      </c>
      <c r="C3064">
        <v>93</v>
      </c>
      <c r="D3064">
        <f>COUNTIF(WeeklyPicks!$D$302:$F$311,C3064)</f>
        <v>0</v>
      </c>
    </row>
    <row r="3065" spans="1:4" x14ac:dyDescent="0.3">
      <c r="A3065">
        <v>31</v>
      </c>
      <c r="B3065" t="s">
        <v>57</v>
      </c>
      <c r="C3065">
        <v>94</v>
      </c>
      <c r="D3065">
        <f>COUNTIF(WeeklyPicks!$D$302:$F$311,C3065)</f>
        <v>0</v>
      </c>
    </row>
    <row r="3066" spans="1:4" x14ac:dyDescent="0.3">
      <c r="A3066">
        <v>31</v>
      </c>
      <c r="B3066" t="s">
        <v>57</v>
      </c>
      <c r="C3066">
        <v>95</v>
      </c>
      <c r="D3066">
        <f>COUNTIF(WeeklyPicks!$D$302:$F$311,C3066)</f>
        <v>0</v>
      </c>
    </row>
    <row r="3067" spans="1:4" x14ac:dyDescent="0.3">
      <c r="A3067">
        <v>31</v>
      </c>
      <c r="B3067" t="s">
        <v>57</v>
      </c>
      <c r="C3067">
        <v>96</v>
      </c>
      <c r="D3067">
        <f>COUNTIF(WeeklyPicks!$D$302:$F$311,C3067)</f>
        <v>0</v>
      </c>
    </row>
    <row r="3068" spans="1:4" x14ac:dyDescent="0.3">
      <c r="A3068">
        <v>31</v>
      </c>
      <c r="B3068" t="s">
        <v>57</v>
      </c>
      <c r="C3068">
        <v>97</v>
      </c>
      <c r="D3068">
        <f>COUNTIF(WeeklyPicks!$D$302:$F$311,C3068)</f>
        <v>0</v>
      </c>
    </row>
    <row r="3069" spans="1:4" x14ac:dyDescent="0.3">
      <c r="A3069">
        <v>31</v>
      </c>
      <c r="B3069" t="s">
        <v>57</v>
      </c>
      <c r="C3069">
        <v>98</v>
      </c>
      <c r="D3069">
        <f>COUNTIF(WeeklyPicks!$D$302:$F$311,C3069)</f>
        <v>0</v>
      </c>
    </row>
    <row r="3070" spans="1:4" x14ac:dyDescent="0.3">
      <c r="A3070">
        <v>31</v>
      </c>
      <c r="B3070" t="s">
        <v>57</v>
      </c>
      <c r="C3070">
        <v>99</v>
      </c>
      <c r="D3070">
        <f>COUNTIF(WeeklyPicks!$D$302:$F$311,C3070)</f>
        <v>0</v>
      </c>
    </row>
    <row r="3071" spans="1:4" x14ac:dyDescent="0.3">
      <c r="A3071">
        <v>32</v>
      </c>
      <c r="B3071" t="s">
        <v>73</v>
      </c>
      <c r="C3071">
        <v>1</v>
      </c>
      <c r="D3071">
        <f>COUNTIF(WeeklyPicks!$D$312:$F$321,C3071)</f>
        <v>0</v>
      </c>
    </row>
    <row r="3072" spans="1:4" x14ac:dyDescent="0.3">
      <c r="A3072">
        <v>32</v>
      </c>
      <c r="B3072" t="s">
        <v>73</v>
      </c>
      <c r="C3072">
        <v>2</v>
      </c>
      <c r="D3072">
        <f>COUNTIF(WeeklyPicks!$D$312:$F$321,C3072)</f>
        <v>0</v>
      </c>
    </row>
    <row r="3073" spans="1:4" x14ac:dyDescent="0.3">
      <c r="A3073">
        <v>32</v>
      </c>
      <c r="B3073" t="s">
        <v>73</v>
      </c>
      <c r="C3073">
        <v>3</v>
      </c>
      <c r="D3073">
        <f>COUNTIF(WeeklyPicks!$D$312:$F$321,C3073)</f>
        <v>0</v>
      </c>
    </row>
    <row r="3074" spans="1:4" x14ac:dyDescent="0.3">
      <c r="A3074">
        <v>32</v>
      </c>
      <c r="B3074" t="s">
        <v>73</v>
      </c>
      <c r="C3074">
        <v>4</v>
      </c>
      <c r="D3074">
        <f>COUNTIF(WeeklyPicks!$D$312:$F$321,C3074)</f>
        <v>0</v>
      </c>
    </row>
    <row r="3075" spans="1:4" x14ac:dyDescent="0.3">
      <c r="A3075">
        <v>32</v>
      </c>
      <c r="B3075" t="s">
        <v>73</v>
      </c>
      <c r="C3075">
        <v>5</v>
      </c>
      <c r="D3075">
        <f>COUNTIF(WeeklyPicks!$D$312:$F$321,C3075)</f>
        <v>0</v>
      </c>
    </row>
    <row r="3076" spans="1:4" x14ac:dyDescent="0.3">
      <c r="A3076">
        <v>32</v>
      </c>
      <c r="B3076" t="s">
        <v>73</v>
      </c>
      <c r="C3076">
        <v>6</v>
      </c>
      <c r="D3076">
        <f>COUNTIF(WeeklyPicks!$D$312:$F$321,C3076)</f>
        <v>0</v>
      </c>
    </row>
    <row r="3077" spans="1:4" x14ac:dyDescent="0.3">
      <c r="A3077">
        <v>32</v>
      </c>
      <c r="B3077" t="s">
        <v>73</v>
      </c>
      <c r="C3077">
        <v>7</v>
      </c>
      <c r="D3077">
        <f>COUNTIF(WeeklyPicks!$D$312:$F$321,C3077)</f>
        <v>0</v>
      </c>
    </row>
    <row r="3078" spans="1:4" x14ac:dyDescent="0.3">
      <c r="A3078">
        <v>32</v>
      </c>
      <c r="B3078" t="s">
        <v>73</v>
      </c>
      <c r="C3078">
        <v>8</v>
      </c>
      <c r="D3078">
        <f>COUNTIF(WeeklyPicks!$D$312:$F$321,C3078)</f>
        <v>0</v>
      </c>
    </row>
    <row r="3079" spans="1:4" x14ac:dyDescent="0.3">
      <c r="A3079">
        <v>32</v>
      </c>
      <c r="B3079" t="s">
        <v>73</v>
      </c>
      <c r="C3079">
        <v>9</v>
      </c>
      <c r="D3079">
        <f>COUNTIF(WeeklyPicks!$D$312:$F$321,C3079)</f>
        <v>0</v>
      </c>
    </row>
    <row r="3080" spans="1:4" x14ac:dyDescent="0.3">
      <c r="A3080">
        <v>32</v>
      </c>
      <c r="B3080" t="s">
        <v>73</v>
      </c>
      <c r="C3080">
        <v>10</v>
      </c>
      <c r="D3080">
        <f>COUNTIF(WeeklyPicks!$D$312:$F$321,C3080)</f>
        <v>0</v>
      </c>
    </row>
    <row r="3081" spans="1:4" x14ac:dyDescent="0.3">
      <c r="A3081">
        <v>32</v>
      </c>
      <c r="B3081" t="s">
        <v>73</v>
      </c>
      <c r="C3081">
        <v>11</v>
      </c>
      <c r="D3081">
        <f>COUNTIF(WeeklyPicks!$D$312:$F$321,C3081)</f>
        <v>0</v>
      </c>
    </row>
    <row r="3082" spans="1:4" x14ac:dyDescent="0.3">
      <c r="A3082">
        <v>32</v>
      </c>
      <c r="B3082" t="s">
        <v>73</v>
      </c>
      <c r="C3082">
        <v>12</v>
      </c>
      <c r="D3082">
        <f>COUNTIF(WeeklyPicks!$D$312:$F$321,C3082)</f>
        <v>0</v>
      </c>
    </row>
    <row r="3083" spans="1:4" x14ac:dyDescent="0.3">
      <c r="A3083">
        <v>32</v>
      </c>
      <c r="B3083" t="s">
        <v>73</v>
      </c>
      <c r="C3083">
        <v>13</v>
      </c>
      <c r="D3083">
        <f>COUNTIF(WeeklyPicks!$D$312:$F$321,C3083)</f>
        <v>0</v>
      </c>
    </row>
    <row r="3084" spans="1:4" x14ac:dyDescent="0.3">
      <c r="A3084">
        <v>32</v>
      </c>
      <c r="B3084" t="s">
        <v>73</v>
      </c>
      <c r="C3084">
        <v>14</v>
      </c>
      <c r="D3084">
        <f>COUNTIF(WeeklyPicks!$D$312:$F$321,C3084)</f>
        <v>0</v>
      </c>
    </row>
    <row r="3085" spans="1:4" x14ac:dyDescent="0.3">
      <c r="A3085">
        <v>32</v>
      </c>
      <c r="B3085" t="s">
        <v>73</v>
      </c>
      <c r="C3085">
        <v>15</v>
      </c>
      <c r="D3085">
        <f>COUNTIF(WeeklyPicks!$D$312:$F$321,C3085)</f>
        <v>0</v>
      </c>
    </row>
    <row r="3086" spans="1:4" x14ac:dyDescent="0.3">
      <c r="A3086">
        <v>32</v>
      </c>
      <c r="B3086" t="s">
        <v>73</v>
      </c>
      <c r="C3086">
        <v>16</v>
      </c>
      <c r="D3086">
        <f>COUNTIF(WeeklyPicks!$D$312:$F$321,C3086)</f>
        <v>0</v>
      </c>
    </row>
    <row r="3087" spans="1:4" x14ac:dyDescent="0.3">
      <c r="A3087">
        <v>32</v>
      </c>
      <c r="B3087" t="s">
        <v>73</v>
      </c>
      <c r="C3087">
        <v>17</v>
      </c>
      <c r="D3087">
        <f>COUNTIF(WeeklyPicks!$D$312:$F$321,C3087)</f>
        <v>0</v>
      </c>
    </row>
    <row r="3088" spans="1:4" x14ac:dyDescent="0.3">
      <c r="A3088">
        <v>32</v>
      </c>
      <c r="B3088" t="s">
        <v>73</v>
      </c>
      <c r="C3088">
        <v>18</v>
      </c>
      <c r="D3088">
        <f>COUNTIF(WeeklyPicks!$D$312:$F$321,C3088)</f>
        <v>0</v>
      </c>
    </row>
    <row r="3089" spans="1:4" x14ac:dyDescent="0.3">
      <c r="A3089">
        <v>32</v>
      </c>
      <c r="B3089" t="s">
        <v>73</v>
      </c>
      <c r="C3089">
        <v>19</v>
      </c>
      <c r="D3089">
        <f>COUNTIF(WeeklyPicks!$D$312:$F$321,C3089)</f>
        <v>0</v>
      </c>
    </row>
    <row r="3090" spans="1:4" x14ac:dyDescent="0.3">
      <c r="A3090">
        <v>32</v>
      </c>
      <c r="B3090" t="s">
        <v>73</v>
      </c>
      <c r="C3090">
        <v>20</v>
      </c>
      <c r="D3090">
        <f>COUNTIF(WeeklyPicks!$D$312:$F$321,C3090)</f>
        <v>0</v>
      </c>
    </row>
    <row r="3091" spans="1:4" x14ac:dyDescent="0.3">
      <c r="A3091">
        <v>32</v>
      </c>
      <c r="B3091" t="s">
        <v>73</v>
      </c>
      <c r="C3091">
        <v>21</v>
      </c>
      <c r="D3091">
        <f>COUNTIF(WeeklyPicks!$D$312:$F$321,C3091)</f>
        <v>0</v>
      </c>
    </row>
    <row r="3092" spans="1:4" x14ac:dyDescent="0.3">
      <c r="A3092">
        <v>32</v>
      </c>
      <c r="B3092" t="s">
        <v>73</v>
      </c>
      <c r="C3092">
        <v>22</v>
      </c>
      <c r="D3092">
        <f>COUNTIF(WeeklyPicks!$D$312:$F$321,C3092)</f>
        <v>0</v>
      </c>
    </row>
    <row r="3093" spans="1:4" x14ac:dyDescent="0.3">
      <c r="A3093">
        <v>32</v>
      </c>
      <c r="B3093" t="s">
        <v>73</v>
      </c>
      <c r="C3093">
        <v>23</v>
      </c>
      <c r="D3093">
        <f>COUNTIF(WeeklyPicks!$D$312:$F$321,C3093)</f>
        <v>0</v>
      </c>
    </row>
    <row r="3094" spans="1:4" x14ac:dyDescent="0.3">
      <c r="A3094">
        <v>32</v>
      </c>
      <c r="B3094" t="s">
        <v>73</v>
      </c>
      <c r="C3094">
        <v>24</v>
      </c>
      <c r="D3094">
        <f>COUNTIF(WeeklyPicks!$D$312:$F$321,C3094)</f>
        <v>0</v>
      </c>
    </row>
    <row r="3095" spans="1:4" x14ac:dyDescent="0.3">
      <c r="A3095">
        <v>32</v>
      </c>
      <c r="B3095" t="s">
        <v>73</v>
      </c>
      <c r="C3095">
        <v>25</v>
      </c>
      <c r="D3095">
        <f>COUNTIF(WeeklyPicks!$D$312:$F$321,C3095)</f>
        <v>0</v>
      </c>
    </row>
    <row r="3096" spans="1:4" x14ac:dyDescent="0.3">
      <c r="A3096">
        <v>32</v>
      </c>
      <c r="B3096" t="s">
        <v>73</v>
      </c>
      <c r="C3096">
        <v>26</v>
      </c>
      <c r="D3096">
        <f>COUNTIF(WeeklyPicks!$D$312:$F$321,C3096)</f>
        <v>0</v>
      </c>
    </row>
    <row r="3097" spans="1:4" x14ac:dyDescent="0.3">
      <c r="A3097">
        <v>32</v>
      </c>
      <c r="B3097" t="s">
        <v>73</v>
      </c>
      <c r="C3097">
        <v>27</v>
      </c>
      <c r="D3097">
        <f>COUNTIF(WeeklyPicks!$D$312:$F$321,C3097)</f>
        <v>0</v>
      </c>
    </row>
    <row r="3098" spans="1:4" x14ac:dyDescent="0.3">
      <c r="A3098">
        <v>32</v>
      </c>
      <c r="B3098" t="s">
        <v>73</v>
      </c>
      <c r="C3098">
        <v>28</v>
      </c>
      <c r="D3098">
        <f>COUNTIF(WeeklyPicks!$D$312:$F$321,C3098)</f>
        <v>0</v>
      </c>
    </row>
    <row r="3099" spans="1:4" x14ac:dyDescent="0.3">
      <c r="A3099">
        <v>32</v>
      </c>
      <c r="B3099" t="s">
        <v>73</v>
      </c>
      <c r="C3099">
        <v>29</v>
      </c>
      <c r="D3099">
        <f>COUNTIF(WeeklyPicks!$D$312:$F$321,C3099)</f>
        <v>0</v>
      </c>
    </row>
    <row r="3100" spans="1:4" x14ac:dyDescent="0.3">
      <c r="A3100">
        <v>32</v>
      </c>
      <c r="B3100" t="s">
        <v>73</v>
      </c>
      <c r="C3100">
        <v>30</v>
      </c>
      <c r="D3100">
        <f>COUNTIF(WeeklyPicks!$D$312:$F$321,C3100)</f>
        <v>0</v>
      </c>
    </row>
    <row r="3101" spans="1:4" x14ac:dyDescent="0.3">
      <c r="A3101">
        <v>32</v>
      </c>
      <c r="B3101" t="s">
        <v>73</v>
      </c>
      <c r="C3101">
        <v>31</v>
      </c>
      <c r="D3101">
        <f>COUNTIF(WeeklyPicks!$D$312:$F$321,C3101)</f>
        <v>0</v>
      </c>
    </row>
    <row r="3102" spans="1:4" x14ac:dyDescent="0.3">
      <c r="A3102">
        <v>32</v>
      </c>
      <c r="B3102" t="s">
        <v>73</v>
      </c>
      <c r="C3102">
        <v>32</v>
      </c>
      <c r="D3102">
        <f>COUNTIF(WeeklyPicks!$D$312:$F$321,C3102)</f>
        <v>0</v>
      </c>
    </row>
    <row r="3103" spans="1:4" x14ac:dyDescent="0.3">
      <c r="A3103">
        <v>32</v>
      </c>
      <c r="B3103" t="s">
        <v>73</v>
      </c>
      <c r="C3103">
        <v>33</v>
      </c>
      <c r="D3103">
        <f>COUNTIF(WeeklyPicks!$D$312:$F$321,C3103)</f>
        <v>0</v>
      </c>
    </row>
    <row r="3104" spans="1:4" x14ac:dyDescent="0.3">
      <c r="A3104">
        <v>32</v>
      </c>
      <c r="B3104" t="s">
        <v>73</v>
      </c>
      <c r="C3104">
        <v>34</v>
      </c>
      <c r="D3104">
        <f>COUNTIF(WeeklyPicks!$D$312:$F$321,C3104)</f>
        <v>0</v>
      </c>
    </row>
    <row r="3105" spans="1:4" x14ac:dyDescent="0.3">
      <c r="A3105">
        <v>32</v>
      </c>
      <c r="B3105" t="s">
        <v>73</v>
      </c>
      <c r="C3105">
        <v>35</v>
      </c>
      <c r="D3105">
        <f>COUNTIF(WeeklyPicks!$D$312:$F$321,C3105)</f>
        <v>0</v>
      </c>
    </row>
    <row r="3106" spans="1:4" x14ac:dyDescent="0.3">
      <c r="A3106">
        <v>32</v>
      </c>
      <c r="B3106" t="s">
        <v>73</v>
      </c>
      <c r="C3106">
        <v>36</v>
      </c>
      <c r="D3106">
        <f>COUNTIF(WeeklyPicks!$D$312:$F$321,C3106)</f>
        <v>0</v>
      </c>
    </row>
    <row r="3107" spans="1:4" x14ac:dyDescent="0.3">
      <c r="A3107">
        <v>32</v>
      </c>
      <c r="B3107" t="s">
        <v>73</v>
      </c>
      <c r="C3107">
        <v>37</v>
      </c>
      <c r="D3107">
        <f>COUNTIF(WeeklyPicks!$D$312:$F$321,C3107)</f>
        <v>0</v>
      </c>
    </row>
    <row r="3108" spans="1:4" x14ac:dyDescent="0.3">
      <c r="A3108">
        <v>32</v>
      </c>
      <c r="B3108" t="s">
        <v>73</v>
      </c>
      <c r="C3108">
        <v>38</v>
      </c>
      <c r="D3108">
        <f>COUNTIF(WeeklyPicks!$D$312:$F$321,C3108)</f>
        <v>0</v>
      </c>
    </row>
    <row r="3109" spans="1:4" x14ac:dyDescent="0.3">
      <c r="A3109">
        <v>32</v>
      </c>
      <c r="B3109" t="s">
        <v>73</v>
      </c>
      <c r="C3109">
        <v>39</v>
      </c>
      <c r="D3109">
        <f>COUNTIF(WeeklyPicks!$D$312:$F$321,C3109)</f>
        <v>0</v>
      </c>
    </row>
    <row r="3110" spans="1:4" x14ac:dyDescent="0.3">
      <c r="A3110">
        <v>32</v>
      </c>
      <c r="B3110" t="s">
        <v>73</v>
      </c>
      <c r="C3110">
        <v>40</v>
      </c>
      <c r="D3110">
        <f>COUNTIF(WeeklyPicks!$D$312:$F$321,C3110)</f>
        <v>0</v>
      </c>
    </row>
    <row r="3111" spans="1:4" x14ac:dyDescent="0.3">
      <c r="A3111">
        <v>32</v>
      </c>
      <c r="B3111" t="s">
        <v>73</v>
      </c>
      <c r="C3111">
        <v>41</v>
      </c>
      <c r="D3111">
        <f>COUNTIF(WeeklyPicks!$D$312:$F$321,C3111)</f>
        <v>0</v>
      </c>
    </row>
    <row r="3112" spans="1:4" x14ac:dyDescent="0.3">
      <c r="A3112">
        <v>32</v>
      </c>
      <c r="B3112" t="s">
        <v>73</v>
      </c>
      <c r="C3112">
        <v>42</v>
      </c>
      <c r="D3112">
        <f>COUNTIF(WeeklyPicks!$D$312:$F$321,C3112)</f>
        <v>0</v>
      </c>
    </row>
    <row r="3113" spans="1:4" x14ac:dyDescent="0.3">
      <c r="A3113">
        <v>32</v>
      </c>
      <c r="B3113" t="s">
        <v>73</v>
      </c>
      <c r="C3113">
        <v>43</v>
      </c>
      <c r="D3113">
        <f>COUNTIF(WeeklyPicks!$D$312:$F$321,C3113)</f>
        <v>0</v>
      </c>
    </row>
    <row r="3114" spans="1:4" x14ac:dyDescent="0.3">
      <c r="A3114">
        <v>32</v>
      </c>
      <c r="B3114" t="s">
        <v>73</v>
      </c>
      <c r="C3114">
        <v>44</v>
      </c>
      <c r="D3114">
        <f>COUNTIF(WeeklyPicks!$D$312:$F$321,C3114)</f>
        <v>0</v>
      </c>
    </row>
    <row r="3115" spans="1:4" x14ac:dyDescent="0.3">
      <c r="A3115">
        <v>32</v>
      </c>
      <c r="B3115" t="s">
        <v>73</v>
      </c>
      <c r="C3115">
        <v>45</v>
      </c>
      <c r="D3115">
        <f>COUNTIF(WeeklyPicks!$D$312:$F$321,C3115)</f>
        <v>0</v>
      </c>
    </row>
    <row r="3116" spans="1:4" x14ac:dyDescent="0.3">
      <c r="A3116">
        <v>32</v>
      </c>
      <c r="B3116" t="s">
        <v>73</v>
      </c>
      <c r="C3116">
        <v>46</v>
      </c>
      <c r="D3116">
        <f>COUNTIF(WeeklyPicks!$D$312:$F$321,C3116)</f>
        <v>0</v>
      </c>
    </row>
    <row r="3117" spans="1:4" x14ac:dyDescent="0.3">
      <c r="A3117">
        <v>32</v>
      </c>
      <c r="B3117" t="s">
        <v>73</v>
      </c>
      <c r="C3117">
        <v>47</v>
      </c>
      <c r="D3117">
        <f>COUNTIF(WeeklyPicks!$D$312:$F$321,C3117)</f>
        <v>0</v>
      </c>
    </row>
    <row r="3118" spans="1:4" x14ac:dyDescent="0.3">
      <c r="A3118">
        <v>32</v>
      </c>
      <c r="B3118" t="s">
        <v>73</v>
      </c>
      <c r="C3118">
        <v>48</v>
      </c>
      <c r="D3118">
        <f>COUNTIF(WeeklyPicks!$D$312:$F$321,C3118)</f>
        <v>0</v>
      </c>
    </row>
    <row r="3119" spans="1:4" x14ac:dyDescent="0.3">
      <c r="A3119">
        <v>32</v>
      </c>
      <c r="B3119" t="s">
        <v>73</v>
      </c>
      <c r="C3119">
        <v>49</v>
      </c>
      <c r="D3119">
        <f>COUNTIF(WeeklyPicks!$D$312:$F$321,C3119)</f>
        <v>0</v>
      </c>
    </row>
    <row r="3120" spans="1:4" x14ac:dyDescent="0.3">
      <c r="A3120">
        <v>32</v>
      </c>
      <c r="B3120" t="s">
        <v>73</v>
      </c>
      <c r="C3120">
        <v>50</v>
      </c>
      <c r="D3120">
        <f>COUNTIF(WeeklyPicks!$D$312:$F$321,C3120)</f>
        <v>0</v>
      </c>
    </row>
    <row r="3121" spans="1:4" x14ac:dyDescent="0.3">
      <c r="A3121">
        <v>32</v>
      </c>
      <c r="B3121" t="s">
        <v>73</v>
      </c>
      <c r="C3121">
        <v>51</v>
      </c>
      <c r="D3121">
        <f>COUNTIF(WeeklyPicks!$D$312:$F$321,C3121)</f>
        <v>0</v>
      </c>
    </row>
    <row r="3122" spans="1:4" x14ac:dyDescent="0.3">
      <c r="A3122">
        <v>32</v>
      </c>
      <c r="B3122" t="s">
        <v>73</v>
      </c>
      <c r="C3122">
        <v>52</v>
      </c>
      <c r="D3122">
        <f>COUNTIF(WeeklyPicks!$D$312:$F$321,C3122)</f>
        <v>0</v>
      </c>
    </row>
    <row r="3123" spans="1:4" x14ac:dyDescent="0.3">
      <c r="A3123">
        <v>32</v>
      </c>
      <c r="B3123" t="s">
        <v>73</v>
      </c>
      <c r="C3123">
        <v>53</v>
      </c>
      <c r="D3123">
        <f>COUNTIF(WeeklyPicks!$D$312:$F$321,C3123)</f>
        <v>0</v>
      </c>
    </row>
    <row r="3124" spans="1:4" x14ac:dyDescent="0.3">
      <c r="A3124">
        <v>32</v>
      </c>
      <c r="B3124" t="s">
        <v>73</v>
      </c>
      <c r="C3124">
        <v>54</v>
      </c>
      <c r="D3124">
        <f>COUNTIF(WeeklyPicks!$D$312:$F$321,C3124)</f>
        <v>0</v>
      </c>
    </row>
    <row r="3125" spans="1:4" x14ac:dyDescent="0.3">
      <c r="A3125">
        <v>32</v>
      </c>
      <c r="B3125" t="s">
        <v>73</v>
      </c>
      <c r="C3125">
        <v>55</v>
      </c>
      <c r="D3125">
        <f>COUNTIF(WeeklyPicks!$D$312:$F$321,C3125)</f>
        <v>0</v>
      </c>
    </row>
    <row r="3126" spans="1:4" x14ac:dyDescent="0.3">
      <c r="A3126">
        <v>32</v>
      </c>
      <c r="B3126" t="s">
        <v>73</v>
      </c>
      <c r="C3126">
        <v>56</v>
      </c>
      <c r="D3126">
        <f>COUNTIF(WeeklyPicks!$D$312:$F$321,C3126)</f>
        <v>0</v>
      </c>
    </row>
    <row r="3127" spans="1:4" x14ac:dyDescent="0.3">
      <c r="A3127">
        <v>32</v>
      </c>
      <c r="B3127" t="s">
        <v>73</v>
      </c>
      <c r="C3127">
        <v>57</v>
      </c>
      <c r="D3127">
        <f>COUNTIF(WeeklyPicks!$D$312:$F$321,C3127)</f>
        <v>0</v>
      </c>
    </row>
    <row r="3128" spans="1:4" x14ac:dyDescent="0.3">
      <c r="A3128">
        <v>32</v>
      </c>
      <c r="B3128" t="s">
        <v>73</v>
      </c>
      <c r="C3128">
        <v>58</v>
      </c>
      <c r="D3128">
        <f>COUNTIF(WeeklyPicks!$D$312:$F$321,C3128)</f>
        <v>0</v>
      </c>
    </row>
    <row r="3129" spans="1:4" x14ac:dyDescent="0.3">
      <c r="A3129">
        <v>32</v>
      </c>
      <c r="B3129" t="s">
        <v>73</v>
      </c>
      <c r="C3129">
        <v>59</v>
      </c>
      <c r="D3129">
        <f>COUNTIF(WeeklyPicks!$D$312:$F$321,C3129)</f>
        <v>0</v>
      </c>
    </row>
    <row r="3130" spans="1:4" x14ac:dyDescent="0.3">
      <c r="A3130">
        <v>32</v>
      </c>
      <c r="B3130" t="s">
        <v>73</v>
      </c>
      <c r="C3130">
        <v>60</v>
      </c>
      <c r="D3130">
        <f>COUNTIF(WeeklyPicks!$D$312:$F$321,C3130)</f>
        <v>0</v>
      </c>
    </row>
    <row r="3131" spans="1:4" x14ac:dyDescent="0.3">
      <c r="A3131">
        <v>32</v>
      </c>
      <c r="B3131" t="s">
        <v>73</v>
      </c>
      <c r="C3131">
        <v>61</v>
      </c>
      <c r="D3131">
        <f>COUNTIF(WeeklyPicks!$D$312:$F$321,C3131)</f>
        <v>0</v>
      </c>
    </row>
    <row r="3132" spans="1:4" x14ac:dyDescent="0.3">
      <c r="A3132">
        <v>32</v>
      </c>
      <c r="B3132" t="s">
        <v>73</v>
      </c>
      <c r="C3132">
        <v>62</v>
      </c>
      <c r="D3132">
        <f>COUNTIF(WeeklyPicks!$D$312:$F$321,C3132)</f>
        <v>0</v>
      </c>
    </row>
    <row r="3133" spans="1:4" x14ac:dyDescent="0.3">
      <c r="A3133">
        <v>32</v>
      </c>
      <c r="B3133" t="s">
        <v>73</v>
      </c>
      <c r="C3133">
        <v>63</v>
      </c>
      <c r="D3133">
        <f>COUNTIF(WeeklyPicks!$D$312:$F$321,C3133)</f>
        <v>0</v>
      </c>
    </row>
    <row r="3134" spans="1:4" x14ac:dyDescent="0.3">
      <c r="A3134">
        <v>32</v>
      </c>
      <c r="B3134" t="s">
        <v>73</v>
      </c>
      <c r="C3134">
        <v>64</v>
      </c>
      <c r="D3134">
        <f>COUNTIF(WeeklyPicks!$D$312:$F$321,C3134)</f>
        <v>0</v>
      </c>
    </row>
    <row r="3135" spans="1:4" x14ac:dyDescent="0.3">
      <c r="A3135">
        <v>32</v>
      </c>
      <c r="B3135" t="s">
        <v>73</v>
      </c>
      <c r="C3135">
        <v>65</v>
      </c>
      <c r="D3135">
        <f>COUNTIF(WeeklyPicks!$D$312:$F$321,C3135)</f>
        <v>0</v>
      </c>
    </row>
    <row r="3136" spans="1:4" x14ac:dyDescent="0.3">
      <c r="A3136">
        <v>32</v>
      </c>
      <c r="B3136" t="s">
        <v>73</v>
      </c>
      <c r="C3136">
        <v>66</v>
      </c>
      <c r="D3136">
        <f>COUNTIF(WeeklyPicks!$D$312:$F$321,C3136)</f>
        <v>0</v>
      </c>
    </row>
    <row r="3137" spans="1:4" x14ac:dyDescent="0.3">
      <c r="A3137">
        <v>32</v>
      </c>
      <c r="B3137" t="s">
        <v>73</v>
      </c>
      <c r="C3137">
        <v>67</v>
      </c>
      <c r="D3137">
        <f>COUNTIF(WeeklyPicks!$D$312:$F$321,C3137)</f>
        <v>0</v>
      </c>
    </row>
    <row r="3138" spans="1:4" x14ac:dyDescent="0.3">
      <c r="A3138">
        <v>32</v>
      </c>
      <c r="B3138" t="s">
        <v>73</v>
      </c>
      <c r="C3138">
        <v>68</v>
      </c>
      <c r="D3138">
        <f>COUNTIF(WeeklyPicks!$D$312:$F$321,C3138)</f>
        <v>0</v>
      </c>
    </row>
    <row r="3139" spans="1:4" x14ac:dyDescent="0.3">
      <c r="A3139">
        <v>32</v>
      </c>
      <c r="B3139" t="s">
        <v>73</v>
      </c>
      <c r="C3139">
        <v>69</v>
      </c>
      <c r="D3139">
        <f>COUNTIF(WeeklyPicks!$D$312:$F$321,C3139)</f>
        <v>0</v>
      </c>
    </row>
    <row r="3140" spans="1:4" x14ac:dyDescent="0.3">
      <c r="A3140">
        <v>32</v>
      </c>
      <c r="B3140" t="s">
        <v>73</v>
      </c>
      <c r="C3140">
        <v>70</v>
      </c>
      <c r="D3140">
        <f>COUNTIF(WeeklyPicks!$D$312:$F$321,C3140)</f>
        <v>0</v>
      </c>
    </row>
    <row r="3141" spans="1:4" x14ac:dyDescent="0.3">
      <c r="A3141">
        <v>32</v>
      </c>
      <c r="B3141" t="s">
        <v>73</v>
      </c>
      <c r="C3141">
        <v>71</v>
      </c>
      <c r="D3141">
        <f>COUNTIF(WeeklyPicks!$D$312:$F$321,C3141)</f>
        <v>0</v>
      </c>
    </row>
    <row r="3142" spans="1:4" x14ac:dyDescent="0.3">
      <c r="A3142">
        <v>32</v>
      </c>
      <c r="B3142" t="s">
        <v>73</v>
      </c>
      <c r="C3142">
        <v>72</v>
      </c>
      <c r="D3142">
        <f>COUNTIF(WeeklyPicks!$D$312:$F$321,C3142)</f>
        <v>0</v>
      </c>
    </row>
    <row r="3143" spans="1:4" x14ac:dyDescent="0.3">
      <c r="A3143">
        <v>32</v>
      </c>
      <c r="B3143" t="s">
        <v>73</v>
      </c>
      <c r="C3143">
        <v>73</v>
      </c>
      <c r="D3143">
        <f>COUNTIF(WeeklyPicks!$D$312:$F$321,C3143)</f>
        <v>0</v>
      </c>
    </row>
    <row r="3144" spans="1:4" x14ac:dyDescent="0.3">
      <c r="A3144">
        <v>32</v>
      </c>
      <c r="B3144" t="s">
        <v>73</v>
      </c>
      <c r="C3144">
        <v>74</v>
      </c>
      <c r="D3144">
        <f>COUNTIF(WeeklyPicks!$D$312:$F$321,C3144)</f>
        <v>0</v>
      </c>
    </row>
    <row r="3145" spans="1:4" x14ac:dyDescent="0.3">
      <c r="A3145">
        <v>32</v>
      </c>
      <c r="B3145" t="s">
        <v>73</v>
      </c>
      <c r="C3145">
        <v>75</v>
      </c>
      <c r="D3145">
        <f>COUNTIF(WeeklyPicks!$D$312:$F$321,C3145)</f>
        <v>0</v>
      </c>
    </row>
    <row r="3146" spans="1:4" x14ac:dyDescent="0.3">
      <c r="A3146">
        <v>32</v>
      </c>
      <c r="B3146" t="s">
        <v>73</v>
      </c>
      <c r="C3146">
        <v>76</v>
      </c>
      <c r="D3146">
        <f>COUNTIF(WeeklyPicks!$D$312:$F$321,C3146)</f>
        <v>0</v>
      </c>
    </row>
    <row r="3147" spans="1:4" x14ac:dyDescent="0.3">
      <c r="A3147">
        <v>32</v>
      </c>
      <c r="B3147" t="s">
        <v>73</v>
      </c>
      <c r="C3147">
        <v>77</v>
      </c>
      <c r="D3147">
        <f>COUNTIF(WeeklyPicks!$D$312:$F$321,C3147)</f>
        <v>0</v>
      </c>
    </row>
    <row r="3148" spans="1:4" x14ac:dyDescent="0.3">
      <c r="A3148">
        <v>32</v>
      </c>
      <c r="B3148" t="s">
        <v>73</v>
      </c>
      <c r="C3148">
        <v>78</v>
      </c>
      <c r="D3148">
        <f>COUNTIF(WeeklyPicks!$D$312:$F$321,C3148)</f>
        <v>0</v>
      </c>
    </row>
    <row r="3149" spans="1:4" x14ac:dyDescent="0.3">
      <c r="A3149">
        <v>32</v>
      </c>
      <c r="B3149" t="s">
        <v>73</v>
      </c>
      <c r="C3149">
        <v>79</v>
      </c>
      <c r="D3149">
        <f>COUNTIF(WeeklyPicks!$D$312:$F$321,C3149)</f>
        <v>0</v>
      </c>
    </row>
    <row r="3150" spans="1:4" x14ac:dyDescent="0.3">
      <c r="A3150">
        <v>32</v>
      </c>
      <c r="B3150" t="s">
        <v>73</v>
      </c>
      <c r="C3150">
        <v>80</v>
      </c>
      <c r="D3150">
        <f>COUNTIF(WeeklyPicks!$D$312:$F$321,C3150)</f>
        <v>0</v>
      </c>
    </row>
    <row r="3151" spans="1:4" x14ac:dyDescent="0.3">
      <c r="A3151">
        <v>32</v>
      </c>
      <c r="B3151" t="s">
        <v>73</v>
      </c>
      <c r="C3151">
        <v>81</v>
      </c>
      <c r="D3151">
        <f>COUNTIF(WeeklyPicks!$D$312:$F$321,C3151)</f>
        <v>0</v>
      </c>
    </row>
    <row r="3152" spans="1:4" x14ac:dyDescent="0.3">
      <c r="A3152">
        <v>32</v>
      </c>
      <c r="B3152" t="s">
        <v>73</v>
      </c>
      <c r="C3152">
        <v>82</v>
      </c>
      <c r="D3152">
        <f>COUNTIF(WeeklyPicks!$D$312:$F$321,C3152)</f>
        <v>0</v>
      </c>
    </row>
    <row r="3153" spans="1:4" x14ac:dyDescent="0.3">
      <c r="A3153">
        <v>32</v>
      </c>
      <c r="B3153" t="s">
        <v>73</v>
      </c>
      <c r="C3153">
        <v>83</v>
      </c>
      <c r="D3153">
        <f>COUNTIF(WeeklyPicks!$D$312:$F$321,C3153)</f>
        <v>0</v>
      </c>
    </row>
    <row r="3154" spans="1:4" x14ac:dyDescent="0.3">
      <c r="A3154">
        <v>32</v>
      </c>
      <c r="B3154" t="s">
        <v>73</v>
      </c>
      <c r="C3154">
        <v>84</v>
      </c>
      <c r="D3154">
        <f>COUNTIF(WeeklyPicks!$D$312:$F$321,C3154)</f>
        <v>0</v>
      </c>
    </row>
    <row r="3155" spans="1:4" x14ac:dyDescent="0.3">
      <c r="A3155">
        <v>32</v>
      </c>
      <c r="B3155" t="s">
        <v>73</v>
      </c>
      <c r="C3155">
        <v>85</v>
      </c>
      <c r="D3155">
        <f>COUNTIF(WeeklyPicks!$D$312:$F$321,C3155)</f>
        <v>0</v>
      </c>
    </row>
    <row r="3156" spans="1:4" x14ac:dyDescent="0.3">
      <c r="A3156">
        <v>32</v>
      </c>
      <c r="B3156" t="s">
        <v>73</v>
      </c>
      <c r="C3156">
        <v>86</v>
      </c>
      <c r="D3156">
        <f>COUNTIF(WeeklyPicks!$D$312:$F$321,C3156)</f>
        <v>0</v>
      </c>
    </row>
    <row r="3157" spans="1:4" x14ac:dyDescent="0.3">
      <c r="A3157">
        <v>32</v>
      </c>
      <c r="B3157" t="s">
        <v>73</v>
      </c>
      <c r="C3157">
        <v>87</v>
      </c>
      <c r="D3157">
        <f>COUNTIF(WeeklyPicks!$D$312:$F$321,C3157)</f>
        <v>0</v>
      </c>
    </row>
    <row r="3158" spans="1:4" x14ac:dyDescent="0.3">
      <c r="A3158">
        <v>32</v>
      </c>
      <c r="B3158" t="s">
        <v>73</v>
      </c>
      <c r="C3158">
        <v>88</v>
      </c>
      <c r="D3158">
        <f>COUNTIF(WeeklyPicks!$D$312:$F$321,C3158)</f>
        <v>0</v>
      </c>
    </row>
    <row r="3159" spans="1:4" x14ac:dyDescent="0.3">
      <c r="A3159">
        <v>32</v>
      </c>
      <c r="B3159" t="s">
        <v>73</v>
      </c>
      <c r="C3159">
        <v>89</v>
      </c>
      <c r="D3159">
        <f>COUNTIF(WeeklyPicks!$D$312:$F$321,C3159)</f>
        <v>0</v>
      </c>
    </row>
    <row r="3160" spans="1:4" x14ac:dyDescent="0.3">
      <c r="A3160">
        <v>32</v>
      </c>
      <c r="B3160" t="s">
        <v>73</v>
      </c>
      <c r="C3160">
        <v>90</v>
      </c>
      <c r="D3160">
        <f>COUNTIF(WeeklyPicks!$D$312:$F$321,C3160)</f>
        <v>0</v>
      </c>
    </row>
    <row r="3161" spans="1:4" x14ac:dyDescent="0.3">
      <c r="A3161">
        <v>32</v>
      </c>
      <c r="B3161" t="s">
        <v>73</v>
      </c>
      <c r="C3161">
        <v>91</v>
      </c>
      <c r="D3161">
        <f>COUNTIF(WeeklyPicks!$D$312:$F$321,C3161)</f>
        <v>0</v>
      </c>
    </row>
    <row r="3162" spans="1:4" x14ac:dyDescent="0.3">
      <c r="A3162">
        <v>32</v>
      </c>
      <c r="B3162" t="s">
        <v>73</v>
      </c>
      <c r="C3162">
        <v>92</v>
      </c>
      <c r="D3162">
        <f>COUNTIF(WeeklyPicks!$D$312:$F$321,C3162)</f>
        <v>0</v>
      </c>
    </row>
    <row r="3163" spans="1:4" x14ac:dyDescent="0.3">
      <c r="A3163">
        <v>32</v>
      </c>
      <c r="B3163" t="s">
        <v>73</v>
      </c>
      <c r="C3163">
        <v>93</v>
      </c>
      <c r="D3163">
        <f>COUNTIF(WeeklyPicks!$D$312:$F$321,C3163)</f>
        <v>0</v>
      </c>
    </row>
    <row r="3164" spans="1:4" x14ac:dyDescent="0.3">
      <c r="A3164">
        <v>32</v>
      </c>
      <c r="B3164" t="s">
        <v>73</v>
      </c>
      <c r="C3164">
        <v>94</v>
      </c>
      <c r="D3164">
        <f>COUNTIF(WeeklyPicks!$D$312:$F$321,C3164)</f>
        <v>0</v>
      </c>
    </row>
    <row r="3165" spans="1:4" x14ac:dyDescent="0.3">
      <c r="A3165">
        <v>32</v>
      </c>
      <c r="B3165" t="s">
        <v>73</v>
      </c>
      <c r="C3165">
        <v>95</v>
      </c>
      <c r="D3165">
        <f>COUNTIF(WeeklyPicks!$D$312:$F$321,C3165)</f>
        <v>0</v>
      </c>
    </row>
    <row r="3166" spans="1:4" x14ac:dyDescent="0.3">
      <c r="A3166">
        <v>32</v>
      </c>
      <c r="B3166" t="s">
        <v>73</v>
      </c>
      <c r="C3166">
        <v>96</v>
      </c>
      <c r="D3166">
        <f>COUNTIF(WeeklyPicks!$D$312:$F$321,C3166)</f>
        <v>0</v>
      </c>
    </row>
    <row r="3167" spans="1:4" x14ac:dyDescent="0.3">
      <c r="A3167">
        <v>32</v>
      </c>
      <c r="B3167" t="s">
        <v>73</v>
      </c>
      <c r="C3167">
        <v>97</v>
      </c>
      <c r="D3167">
        <f>COUNTIF(WeeklyPicks!$D$312:$F$321,C3167)</f>
        <v>0</v>
      </c>
    </row>
    <row r="3168" spans="1:4" x14ac:dyDescent="0.3">
      <c r="A3168">
        <v>32</v>
      </c>
      <c r="B3168" t="s">
        <v>73</v>
      </c>
      <c r="C3168">
        <v>98</v>
      </c>
      <c r="D3168">
        <f>COUNTIF(WeeklyPicks!$D$312:$F$321,C3168)</f>
        <v>0</v>
      </c>
    </row>
    <row r="3169" spans="1:4" x14ac:dyDescent="0.3">
      <c r="A3169">
        <v>32</v>
      </c>
      <c r="B3169" t="s">
        <v>73</v>
      </c>
      <c r="C3169">
        <v>99</v>
      </c>
      <c r="D3169">
        <f>COUNTIF(WeeklyPicks!$D$312:$F$321,C3169)</f>
        <v>0</v>
      </c>
    </row>
    <row r="3170" spans="1:4" x14ac:dyDescent="0.3">
      <c r="A3170">
        <v>33</v>
      </c>
      <c r="B3170" t="s">
        <v>54</v>
      </c>
      <c r="C3170">
        <v>1</v>
      </c>
      <c r="D3170">
        <f>COUNTIF(WeeklyPicks!$D$322:$F$331,C3170)</f>
        <v>0</v>
      </c>
    </row>
    <row r="3171" spans="1:4" x14ac:dyDescent="0.3">
      <c r="A3171">
        <v>33</v>
      </c>
      <c r="B3171" t="s">
        <v>54</v>
      </c>
      <c r="C3171">
        <v>2</v>
      </c>
      <c r="D3171">
        <f>COUNTIF(WeeklyPicks!$D$322:$F$331,C3171)</f>
        <v>0</v>
      </c>
    </row>
    <row r="3172" spans="1:4" x14ac:dyDescent="0.3">
      <c r="A3172">
        <v>33</v>
      </c>
      <c r="B3172" t="s">
        <v>54</v>
      </c>
      <c r="C3172">
        <v>3</v>
      </c>
      <c r="D3172">
        <f>COUNTIF(WeeklyPicks!$D$322:$F$331,C3172)</f>
        <v>0</v>
      </c>
    </row>
    <row r="3173" spans="1:4" x14ac:dyDescent="0.3">
      <c r="A3173">
        <v>33</v>
      </c>
      <c r="B3173" t="s">
        <v>54</v>
      </c>
      <c r="C3173">
        <v>4</v>
      </c>
      <c r="D3173">
        <f>COUNTIF(WeeklyPicks!$D$322:$F$331,C3173)</f>
        <v>0</v>
      </c>
    </row>
    <row r="3174" spans="1:4" x14ac:dyDescent="0.3">
      <c r="A3174">
        <v>33</v>
      </c>
      <c r="B3174" t="s">
        <v>54</v>
      </c>
      <c r="C3174">
        <v>5</v>
      </c>
      <c r="D3174">
        <f>COUNTIF(WeeklyPicks!$D$322:$F$331,C3174)</f>
        <v>0</v>
      </c>
    </row>
    <row r="3175" spans="1:4" x14ac:dyDescent="0.3">
      <c r="A3175">
        <v>33</v>
      </c>
      <c r="B3175" t="s">
        <v>54</v>
      </c>
      <c r="C3175">
        <v>6</v>
      </c>
      <c r="D3175">
        <f>COUNTIF(WeeklyPicks!$D$322:$F$331,C3175)</f>
        <v>0</v>
      </c>
    </row>
    <row r="3176" spans="1:4" x14ac:dyDescent="0.3">
      <c r="A3176">
        <v>33</v>
      </c>
      <c r="B3176" t="s">
        <v>54</v>
      </c>
      <c r="C3176">
        <v>7</v>
      </c>
      <c r="D3176">
        <f>COUNTIF(WeeklyPicks!$D$322:$F$331,C3176)</f>
        <v>0</v>
      </c>
    </row>
    <row r="3177" spans="1:4" x14ac:dyDescent="0.3">
      <c r="A3177">
        <v>33</v>
      </c>
      <c r="B3177" t="s">
        <v>54</v>
      </c>
      <c r="C3177">
        <v>8</v>
      </c>
      <c r="D3177">
        <f>COUNTIF(WeeklyPicks!$D$322:$F$331,C3177)</f>
        <v>0</v>
      </c>
    </row>
    <row r="3178" spans="1:4" x14ac:dyDescent="0.3">
      <c r="A3178">
        <v>33</v>
      </c>
      <c r="B3178" t="s">
        <v>54</v>
      </c>
      <c r="C3178">
        <v>9</v>
      </c>
      <c r="D3178">
        <f>COUNTIF(WeeklyPicks!$D$322:$F$331,C3178)</f>
        <v>0</v>
      </c>
    </row>
    <row r="3179" spans="1:4" x14ac:dyDescent="0.3">
      <c r="A3179">
        <v>33</v>
      </c>
      <c r="B3179" t="s">
        <v>54</v>
      </c>
      <c r="C3179">
        <v>10</v>
      </c>
      <c r="D3179">
        <f>COUNTIF(WeeklyPicks!$D$322:$F$331,C3179)</f>
        <v>0</v>
      </c>
    </row>
    <row r="3180" spans="1:4" x14ac:dyDescent="0.3">
      <c r="A3180">
        <v>33</v>
      </c>
      <c r="B3180" t="s">
        <v>54</v>
      </c>
      <c r="C3180">
        <v>11</v>
      </c>
      <c r="D3180">
        <f>COUNTIF(WeeklyPicks!$D$322:$F$331,C3180)</f>
        <v>0</v>
      </c>
    </row>
    <row r="3181" spans="1:4" x14ac:dyDescent="0.3">
      <c r="A3181">
        <v>33</v>
      </c>
      <c r="B3181" t="s">
        <v>54</v>
      </c>
      <c r="C3181">
        <v>12</v>
      </c>
      <c r="D3181">
        <f>COUNTIF(WeeklyPicks!$D$322:$F$331,C3181)</f>
        <v>0</v>
      </c>
    </row>
    <row r="3182" spans="1:4" x14ac:dyDescent="0.3">
      <c r="A3182">
        <v>33</v>
      </c>
      <c r="B3182" t="s">
        <v>54</v>
      </c>
      <c r="C3182">
        <v>13</v>
      </c>
      <c r="D3182">
        <f>COUNTIF(WeeklyPicks!$D$322:$F$331,C3182)</f>
        <v>0</v>
      </c>
    </row>
    <row r="3183" spans="1:4" x14ac:dyDescent="0.3">
      <c r="A3183">
        <v>33</v>
      </c>
      <c r="B3183" t="s">
        <v>54</v>
      </c>
      <c r="C3183">
        <v>14</v>
      </c>
      <c r="D3183">
        <f>COUNTIF(WeeklyPicks!$D$322:$F$331,C3183)</f>
        <v>0</v>
      </c>
    </row>
    <row r="3184" spans="1:4" x14ac:dyDescent="0.3">
      <c r="A3184">
        <v>33</v>
      </c>
      <c r="B3184" t="s">
        <v>54</v>
      </c>
      <c r="C3184">
        <v>15</v>
      </c>
      <c r="D3184">
        <f>COUNTIF(WeeklyPicks!$D$322:$F$331,C3184)</f>
        <v>0</v>
      </c>
    </row>
    <row r="3185" spans="1:4" x14ac:dyDescent="0.3">
      <c r="A3185">
        <v>33</v>
      </c>
      <c r="B3185" t="s">
        <v>54</v>
      </c>
      <c r="C3185">
        <v>16</v>
      </c>
      <c r="D3185">
        <f>COUNTIF(WeeklyPicks!$D$322:$F$331,C3185)</f>
        <v>0</v>
      </c>
    </row>
    <row r="3186" spans="1:4" x14ac:dyDescent="0.3">
      <c r="A3186">
        <v>33</v>
      </c>
      <c r="B3186" t="s">
        <v>54</v>
      </c>
      <c r="C3186">
        <v>17</v>
      </c>
      <c r="D3186">
        <f>COUNTIF(WeeklyPicks!$D$322:$F$331,C3186)</f>
        <v>0</v>
      </c>
    </row>
    <row r="3187" spans="1:4" x14ac:dyDescent="0.3">
      <c r="A3187">
        <v>33</v>
      </c>
      <c r="B3187" t="s">
        <v>54</v>
      </c>
      <c r="C3187">
        <v>18</v>
      </c>
      <c r="D3187">
        <f>COUNTIF(WeeklyPicks!$D$322:$F$331,C3187)</f>
        <v>0</v>
      </c>
    </row>
    <row r="3188" spans="1:4" x14ac:dyDescent="0.3">
      <c r="A3188">
        <v>33</v>
      </c>
      <c r="B3188" t="s">
        <v>54</v>
      </c>
      <c r="C3188">
        <v>19</v>
      </c>
      <c r="D3188">
        <f>COUNTIF(WeeklyPicks!$D$322:$F$331,C3188)</f>
        <v>0</v>
      </c>
    </row>
    <row r="3189" spans="1:4" x14ac:dyDescent="0.3">
      <c r="A3189">
        <v>33</v>
      </c>
      <c r="B3189" t="s">
        <v>54</v>
      </c>
      <c r="C3189">
        <v>20</v>
      </c>
      <c r="D3189">
        <f>COUNTIF(WeeklyPicks!$D$322:$F$331,C3189)</f>
        <v>0</v>
      </c>
    </row>
    <row r="3190" spans="1:4" x14ac:dyDescent="0.3">
      <c r="A3190">
        <v>33</v>
      </c>
      <c r="B3190" t="s">
        <v>54</v>
      </c>
      <c r="C3190">
        <v>21</v>
      </c>
      <c r="D3190">
        <f>COUNTIF(WeeklyPicks!$D$322:$F$331,C3190)</f>
        <v>0</v>
      </c>
    </row>
    <row r="3191" spans="1:4" x14ac:dyDescent="0.3">
      <c r="A3191">
        <v>33</v>
      </c>
      <c r="B3191" t="s">
        <v>54</v>
      </c>
      <c r="C3191">
        <v>22</v>
      </c>
      <c r="D3191">
        <f>COUNTIF(WeeklyPicks!$D$322:$F$331,C3191)</f>
        <v>0</v>
      </c>
    </row>
    <row r="3192" spans="1:4" x14ac:dyDescent="0.3">
      <c r="A3192">
        <v>33</v>
      </c>
      <c r="B3192" t="s">
        <v>54</v>
      </c>
      <c r="C3192">
        <v>23</v>
      </c>
      <c r="D3192">
        <f>COUNTIF(WeeklyPicks!$D$322:$F$331,C3192)</f>
        <v>0</v>
      </c>
    </row>
    <row r="3193" spans="1:4" x14ac:dyDescent="0.3">
      <c r="A3193">
        <v>33</v>
      </c>
      <c r="B3193" t="s">
        <v>54</v>
      </c>
      <c r="C3193">
        <v>24</v>
      </c>
      <c r="D3193">
        <f>COUNTIF(WeeklyPicks!$D$322:$F$331,C3193)</f>
        <v>0</v>
      </c>
    </row>
    <row r="3194" spans="1:4" x14ac:dyDescent="0.3">
      <c r="A3194">
        <v>33</v>
      </c>
      <c r="B3194" t="s">
        <v>54</v>
      </c>
      <c r="C3194">
        <v>25</v>
      </c>
      <c r="D3194">
        <f>COUNTIF(WeeklyPicks!$D$322:$F$331,C3194)</f>
        <v>0</v>
      </c>
    </row>
    <row r="3195" spans="1:4" x14ac:dyDescent="0.3">
      <c r="A3195">
        <v>33</v>
      </c>
      <c r="B3195" t="s">
        <v>54</v>
      </c>
      <c r="C3195">
        <v>26</v>
      </c>
      <c r="D3195">
        <f>COUNTIF(WeeklyPicks!$D$322:$F$331,C3195)</f>
        <v>0</v>
      </c>
    </row>
    <row r="3196" spans="1:4" x14ac:dyDescent="0.3">
      <c r="A3196">
        <v>33</v>
      </c>
      <c r="B3196" t="s">
        <v>54</v>
      </c>
      <c r="C3196">
        <v>27</v>
      </c>
      <c r="D3196">
        <f>COUNTIF(WeeklyPicks!$D$322:$F$331,C3196)</f>
        <v>0</v>
      </c>
    </row>
    <row r="3197" spans="1:4" x14ac:dyDescent="0.3">
      <c r="A3197">
        <v>33</v>
      </c>
      <c r="B3197" t="s">
        <v>54</v>
      </c>
      <c r="C3197">
        <v>28</v>
      </c>
      <c r="D3197">
        <f>COUNTIF(WeeklyPicks!$D$322:$F$331,C3197)</f>
        <v>0</v>
      </c>
    </row>
    <row r="3198" spans="1:4" x14ac:dyDescent="0.3">
      <c r="A3198">
        <v>33</v>
      </c>
      <c r="B3198" t="s">
        <v>54</v>
      </c>
      <c r="C3198">
        <v>29</v>
      </c>
      <c r="D3198">
        <f>COUNTIF(WeeklyPicks!$D$322:$F$331,C3198)</f>
        <v>0</v>
      </c>
    </row>
    <row r="3199" spans="1:4" x14ac:dyDescent="0.3">
      <c r="A3199">
        <v>33</v>
      </c>
      <c r="B3199" t="s">
        <v>54</v>
      </c>
      <c r="C3199">
        <v>30</v>
      </c>
      <c r="D3199">
        <f>COUNTIF(WeeklyPicks!$D$322:$F$331,C3199)</f>
        <v>0</v>
      </c>
    </row>
    <row r="3200" spans="1:4" x14ac:dyDescent="0.3">
      <c r="A3200">
        <v>33</v>
      </c>
      <c r="B3200" t="s">
        <v>54</v>
      </c>
      <c r="C3200">
        <v>31</v>
      </c>
      <c r="D3200">
        <f>COUNTIF(WeeklyPicks!$D$322:$F$331,C3200)</f>
        <v>0</v>
      </c>
    </row>
    <row r="3201" spans="1:4" x14ac:dyDescent="0.3">
      <c r="A3201">
        <v>33</v>
      </c>
      <c r="B3201" t="s">
        <v>54</v>
      </c>
      <c r="C3201">
        <v>32</v>
      </c>
      <c r="D3201">
        <f>COUNTIF(WeeklyPicks!$D$322:$F$331,C3201)</f>
        <v>0</v>
      </c>
    </row>
    <row r="3202" spans="1:4" x14ac:dyDescent="0.3">
      <c r="A3202">
        <v>33</v>
      </c>
      <c r="B3202" t="s">
        <v>54</v>
      </c>
      <c r="C3202">
        <v>33</v>
      </c>
      <c r="D3202">
        <f>COUNTIF(WeeklyPicks!$D$322:$F$331,C3202)</f>
        <v>0</v>
      </c>
    </row>
    <row r="3203" spans="1:4" x14ac:dyDescent="0.3">
      <c r="A3203">
        <v>33</v>
      </c>
      <c r="B3203" t="s">
        <v>54</v>
      </c>
      <c r="C3203">
        <v>34</v>
      </c>
      <c r="D3203">
        <f>COUNTIF(WeeklyPicks!$D$322:$F$331,C3203)</f>
        <v>0</v>
      </c>
    </row>
    <row r="3204" spans="1:4" x14ac:dyDescent="0.3">
      <c r="A3204">
        <v>33</v>
      </c>
      <c r="B3204" t="s">
        <v>54</v>
      </c>
      <c r="C3204">
        <v>35</v>
      </c>
      <c r="D3204">
        <f>COUNTIF(WeeklyPicks!$D$322:$F$331,C3204)</f>
        <v>0</v>
      </c>
    </row>
    <row r="3205" spans="1:4" x14ac:dyDescent="0.3">
      <c r="A3205">
        <v>33</v>
      </c>
      <c r="B3205" t="s">
        <v>54</v>
      </c>
      <c r="C3205">
        <v>36</v>
      </c>
      <c r="D3205">
        <f>COUNTIF(WeeklyPicks!$D$322:$F$331,C3205)</f>
        <v>0</v>
      </c>
    </row>
    <row r="3206" spans="1:4" x14ac:dyDescent="0.3">
      <c r="A3206">
        <v>33</v>
      </c>
      <c r="B3206" t="s">
        <v>54</v>
      </c>
      <c r="C3206">
        <v>37</v>
      </c>
      <c r="D3206">
        <f>COUNTIF(WeeklyPicks!$D$322:$F$331,C3206)</f>
        <v>0</v>
      </c>
    </row>
    <row r="3207" spans="1:4" x14ac:dyDescent="0.3">
      <c r="A3207">
        <v>33</v>
      </c>
      <c r="B3207" t="s">
        <v>54</v>
      </c>
      <c r="C3207">
        <v>38</v>
      </c>
      <c r="D3207">
        <f>COUNTIF(WeeklyPicks!$D$322:$F$331,C3207)</f>
        <v>0</v>
      </c>
    </row>
    <row r="3208" spans="1:4" x14ac:dyDescent="0.3">
      <c r="A3208">
        <v>33</v>
      </c>
      <c r="B3208" t="s">
        <v>54</v>
      </c>
      <c r="C3208">
        <v>39</v>
      </c>
      <c r="D3208">
        <f>COUNTIF(WeeklyPicks!$D$322:$F$331,C3208)</f>
        <v>0</v>
      </c>
    </row>
    <row r="3209" spans="1:4" x14ac:dyDescent="0.3">
      <c r="A3209">
        <v>33</v>
      </c>
      <c r="B3209" t="s">
        <v>54</v>
      </c>
      <c r="C3209">
        <v>40</v>
      </c>
      <c r="D3209">
        <f>COUNTIF(WeeklyPicks!$D$322:$F$331,C3209)</f>
        <v>0</v>
      </c>
    </row>
    <row r="3210" spans="1:4" x14ac:dyDescent="0.3">
      <c r="A3210">
        <v>33</v>
      </c>
      <c r="B3210" t="s">
        <v>54</v>
      </c>
      <c r="C3210">
        <v>41</v>
      </c>
      <c r="D3210">
        <f>COUNTIF(WeeklyPicks!$D$322:$F$331,C3210)</f>
        <v>0</v>
      </c>
    </row>
    <row r="3211" spans="1:4" x14ac:dyDescent="0.3">
      <c r="A3211">
        <v>33</v>
      </c>
      <c r="B3211" t="s">
        <v>54</v>
      </c>
      <c r="C3211">
        <v>42</v>
      </c>
      <c r="D3211">
        <f>COUNTIF(WeeklyPicks!$D$322:$F$331,C3211)</f>
        <v>0</v>
      </c>
    </row>
    <row r="3212" spans="1:4" x14ac:dyDescent="0.3">
      <c r="A3212">
        <v>33</v>
      </c>
      <c r="B3212" t="s">
        <v>54</v>
      </c>
      <c r="C3212">
        <v>43</v>
      </c>
      <c r="D3212">
        <f>COUNTIF(WeeklyPicks!$D$322:$F$331,C3212)</f>
        <v>0</v>
      </c>
    </row>
    <row r="3213" spans="1:4" x14ac:dyDescent="0.3">
      <c r="A3213">
        <v>33</v>
      </c>
      <c r="B3213" t="s">
        <v>54</v>
      </c>
      <c r="C3213">
        <v>44</v>
      </c>
      <c r="D3213">
        <f>COUNTIF(WeeklyPicks!$D$322:$F$331,C3213)</f>
        <v>0</v>
      </c>
    </row>
    <row r="3214" spans="1:4" x14ac:dyDescent="0.3">
      <c r="A3214">
        <v>33</v>
      </c>
      <c r="B3214" t="s">
        <v>54</v>
      </c>
      <c r="C3214">
        <v>45</v>
      </c>
      <c r="D3214">
        <f>COUNTIF(WeeklyPicks!$D$322:$F$331,C3214)</f>
        <v>0</v>
      </c>
    </row>
    <row r="3215" spans="1:4" x14ac:dyDescent="0.3">
      <c r="A3215">
        <v>33</v>
      </c>
      <c r="B3215" t="s">
        <v>54</v>
      </c>
      <c r="C3215">
        <v>46</v>
      </c>
      <c r="D3215">
        <f>COUNTIF(WeeklyPicks!$D$322:$F$331,C3215)</f>
        <v>0</v>
      </c>
    </row>
    <row r="3216" spans="1:4" x14ac:dyDescent="0.3">
      <c r="A3216">
        <v>33</v>
      </c>
      <c r="B3216" t="s">
        <v>54</v>
      </c>
      <c r="C3216">
        <v>47</v>
      </c>
      <c r="D3216">
        <f>COUNTIF(WeeklyPicks!$D$322:$F$331,C3216)</f>
        <v>0</v>
      </c>
    </row>
    <row r="3217" spans="1:4" x14ac:dyDescent="0.3">
      <c r="A3217">
        <v>33</v>
      </c>
      <c r="B3217" t="s">
        <v>54</v>
      </c>
      <c r="C3217">
        <v>48</v>
      </c>
      <c r="D3217">
        <f>COUNTIF(WeeklyPicks!$D$322:$F$331,C3217)</f>
        <v>0</v>
      </c>
    </row>
    <row r="3218" spans="1:4" x14ac:dyDescent="0.3">
      <c r="A3218">
        <v>33</v>
      </c>
      <c r="B3218" t="s">
        <v>54</v>
      </c>
      <c r="C3218">
        <v>49</v>
      </c>
      <c r="D3218">
        <f>COUNTIF(WeeklyPicks!$D$322:$F$331,C3218)</f>
        <v>0</v>
      </c>
    </row>
    <row r="3219" spans="1:4" x14ac:dyDescent="0.3">
      <c r="A3219">
        <v>33</v>
      </c>
      <c r="B3219" t="s">
        <v>54</v>
      </c>
      <c r="C3219">
        <v>50</v>
      </c>
      <c r="D3219">
        <f>COUNTIF(WeeklyPicks!$D$322:$F$331,C3219)</f>
        <v>0</v>
      </c>
    </row>
    <row r="3220" spans="1:4" x14ac:dyDescent="0.3">
      <c r="A3220">
        <v>33</v>
      </c>
      <c r="B3220" t="s">
        <v>54</v>
      </c>
      <c r="C3220">
        <v>51</v>
      </c>
      <c r="D3220">
        <f>COUNTIF(WeeklyPicks!$D$322:$F$331,C3220)</f>
        <v>0</v>
      </c>
    </row>
    <row r="3221" spans="1:4" x14ac:dyDescent="0.3">
      <c r="A3221">
        <v>33</v>
      </c>
      <c r="B3221" t="s">
        <v>54</v>
      </c>
      <c r="C3221">
        <v>52</v>
      </c>
      <c r="D3221">
        <f>COUNTIF(WeeklyPicks!$D$322:$F$331,C3221)</f>
        <v>0</v>
      </c>
    </row>
    <row r="3222" spans="1:4" x14ac:dyDescent="0.3">
      <c r="A3222">
        <v>33</v>
      </c>
      <c r="B3222" t="s">
        <v>54</v>
      </c>
      <c r="C3222">
        <v>53</v>
      </c>
      <c r="D3222">
        <f>COUNTIF(WeeklyPicks!$D$322:$F$331,C3222)</f>
        <v>0</v>
      </c>
    </row>
    <row r="3223" spans="1:4" x14ac:dyDescent="0.3">
      <c r="A3223">
        <v>33</v>
      </c>
      <c r="B3223" t="s">
        <v>54</v>
      </c>
      <c r="C3223">
        <v>54</v>
      </c>
      <c r="D3223">
        <f>COUNTIF(WeeklyPicks!$D$322:$F$331,C3223)</f>
        <v>0</v>
      </c>
    </row>
    <row r="3224" spans="1:4" x14ac:dyDescent="0.3">
      <c r="A3224">
        <v>33</v>
      </c>
      <c r="B3224" t="s">
        <v>54</v>
      </c>
      <c r="C3224">
        <v>55</v>
      </c>
      <c r="D3224">
        <f>COUNTIF(WeeklyPicks!$D$322:$F$331,C3224)</f>
        <v>0</v>
      </c>
    </row>
    <row r="3225" spans="1:4" x14ac:dyDescent="0.3">
      <c r="A3225">
        <v>33</v>
      </c>
      <c r="B3225" t="s">
        <v>54</v>
      </c>
      <c r="C3225">
        <v>56</v>
      </c>
      <c r="D3225">
        <f>COUNTIF(WeeklyPicks!$D$322:$F$331,C3225)</f>
        <v>0</v>
      </c>
    </row>
    <row r="3226" spans="1:4" x14ac:dyDescent="0.3">
      <c r="A3226">
        <v>33</v>
      </c>
      <c r="B3226" t="s">
        <v>54</v>
      </c>
      <c r="C3226">
        <v>57</v>
      </c>
      <c r="D3226">
        <f>COUNTIF(WeeklyPicks!$D$322:$F$331,C3226)</f>
        <v>0</v>
      </c>
    </row>
    <row r="3227" spans="1:4" x14ac:dyDescent="0.3">
      <c r="A3227">
        <v>33</v>
      </c>
      <c r="B3227" t="s">
        <v>54</v>
      </c>
      <c r="C3227">
        <v>58</v>
      </c>
      <c r="D3227">
        <f>COUNTIF(WeeklyPicks!$D$322:$F$331,C3227)</f>
        <v>0</v>
      </c>
    </row>
    <row r="3228" spans="1:4" x14ac:dyDescent="0.3">
      <c r="A3228">
        <v>33</v>
      </c>
      <c r="B3228" t="s">
        <v>54</v>
      </c>
      <c r="C3228">
        <v>59</v>
      </c>
      <c r="D3228">
        <f>COUNTIF(WeeklyPicks!$D$322:$F$331,C3228)</f>
        <v>0</v>
      </c>
    </row>
    <row r="3229" spans="1:4" x14ac:dyDescent="0.3">
      <c r="A3229">
        <v>33</v>
      </c>
      <c r="B3229" t="s">
        <v>54</v>
      </c>
      <c r="C3229">
        <v>60</v>
      </c>
      <c r="D3229">
        <f>COUNTIF(WeeklyPicks!$D$322:$F$331,C3229)</f>
        <v>0</v>
      </c>
    </row>
    <row r="3230" spans="1:4" x14ac:dyDescent="0.3">
      <c r="A3230">
        <v>33</v>
      </c>
      <c r="B3230" t="s">
        <v>54</v>
      </c>
      <c r="C3230">
        <v>61</v>
      </c>
      <c r="D3230">
        <f>COUNTIF(WeeklyPicks!$D$322:$F$331,C3230)</f>
        <v>0</v>
      </c>
    </row>
    <row r="3231" spans="1:4" x14ac:dyDescent="0.3">
      <c r="A3231">
        <v>33</v>
      </c>
      <c r="B3231" t="s">
        <v>54</v>
      </c>
      <c r="C3231">
        <v>62</v>
      </c>
      <c r="D3231">
        <f>COUNTIF(WeeklyPicks!$D$322:$F$331,C3231)</f>
        <v>0</v>
      </c>
    </row>
    <row r="3232" spans="1:4" x14ac:dyDescent="0.3">
      <c r="A3232">
        <v>33</v>
      </c>
      <c r="B3232" t="s">
        <v>54</v>
      </c>
      <c r="C3232">
        <v>63</v>
      </c>
      <c r="D3232">
        <f>COUNTIF(WeeklyPicks!$D$322:$F$331,C3232)</f>
        <v>0</v>
      </c>
    </row>
    <row r="3233" spans="1:4" x14ac:dyDescent="0.3">
      <c r="A3233">
        <v>33</v>
      </c>
      <c r="B3233" t="s">
        <v>54</v>
      </c>
      <c r="C3233">
        <v>64</v>
      </c>
      <c r="D3233">
        <f>COUNTIF(WeeklyPicks!$D$322:$F$331,C3233)</f>
        <v>0</v>
      </c>
    </row>
    <row r="3234" spans="1:4" x14ac:dyDescent="0.3">
      <c r="A3234">
        <v>33</v>
      </c>
      <c r="B3234" t="s">
        <v>54</v>
      </c>
      <c r="C3234">
        <v>65</v>
      </c>
      <c r="D3234">
        <f>COUNTIF(WeeklyPicks!$D$322:$F$331,C3234)</f>
        <v>0</v>
      </c>
    </row>
    <row r="3235" spans="1:4" x14ac:dyDescent="0.3">
      <c r="A3235">
        <v>33</v>
      </c>
      <c r="B3235" t="s">
        <v>54</v>
      </c>
      <c r="C3235">
        <v>66</v>
      </c>
      <c r="D3235">
        <f>COUNTIF(WeeklyPicks!$D$322:$F$331,C3235)</f>
        <v>0</v>
      </c>
    </row>
    <row r="3236" spans="1:4" x14ac:dyDescent="0.3">
      <c r="A3236">
        <v>33</v>
      </c>
      <c r="B3236" t="s">
        <v>54</v>
      </c>
      <c r="C3236">
        <v>67</v>
      </c>
      <c r="D3236">
        <f>COUNTIF(WeeklyPicks!$D$322:$F$331,C3236)</f>
        <v>0</v>
      </c>
    </row>
    <row r="3237" spans="1:4" x14ac:dyDescent="0.3">
      <c r="A3237">
        <v>33</v>
      </c>
      <c r="B3237" t="s">
        <v>54</v>
      </c>
      <c r="C3237">
        <v>68</v>
      </c>
      <c r="D3237">
        <f>COUNTIF(WeeklyPicks!$D$322:$F$331,C3237)</f>
        <v>0</v>
      </c>
    </row>
    <row r="3238" spans="1:4" x14ac:dyDescent="0.3">
      <c r="A3238">
        <v>33</v>
      </c>
      <c r="B3238" t="s">
        <v>54</v>
      </c>
      <c r="C3238">
        <v>69</v>
      </c>
      <c r="D3238">
        <f>COUNTIF(WeeklyPicks!$D$322:$F$331,C3238)</f>
        <v>0</v>
      </c>
    </row>
    <row r="3239" spans="1:4" x14ac:dyDescent="0.3">
      <c r="A3239">
        <v>33</v>
      </c>
      <c r="B3239" t="s">
        <v>54</v>
      </c>
      <c r="C3239">
        <v>70</v>
      </c>
      <c r="D3239">
        <f>COUNTIF(WeeklyPicks!$D$322:$F$331,C3239)</f>
        <v>0</v>
      </c>
    </row>
    <row r="3240" spans="1:4" x14ac:dyDescent="0.3">
      <c r="A3240">
        <v>33</v>
      </c>
      <c r="B3240" t="s">
        <v>54</v>
      </c>
      <c r="C3240">
        <v>71</v>
      </c>
      <c r="D3240">
        <f>COUNTIF(WeeklyPicks!$D$322:$F$331,C3240)</f>
        <v>0</v>
      </c>
    </row>
    <row r="3241" spans="1:4" x14ac:dyDescent="0.3">
      <c r="A3241">
        <v>33</v>
      </c>
      <c r="B3241" t="s">
        <v>54</v>
      </c>
      <c r="C3241">
        <v>72</v>
      </c>
      <c r="D3241">
        <f>COUNTIF(WeeklyPicks!$D$322:$F$331,C3241)</f>
        <v>0</v>
      </c>
    </row>
    <row r="3242" spans="1:4" x14ac:dyDescent="0.3">
      <c r="A3242">
        <v>33</v>
      </c>
      <c r="B3242" t="s">
        <v>54</v>
      </c>
      <c r="C3242">
        <v>73</v>
      </c>
      <c r="D3242">
        <f>COUNTIF(WeeklyPicks!$D$322:$F$331,C3242)</f>
        <v>0</v>
      </c>
    </row>
    <row r="3243" spans="1:4" x14ac:dyDescent="0.3">
      <c r="A3243">
        <v>33</v>
      </c>
      <c r="B3243" t="s">
        <v>54</v>
      </c>
      <c r="C3243">
        <v>74</v>
      </c>
      <c r="D3243">
        <f>COUNTIF(WeeklyPicks!$D$322:$F$331,C3243)</f>
        <v>0</v>
      </c>
    </row>
    <row r="3244" spans="1:4" x14ac:dyDescent="0.3">
      <c r="A3244">
        <v>33</v>
      </c>
      <c r="B3244" t="s">
        <v>54</v>
      </c>
      <c r="C3244">
        <v>75</v>
      </c>
      <c r="D3244">
        <f>COUNTIF(WeeklyPicks!$D$322:$F$331,C3244)</f>
        <v>0</v>
      </c>
    </row>
    <row r="3245" spans="1:4" x14ac:dyDescent="0.3">
      <c r="A3245">
        <v>33</v>
      </c>
      <c r="B3245" t="s">
        <v>54</v>
      </c>
      <c r="C3245">
        <v>76</v>
      </c>
      <c r="D3245">
        <f>COUNTIF(WeeklyPicks!$D$322:$F$331,C3245)</f>
        <v>0</v>
      </c>
    </row>
    <row r="3246" spans="1:4" x14ac:dyDescent="0.3">
      <c r="A3246">
        <v>33</v>
      </c>
      <c r="B3246" t="s">
        <v>54</v>
      </c>
      <c r="C3246">
        <v>77</v>
      </c>
      <c r="D3246">
        <f>COUNTIF(WeeklyPicks!$D$322:$F$331,C3246)</f>
        <v>0</v>
      </c>
    </row>
    <row r="3247" spans="1:4" x14ac:dyDescent="0.3">
      <c r="A3247">
        <v>33</v>
      </c>
      <c r="B3247" t="s">
        <v>54</v>
      </c>
      <c r="C3247">
        <v>78</v>
      </c>
      <c r="D3247">
        <f>COUNTIF(WeeklyPicks!$D$322:$F$331,C3247)</f>
        <v>0</v>
      </c>
    </row>
    <row r="3248" spans="1:4" x14ac:dyDescent="0.3">
      <c r="A3248">
        <v>33</v>
      </c>
      <c r="B3248" t="s">
        <v>54</v>
      </c>
      <c r="C3248">
        <v>79</v>
      </c>
      <c r="D3248">
        <f>COUNTIF(WeeklyPicks!$D$322:$F$331,C3248)</f>
        <v>0</v>
      </c>
    </row>
    <row r="3249" spans="1:4" x14ac:dyDescent="0.3">
      <c r="A3249">
        <v>33</v>
      </c>
      <c r="B3249" t="s">
        <v>54</v>
      </c>
      <c r="C3249">
        <v>80</v>
      </c>
      <c r="D3249">
        <f>COUNTIF(WeeklyPicks!$D$322:$F$331,C3249)</f>
        <v>0</v>
      </c>
    </row>
    <row r="3250" spans="1:4" x14ac:dyDescent="0.3">
      <c r="A3250">
        <v>33</v>
      </c>
      <c r="B3250" t="s">
        <v>54</v>
      </c>
      <c r="C3250">
        <v>81</v>
      </c>
      <c r="D3250">
        <f>COUNTIF(WeeklyPicks!$D$322:$F$331,C3250)</f>
        <v>0</v>
      </c>
    </row>
    <row r="3251" spans="1:4" x14ac:dyDescent="0.3">
      <c r="A3251">
        <v>33</v>
      </c>
      <c r="B3251" t="s">
        <v>54</v>
      </c>
      <c r="C3251">
        <v>82</v>
      </c>
      <c r="D3251">
        <f>COUNTIF(WeeklyPicks!$D$322:$F$331,C3251)</f>
        <v>0</v>
      </c>
    </row>
    <row r="3252" spans="1:4" x14ac:dyDescent="0.3">
      <c r="A3252">
        <v>33</v>
      </c>
      <c r="B3252" t="s">
        <v>54</v>
      </c>
      <c r="C3252">
        <v>83</v>
      </c>
      <c r="D3252">
        <f>COUNTIF(WeeklyPicks!$D$322:$F$331,C3252)</f>
        <v>0</v>
      </c>
    </row>
    <row r="3253" spans="1:4" x14ac:dyDescent="0.3">
      <c r="A3253">
        <v>33</v>
      </c>
      <c r="B3253" t="s">
        <v>54</v>
      </c>
      <c r="C3253">
        <v>84</v>
      </c>
      <c r="D3253">
        <f>COUNTIF(WeeklyPicks!$D$322:$F$331,C3253)</f>
        <v>0</v>
      </c>
    </row>
    <row r="3254" spans="1:4" x14ac:dyDescent="0.3">
      <c r="A3254">
        <v>33</v>
      </c>
      <c r="B3254" t="s">
        <v>54</v>
      </c>
      <c r="C3254">
        <v>85</v>
      </c>
      <c r="D3254">
        <f>COUNTIF(WeeklyPicks!$D$322:$F$331,C3254)</f>
        <v>0</v>
      </c>
    </row>
    <row r="3255" spans="1:4" x14ac:dyDescent="0.3">
      <c r="A3255">
        <v>33</v>
      </c>
      <c r="B3255" t="s">
        <v>54</v>
      </c>
      <c r="C3255">
        <v>86</v>
      </c>
      <c r="D3255">
        <f>COUNTIF(WeeklyPicks!$D$322:$F$331,C3255)</f>
        <v>0</v>
      </c>
    </row>
    <row r="3256" spans="1:4" x14ac:dyDescent="0.3">
      <c r="A3256">
        <v>33</v>
      </c>
      <c r="B3256" t="s">
        <v>54</v>
      </c>
      <c r="C3256">
        <v>87</v>
      </c>
      <c r="D3256">
        <f>COUNTIF(WeeklyPicks!$D$322:$F$331,C3256)</f>
        <v>0</v>
      </c>
    </row>
    <row r="3257" spans="1:4" x14ac:dyDescent="0.3">
      <c r="A3257">
        <v>33</v>
      </c>
      <c r="B3257" t="s">
        <v>54</v>
      </c>
      <c r="C3257">
        <v>88</v>
      </c>
      <c r="D3257">
        <f>COUNTIF(WeeklyPicks!$D$322:$F$331,C3257)</f>
        <v>0</v>
      </c>
    </row>
    <row r="3258" spans="1:4" x14ac:dyDescent="0.3">
      <c r="A3258">
        <v>33</v>
      </c>
      <c r="B3258" t="s">
        <v>54</v>
      </c>
      <c r="C3258">
        <v>89</v>
      </c>
      <c r="D3258">
        <f>COUNTIF(WeeklyPicks!$D$322:$F$331,C3258)</f>
        <v>0</v>
      </c>
    </row>
    <row r="3259" spans="1:4" x14ac:dyDescent="0.3">
      <c r="A3259">
        <v>33</v>
      </c>
      <c r="B3259" t="s">
        <v>54</v>
      </c>
      <c r="C3259">
        <v>90</v>
      </c>
      <c r="D3259">
        <f>COUNTIF(WeeklyPicks!$D$322:$F$331,C3259)</f>
        <v>0</v>
      </c>
    </row>
    <row r="3260" spans="1:4" x14ac:dyDescent="0.3">
      <c r="A3260">
        <v>33</v>
      </c>
      <c r="B3260" t="s">
        <v>54</v>
      </c>
      <c r="C3260">
        <v>91</v>
      </c>
      <c r="D3260">
        <f>COUNTIF(WeeklyPicks!$D$322:$F$331,C3260)</f>
        <v>0</v>
      </c>
    </row>
    <row r="3261" spans="1:4" x14ac:dyDescent="0.3">
      <c r="A3261">
        <v>33</v>
      </c>
      <c r="B3261" t="s">
        <v>54</v>
      </c>
      <c r="C3261">
        <v>92</v>
      </c>
      <c r="D3261">
        <f>COUNTIF(WeeklyPicks!$D$322:$F$331,C3261)</f>
        <v>0</v>
      </c>
    </row>
    <row r="3262" spans="1:4" x14ac:dyDescent="0.3">
      <c r="A3262">
        <v>33</v>
      </c>
      <c r="B3262" t="s">
        <v>54</v>
      </c>
      <c r="C3262">
        <v>93</v>
      </c>
      <c r="D3262">
        <f>COUNTIF(WeeklyPicks!$D$322:$F$331,C3262)</f>
        <v>0</v>
      </c>
    </row>
    <row r="3263" spans="1:4" x14ac:dyDescent="0.3">
      <c r="A3263">
        <v>33</v>
      </c>
      <c r="B3263" t="s">
        <v>54</v>
      </c>
      <c r="C3263">
        <v>94</v>
      </c>
      <c r="D3263">
        <f>COUNTIF(WeeklyPicks!$D$322:$F$331,C3263)</f>
        <v>0</v>
      </c>
    </row>
    <row r="3264" spans="1:4" x14ac:dyDescent="0.3">
      <c r="A3264">
        <v>33</v>
      </c>
      <c r="B3264" t="s">
        <v>54</v>
      </c>
      <c r="C3264">
        <v>95</v>
      </c>
      <c r="D3264">
        <f>COUNTIF(WeeklyPicks!$D$322:$F$331,C3264)</f>
        <v>0</v>
      </c>
    </row>
    <row r="3265" spans="1:4" x14ac:dyDescent="0.3">
      <c r="A3265">
        <v>33</v>
      </c>
      <c r="B3265" t="s">
        <v>54</v>
      </c>
      <c r="C3265">
        <v>96</v>
      </c>
      <c r="D3265">
        <f>COUNTIF(WeeklyPicks!$D$322:$F$331,C3265)</f>
        <v>0</v>
      </c>
    </row>
    <row r="3266" spans="1:4" x14ac:dyDescent="0.3">
      <c r="A3266">
        <v>33</v>
      </c>
      <c r="B3266" t="s">
        <v>54</v>
      </c>
      <c r="C3266">
        <v>97</v>
      </c>
      <c r="D3266">
        <f>COUNTIF(WeeklyPicks!$D$322:$F$331,C3266)</f>
        <v>0</v>
      </c>
    </row>
    <row r="3267" spans="1:4" x14ac:dyDescent="0.3">
      <c r="A3267">
        <v>33</v>
      </c>
      <c r="B3267" t="s">
        <v>54</v>
      </c>
      <c r="C3267">
        <v>98</v>
      </c>
      <c r="D3267">
        <f>COUNTIF(WeeklyPicks!$D$322:$F$331,C3267)</f>
        <v>0</v>
      </c>
    </row>
    <row r="3268" spans="1:4" x14ac:dyDescent="0.3">
      <c r="A3268">
        <v>33</v>
      </c>
      <c r="B3268" t="s">
        <v>54</v>
      </c>
      <c r="C3268">
        <v>99</v>
      </c>
      <c r="D3268">
        <f>COUNTIF(WeeklyPicks!$D$322:$F$331,C3268)</f>
        <v>0</v>
      </c>
    </row>
    <row r="3269" spans="1:4" x14ac:dyDescent="0.3">
      <c r="A3269">
        <v>34</v>
      </c>
      <c r="B3269" t="s">
        <v>67</v>
      </c>
      <c r="C3269">
        <v>1</v>
      </c>
      <c r="D3269">
        <f>COUNTIF(WeeklyPicks!$D$332:$F$341,C3269)</f>
        <v>0</v>
      </c>
    </row>
    <row r="3270" spans="1:4" x14ac:dyDescent="0.3">
      <c r="A3270">
        <v>34</v>
      </c>
      <c r="B3270" t="s">
        <v>67</v>
      </c>
      <c r="C3270">
        <v>2</v>
      </c>
      <c r="D3270">
        <f>COUNTIF(WeeklyPicks!$D$332:$F$341,C3270)</f>
        <v>0</v>
      </c>
    </row>
    <row r="3271" spans="1:4" x14ac:dyDescent="0.3">
      <c r="A3271">
        <v>34</v>
      </c>
      <c r="B3271" t="s">
        <v>67</v>
      </c>
      <c r="C3271">
        <v>3</v>
      </c>
      <c r="D3271">
        <f>COUNTIF(WeeklyPicks!$D$332:$F$341,C3271)</f>
        <v>0</v>
      </c>
    </row>
    <row r="3272" spans="1:4" x14ac:dyDescent="0.3">
      <c r="A3272">
        <v>34</v>
      </c>
      <c r="B3272" t="s">
        <v>67</v>
      </c>
      <c r="C3272">
        <v>4</v>
      </c>
      <c r="D3272">
        <f>COUNTIF(WeeklyPicks!$D$332:$F$341,C3272)</f>
        <v>0</v>
      </c>
    </row>
    <row r="3273" spans="1:4" x14ac:dyDescent="0.3">
      <c r="A3273">
        <v>34</v>
      </c>
      <c r="B3273" t="s">
        <v>67</v>
      </c>
      <c r="C3273">
        <v>5</v>
      </c>
      <c r="D3273">
        <f>COUNTIF(WeeklyPicks!$D$332:$F$341,C3273)</f>
        <v>0</v>
      </c>
    </row>
    <row r="3274" spans="1:4" x14ac:dyDescent="0.3">
      <c r="A3274">
        <v>34</v>
      </c>
      <c r="B3274" t="s">
        <v>67</v>
      </c>
      <c r="C3274">
        <v>6</v>
      </c>
      <c r="D3274">
        <f>COUNTIF(WeeklyPicks!$D$332:$F$341,C3274)</f>
        <v>0</v>
      </c>
    </row>
    <row r="3275" spans="1:4" x14ac:dyDescent="0.3">
      <c r="A3275">
        <v>34</v>
      </c>
      <c r="B3275" t="s">
        <v>67</v>
      </c>
      <c r="C3275">
        <v>7</v>
      </c>
      <c r="D3275">
        <f>COUNTIF(WeeklyPicks!$D$332:$F$341,C3275)</f>
        <v>0</v>
      </c>
    </row>
    <row r="3276" spans="1:4" x14ac:dyDescent="0.3">
      <c r="A3276">
        <v>34</v>
      </c>
      <c r="B3276" t="s">
        <v>67</v>
      </c>
      <c r="C3276">
        <v>8</v>
      </c>
      <c r="D3276">
        <f>COUNTIF(WeeklyPicks!$D$332:$F$341,C3276)</f>
        <v>0</v>
      </c>
    </row>
    <row r="3277" spans="1:4" x14ac:dyDescent="0.3">
      <c r="A3277">
        <v>34</v>
      </c>
      <c r="B3277" t="s">
        <v>67</v>
      </c>
      <c r="C3277">
        <v>9</v>
      </c>
      <c r="D3277">
        <f>COUNTIF(WeeklyPicks!$D$332:$F$341,C3277)</f>
        <v>0</v>
      </c>
    </row>
    <row r="3278" spans="1:4" x14ac:dyDescent="0.3">
      <c r="A3278">
        <v>34</v>
      </c>
      <c r="B3278" t="s">
        <v>67</v>
      </c>
      <c r="C3278">
        <v>10</v>
      </c>
      <c r="D3278">
        <f>COUNTIF(WeeklyPicks!$D$332:$F$341,C3278)</f>
        <v>0</v>
      </c>
    </row>
    <row r="3279" spans="1:4" x14ac:dyDescent="0.3">
      <c r="A3279">
        <v>34</v>
      </c>
      <c r="B3279" t="s">
        <v>67</v>
      </c>
      <c r="C3279">
        <v>11</v>
      </c>
      <c r="D3279">
        <f>COUNTIF(WeeklyPicks!$D$332:$F$341,C3279)</f>
        <v>0</v>
      </c>
    </row>
    <row r="3280" spans="1:4" x14ac:dyDescent="0.3">
      <c r="A3280">
        <v>34</v>
      </c>
      <c r="B3280" t="s">
        <v>67</v>
      </c>
      <c r="C3280">
        <v>12</v>
      </c>
      <c r="D3280">
        <f>COUNTIF(WeeklyPicks!$D$332:$F$341,C3280)</f>
        <v>0</v>
      </c>
    </row>
    <row r="3281" spans="1:4" x14ac:dyDescent="0.3">
      <c r="A3281">
        <v>34</v>
      </c>
      <c r="B3281" t="s">
        <v>67</v>
      </c>
      <c r="C3281">
        <v>13</v>
      </c>
      <c r="D3281">
        <f>COUNTIF(WeeklyPicks!$D$332:$F$341,C3281)</f>
        <v>0</v>
      </c>
    </row>
    <row r="3282" spans="1:4" x14ac:dyDescent="0.3">
      <c r="A3282">
        <v>34</v>
      </c>
      <c r="B3282" t="s">
        <v>67</v>
      </c>
      <c r="C3282">
        <v>14</v>
      </c>
      <c r="D3282">
        <f>COUNTIF(WeeklyPicks!$D$332:$F$341,C3282)</f>
        <v>0</v>
      </c>
    </row>
    <row r="3283" spans="1:4" x14ac:dyDescent="0.3">
      <c r="A3283">
        <v>34</v>
      </c>
      <c r="B3283" t="s">
        <v>67</v>
      </c>
      <c r="C3283">
        <v>15</v>
      </c>
      <c r="D3283">
        <f>COUNTIF(WeeklyPicks!$D$332:$F$341,C3283)</f>
        <v>0</v>
      </c>
    </row>
    <row r="3284" spans="1:4" x14ac:dyDescent="0.3">
      <c r="A3284">
        <v>34</v>
      </c>
      <c r="B3284" t="s">
        <v>67</v>
      </c>
      <c r="C3284">
        <v>16</v>
      </c>
      <c r="D3284">
        <f>COUNTIF(WeeklyPicks!$D$332:$F$341,C3284)</f>
        <v>0</v>
      </c>
    </row>
    <row r="3285" spans="1:4" x14ac:dyDescent="0.3">
      <c r="A3285">
        <v>34</v>
      </c>
      <c r="B3285" t="s">
        <v>67</v>
      </c>
      <c r="C3285">
        <v>17</v>
      </c>
      <c r="D3285">
        <f>COUNTIF(WeeklyPicks!$D$332:$F$341,C3285)</f>
        <v>0</v>
      </c>
    </row>
    <row r="3286" spans="1:4" x14ac:dyDescent="0.3">
      <c r="A3286">
        <v>34</v>
      </c>
      <c r="B3286" t="s">
        <v>67</v>
      </c>
      <c r="C3286">
        <v>18</v>
      </c>
      <c r="D3286">
        <f>COUNTIF(WeeklyPicks!$D$332:$F$341,C3286)</f>
        <v>0</v>
      </c>
    </row>
    <row r="3287" spans="1:4" x14ac:dyDescent="0.3">
      <c r="A3287">
        <v>34</v>
      </c>
      <c r="B3287" t="s">
        <v>67</v>
      </c>
      <c r="C3287">
        <v>19</v>
      </c>
      <c r="D3287">
        <f>COUNTIF(WeeklyPicks!$D$332:$F$341,C3287)</f>
        <v>0</v>
      </c>
    </row>
    <row r="3288" spans="1:4" x14ac:dyDescent="0.3">
      <c r="A3288">
        <v>34</v>
      </c>
      <c r="B3288" t="s">
        <v>67</v>
      </c>
      <c r="C3288">
        <v>20</v>
      </c>
      <c r="D3288">
        <f>COUNTIF(WeeklyPicks!$D$332:$F$341,C3288)</f>
        <v>0</v>
      </c>
    </row>
    <row r="3289" spans="1:4" x14ac:dyDescent="0.3">
      <c r="A3289">
        <v>34</v>
      </c>
      <c r="B3289" t="s">
        <v>67</v>
      </c>
      <c r="C3289">
        <v>21</v>
      </c>
      <c r="D3289">
        <f>COUNTIF(WeeklyPicks!$D$332:$F$341,C3289)</f>
        <v>0</v>
      </c>
    </row>
    <row r="3290" spans="1:4" x14ac:dyDescent="0.3">
      <c r="A3290">
        <v>34</v>
      </c>
      <c r="B3290" t="s">
        <v>67</v>
      </c>
      <c r="C3290">
        <v>22</v>
      </c>
      <c r="D3290">
        <f>COUNTIF(WeeklyPicks!$D$332:$F$341,C3290)</f>
        <v>0</v>
      </c>
    </row>
    <row r="3291" spans="1:4" x14ac:dyDescent="0.3">
      <c r="A3291">
        <v>34</v>
      </c>
      <c r="B3291" t="s">
        <v>67</v>
      </c>
      <c r="C3291">
        <v>23</v>
      </c>
      <c r="D3291">
        <f>COUNTIF(WeeklyPicks!$D$332:$F$341,C3291)</f>
        <v>0</v>
      </c>
    </row>
    <row r="3292" spans="1:4" x14ac:dyDescent="0.3">
      <c r="A3292">
        <v>34</v>
      </c>
      <c r="B3292" t="s">
        <v>67</v>
      </c>
      <c r="C3292">
        <v>24</v>
      </c>
      <c r="D3292">
        <f>COUNTIF(WeeklyPicks!$D$332:$F$341,C3292)</f>
        <v>0</v>
      </c>
    </row>
    <row r="3293" spans="1:4" x14ac:dyDescent="0.3">
      <c r="A3293">
        <v>34</v>
      </c>
      <c r="B3293" t="s">
        <v>67</v>
      </c>
      <c r="C3293">
        <v>25</v>
      </c>
      <c r="D3293">
        <f>COUNTIF(WeeklyPicks!$D$332:$F$341,C3293)</f>
        <v>0</v>
      </c>
    </row>
    <row r="3294" spans="1:4" x14ac:dyDescent="0.3">
      <c r="A3294">
        <v>34</v>
      </c>
      <c r="B3294" t="s">
        <v>67</v>
      </c>
      <c r="C3294">
        <v>26</v>
      </c>
      <c r="D3294">
        <f>COUNTIF(WeeklyPicks!$D$332:$F$341,C3294)</f>
        <v>0</v>
      </c>
    </row>
    <row r="3295" spans="1:4" x14ac:dyDescent="0.3">
      <c r="A3295">
        <v>34</v>
      </c>
      <c r="B3295" t="s">
        <v>67</v>
      </c>
      <c r="C3295">
        <v>27</v>
      </c>
      <c r="D3295">
        <f>COUNTIF(WeeklyPicks!$D$332:$F$341,C3295)</f>
        <v>0</v>
      </c>
    </row>
    <row r="3296" spans="1:4" x14ac:dyDescent="0.3">
      <c r="A3296">
        <v>34</v>
      </c>
      <c r="B3296" t="s">
        <v>67</v>
      </c>
      <c r="C3296">
        <v>28</v>
      </c>
      <c r="D3296">
        <f>COUNTIF(WeeklyPicks!$D$332:$F$341,C3296)</f>
        <v>0</v>
      </c>
    </row>
    <row r="3297" spans="1:4" x14ac:dyDescent="0.3">
      <c r="A3297">
        <v>34</v>
      </c>
      <c r="B3297" t="s">
        <v>67</v>
      </c>
      <c r="C3297">
        <v>29</v>
      </c>
      <c r="D3297">
        <f>COUNTIF(WeeklyPicks!$D$332:$F$341,C3297)</f>
        <v>0</v>
      </c>
    </row>
    <row r="3298" spans="1:4" x14ac:dyDescent="0.3">
      <c r="A3298">
        <v>34</v>
      </c>
      <c r="B3298" t="s">
        <v>67</v>
      </c>
      <c r="C3298">
        <v>30</v>
      </c>
      <c r="D3298">
        <f>COUNTIF(WeeklyPicks!$D$332:$F$341,C3298)</f>
        <v>0</v>
      </c>
    </row>
    <row r="3299" spans="1:4" x14ac:dyDescent="0.3">
      <c r="A3299">
        <v>34</v>
      </c>
      <c r="B3299" t="s">
        <v>67</v>
      </c>
      <c r="C3299">
        <v>31</v>
      </c>
      <c r="D3299">
        <f>COUNTIF(WeeklyPicks!$D$332:$F$341,C3299)</f>
        <v>0</v>
      </c>
    </row>
    <row r="3300" spans="1:4" x14ac:dyDescent="0.3">
      <c r="A3300">
        <v>34</v>
      </c>
      <c r="B3300" t="s">
        <v>67</v>
      </c>
      <c r="C3300">
        <v>32</v>
      </c>
      <c r="D3300">
        <f>COUNTIF(WeeklyPicks!$D$332:$F$341,C3300)</f>
        <v>0</v>
      </c>
    </row>
    <row r="3301" spans="1:4" x14ac:dyDescent="0.3">
      <c r="A3301">
        <v>34</v>
      </c>
      <c r="B3301" t="s">
        <v>67</v>
      </c>
      <c r="C3301">
        <v>33</v>
      </c>
      <c r="D3301">
        <f>COUNTIF(WeeklyPicks!$D$332:$F$341,C3301)</f>
        <v>0</v>
      </c>
    </row>
    <row r="3302" spans="1:4" x14ac:dyDescent="0.3">
      <c r="A3302">
        <v>34</v>
      </c>
      <c r="B3302" t="s">
        <v>67</v>
      </c>
      <c r="C3302">
        <v>34</v>
      </c>
      <c r="D3302">
        <f>COUNTIF(WeeklyPicks!$D$332:$F$341,C3302)</f>
        <v>0</v>
      </c>
    </row>
    <row r="3303" spans="1:4" x14ac:dyDescent="0.3">
      <c r="A3303">
        <v>34</v>
      </c>
      <c r="B3303" t="s">
        <v>67</v>
      </c>
      <c r="C3303">
        <v>35</v>
      </c>
      <c r="D3303">
        <f>COUNTIF(WeeklyPicks!$D$332:$F$341,C3303)</f>
        <v>0</v>
      </c>
    </row>
    <row r="3304" spans="1:4" x14ac:dyDescent="0.3">
      <c r="A3304">
        <v>34</v>
      </c>
      <c r="B3304" t="s">
        <v>67</v>
      </c>
      <c r="C3304">
        <v>36</v>
      </c>
      <c r="D3304">
        <f>COUNTIF(WeeklyPicks!$D$332:$F$341,C3304)</f>
        <v>0</v>
      </c>
    </row>
    <row r="3305" spans="1:4" x14ac:dyDescent="0.3">
      <c r="A3305">
        <v>34</v>
      </c>
      <c r="B3305" t="s">
        <v>67</v>
      </c>
      <c r="C3305">
        <v>37</v>
      </c>
      <c r="D3305">
        <f>COUNTIF(WeeklyPicks!$D$332:$F$341,C3305)</f>
        <v>0</v>
      </c>
    </row>
    <row r="3306" spans="1:4" x14ac:dyDescent="0.3">
      <c r="A3306">
        <v>34</v>
      </c>
      <c r="B3306" t="s">
        <v>67</v>
      </c>
      <c r="C3306">
        <v>38</v>
      </c>
      <c r="D3306">
        <f>COUNTIF(WeeklyPicks!$D$332:$F$341,C3306)</f>
        <v>0</v>
      </c>
    </row>
    <row r="3307" spans="1:4" x14ac:dyDescent="0.3">
      <c r="A3307">
        <v>34</v>
      </c>
      <c r="B3307" t="s">
        <v>67</v>
      </c>
      <c r="C3307">
        <v>39</v>
      </c>
      <c r="D3307">
        <f>COUNTIF(WeeklyPicks!$D$332:$F$341,C3307)</f>
        <v>0</v>
      </c>
    </row>
    <row r="3308" spans="1:4" x14ac:dyDescent="0.3">
      <c r="A3308">
        <v>34</v>
      </c>
      <c r="B3308" t="s">
        <v>67</v>
      </c>
      <c r="C3308">
        <v>40</v>
      </c>
      <c r="D3308">
        <f>COUNTIF(WeeklyPicks!$D$332:$F$341,C3308)</f>
        <v>0</v>
      </c>
    </row>
    <row r="3309" spans="1:4" x14ac:dyDescent="0.3">
      <c r="A3309">
        <v>34</v>
      </c>
      <c r="B3309" t="s">
        <v>67</v>
      </c>
      <c r="C3309">
        <v>41</v>
      </c>
      <c r="D3309">
        <f>COUNTIF(WeeklyPicks!$D$332:$F$341,C3309)</f>
        <v>0</v>
      </c>
    </row>
    <row r="3310" spans="1:4" x14ac:dyDescent="0.3">
      <c r="A3310">
        <v>34</v>
      </c>
      <c r="B3310" t="s">
        <v>67</v>
      </c>
      <c r="C3310">
        <v>42</v>
      </c>
      <c r="D3310">
        <f>COUNTIF(WeeklyPicks!$D$332:$F$341,C3310)</f>
        <v>0</v>
      </c>
    </row>
    <row r="3311" spans="1:4" x14ac:dyDescent="0.3">
      <c r="A3311">
        <v>34</v>
      </c>
      <c r="B3311" t="s">
        <v>67</v>
      </c>
      <c r="C3311">
        <v>43</v>
      </c>
      <c r="D3311">
        <f>COUNTIF(WeeklyPicks!$D$332:$F$341,C3311)</f>
        <v>0</v>
      </c>
    </row>
    <row r="3312" spans="1:4" x14ac:dyDescent="0.3">
      <c r="A3312">
        <v>34</v>
      </c>
      <c r="B3312" t="s">
        <v>67</v>
      </c>
      <c r="C3312">
        <v>44</v>
      </c>
      <c r="D3312">
        <f>COUNTIF(WeeklyPicks!$D$332:$F$341,C3312)</f>
        <v>0</v>
      </c>
    </row>
    <row r="3313" spans="1:4" x14ac:dyDescent="0.3">
      <c r="A3313">
        <v>34</v>
      </c>
      <c r="B3313" t="s">
        <v>67</v>
      </c>
      <c r="C3313">
        <v>45</v>
      </c>
      <c r="D3313">
        <f>COUNTIF(WeeklyPicks!$D$332:$F$341,C3313)</f>
        <v>0</v>
      </c>
    </row>
    <row r="3314" spans="1:4" x14ac:dyDescent="0.3">
      <c r="A3314">
        <v>34</v>
      </c>
      <c r="B3314" t="s">
        <v>67</v>
      </c>
      <c r="C3314">
        <v>46</v>
      </c>
      <c r="D3314">
        <f>COUNTIF(WeeklyPicks!$D$332:$F$341,C3314)</f>
        <v>0</v>
      </c>
    </row>
    <row r="3315" spans="1:4" x14ac:dyDescent="0.3">
      <c r="A3315">
        <v>34</v>
      </c>
      <c r="B3315" t="s">
        <v>67</v>
      </c>
      <c r="C3315">
        <v>47</v>
      </c>
      <c r="D3315">
        <f>COUNTIF(WeeklyPicks!$D$332:$F$341,C3315)</f>
        <v>0</v>
      </c>
    </row>
    <row r="3316" spans="1:4" x14ac:dyDescent="0.3">
      <c r="A3316">
        <v>34</v>
      </c>
      <c r="B3316" t="s">
        <v>67</v>
      </c>
      <c r="C3316">
        <v>48</v>
      </c>
      <c r="D3316">
        <f>COUNTIF(WeeklyPicks!$D$332:$F$341,C3316)</f>
        <v>0</v>
      </c>
    </row>
    <row r="3317" spans="1:4" x14ac:dyDescent="0.3">
      <c r="A3317">
        <v>34</v>
      </c>
      <c r="B3317" t="s">
        <v>67</v>
      </c>
      <c r="C3317">
        <v>49</v>
      </c>
      <c r="D3317">
        <f>COUNTIF(WeeklyPicks!$D$332:$F$341,C3317)</f>
        <v>0</v>
      </c>
    </row>
    <row r="3318" spans="1:4" x14ac:dyDescent="0.3">
      <c r="A3318">
        <v>34</v>
      </c>
      <c r="B3318" t="s">
        <v>67</v>
      </c>
      <c r="C3318">
        <v>50</v>
      </c>
      <c r="D3318">
        <f>COUNTIF(WeeklyPicks!$D$332:$F$341,C3318)</f>
        <v>0</v>
      </c>
    </row>
    <row r="3319" spans="1:4" x14ac:dyDescent="0.3">
      <c r="A3319">
        <v>34</v>
      </c>
      <c r="B3319" t="s">
        <v>67</v>
      </c>
      <c r="C3319">
        <v>51</v>
      </c>
      <c r="D3319">
        <f>COUNTIF(WeeklyPicks!$D$332:$F$341,C3319)</f>
        <v>0</v>
      </c>
    </row>
    <row r="3320" spans="1:4" x14ac:dyDescent="0.3">
      <c r="A3320">
        <v>34</v>
      </c>
      <c r="B3320" t="s">
        <v>67</v>
      </c>
      <c r="C3320">
        <v>52</v>
      </c>
      <c r="D3320">
        <f>COUNTIF(WeeklyPicks!$D$332:$F$341,C3320)</f>
        <v>0</v>
      </c>
    </row>
    <row r="3321" spans="1:4" x14ac:dyDescent="0.3">
      <c r="A3321">
        <v>34</v>
      </c>
      <c r="B3321" t="s">
        <v>67</v>
      </c>
      <c r="C3321">
        <v>53</v>
      </c>
      <c r="D3321">
        <f>COUNTIF(WeeklyPicks!$D$332:$F$341,C3321)</f>
        <v>0</v>
      </c>
    </row>
    <row r="3322" spans="1:4" x14ac:dyDescent="0.3">
      <c r="A3322">
        <v>34</v>
      </c>
      <c r="B3322" t="s">
        <v>67</v>
      </c>
      <c r="C3322">
        <v>54</v>
      </c>
      <c r="D3322">
        <f>COUNTIF(WeeklyPicks!$D$332:$F$341,C3322)</f>
        <v>0</v>
      </c>
    </row>
    <row r="3323" spans="1:4" x14ac:dyDescent="0.3">
      <c r="A3323">
        <v>34</v>
      </c>
      <c r="B3323" t="s">
        <v>67</v>
      </c>
      <c r="C3323">
        <v>55</v>
      </c>
      <c r="D3323">
        <f>COUNTIF(WeeklyPicks!$D$332:$F$341,C3323)</f>
        <v>0</v>
      </c>
    </row>
    <row r="3324" spans="1:4" x14ac:dyDescent="0.3">
      <c r="A3324">
        <v>34</v>
      </c>
      <c r="B3324" t="s">
        <v>67</v>
      </c>
      <c r="C3324">
        <v>56</v>
      </c>
      <c r="D3324">
        <f>COUNTIF(WeeklyPicks!$D$332:$F$341,C3324)</f>
        <v>0</v>
      </c>
    </row>
    <row r="3325" spans="1:4" x14ac:dyDescent="0.3">
      <c r="A3325">
        <v>34</v>
      </c>
      <c r="B3325" t="s">
        <v>67</v>
      </c>
      <c r="C3325">
        <v>57</v>
      </c>
      <c r="D3325">
        <f>COUNTIF(WeeklyPicks!$D$332:$F$341,C3325)</f>
        <v>0</v>
      </c>
    </row>
    <row r="3326" spans="1:4" x14ac:dyDescent="0.3">
      <c r="A3326">
        <v>34</v>
      </c>
      <c r="B3326" t="s">
        <v>67</v>
      </c>
      <c r="C3326">
        <v>58</v>
      </c>
      <c r="D3326">
        <f>COUNTIF(WeeklyPicks!$D$332:$F$341,C3326)</f>
        <v>0</v>
      </c>
    </row>
    <row r="3327" spans="1:4" x14ac:dyDescent="0.3">
      <c r="A3327">
        <v>34</v>
      </c>
      <c r="B3327" t="s">
        <v>67</v>
      </c>
      <c r="C3327">
        <v>59</v>
      </c>
      <c r="D3327">
        <f>COUNTIF(WeeklyPicks!$D$332:$F$341,C3327)</f>
        <v>0</v>
      </c>
    </row>
    <row r="3328" spans="1:4" x14ac:dyDescent="0.3">
      <c r="A3328">
        <v>34</v>
      </c>
      <c r="B3328" t="s">
        <v>67</v>
      </c>
      <c r="C3328">
        <v>60</v>
      </c>
      <c r="D3328">
        <f>COUNTIF(WeeklyPicks!$D$332:$F$341,C3328)</f>
        <v>0</v>
      </c>
    </row>
    <row r="3329" spans="1:4" x14ac:dyDescent="0.3">
      <c r="A3329">
        <v>34</v>
      </c>
      <c r="B3329" t="s">
        <v>67</v>
      </c>
      <c r="C3329">
        <v>61</v>
      </c>
      <c r="D3329">
        <f>COUNTIF(WeeklyPicks!$D$332:$F$341,C3329)</f>
        <v>0</v>
      </c>
    </row>
    <row r="3330" spans="1:4" x14ac:dyDescent="0.3">
      <c r="A3330">
        <v>34</v>
      </c>
      <c r="B3330" t="s">
        <v>67</v>
      </c>
      <c r="C3330">
        <v>62</v>
      </c>
      <c r="D3330">
        <f>COUNTIF(WeeklyPicks!$D$332:$F$341,C3330)</f>
        <v>0</v>
      </c>
    </row>
    <row r="3331" spans="1:4" x14ac:dyDescent="0.3">
      <c r="A3331">
        <v>34</v>
      </c>
      <c r="B3331" t="s">
        <v>67</v>
      </c>
      <c r="C3331">
        <v>63</v>
      </c>
      <c r="D3331">
        <f>COUNTIF(WeeklyPicks!$D$332:$F$341,C3331)</f>
        <v>0</v>
      </c>
    </row>
    <row r="3332" spans="1:4" x14ac:dyDescent="0.3">
      <c r="A3332">
        <v>34</v>
      </c>
      <c r="B3332" t="s">
        <v>67</v>
      </c>
      <c r="C3332">
        <v>64</v>
      </c>
      <c r="D3332">
        <f>COUNTIF(WeeklyPicks!$D$332:$F$341,C3332)</f>
        <v>0</v>
      </c>
    </row>
    <row r="3333" spans="1:4" x14ac:dyDescent="0.3">
      <c r="A3333">
        <v>34</v>
      </c>
      <c r="B3333" t="s">
        <v>67</v>
      </c>
      <c r="C3333">
        <v>65</v>
      </c>
      <c r="D3333">
        <f>COUNTIF(WeeklyPicks!$D$332:$F$341,C3333)</f>
        <v>0</v>
      </c>
    </row>
    <row r="3334" spans="1:4" x14ac:dyDescent="0.3">
      <c r="A3334">
        <v>34</v>
      </c>
      <c r="B3334" t="s">
        <v>67</v>
      </c>
      <c r="C3334">
        <v>66</v>
      </c>
      <c r="D3334">
        <f>COUNTIF(WeeklyPicks!$D$332:$F$341,C3334)</f>
        <v>0</v>
      </c>
    </row>
    <row r="3335" spans="1:4" x14ac:dyDescent="0.3">
      <c r="A3335">
        <v>34</v>
      </c>
      <c r="B3335" t="s">
        <v>67</v>
      </c>
      <c r="C3335">
        <v>67</v>
      </c>
      <c r="D3335">
        <f>COUNTIF(WeeklyPicks!$D$332:$F$341,C3335)</f>
        <v>0</v>
      </c>
    </row>
    <row r="3336" spans="1:4" x14ac:dyDescent="0.3">
      <c r="A3336">
        <v>34</v>
      </c>
      <c r="B3336" t="s">
        <v>67</v>
      </c>
      <c r="C3336">
        <v>68</v>
      </c>
      <c r="D3336">
        <f>COUNTIF(WeeklyPicks!$D$332:$F$341,C3336)</f>
        <v>0</v>
      </c>
    </row>
    <row r="3337" spans="1:4" x14ac:dyDescent="0.3">
      <c r="A3337">
        <v>34</v>
      </c>
      <c r="B3337" t="s">
        <v>67</v>
      </c>
      <c r="C3337">
        <v>69</v>
      </c>
      <c r="D3337">
        <f>COUNTIF(WeeklyPicks!$D$332:$F$341,C3337)</f>
        <v>0</v>
      </c>
    </row>
    <row r="3338" spans="1:4" x14ac:dyDescent="0.3">
      <c r="A3338">
        <v>34</v>
      </c>
      <c r="B3338" t="s">
        <v>67</v>
      </c>
      <c r="C3338">
        <v>70</v>
      </c>
      <c r="D3338">
        <f>COUNTIF(WeeklyPicks!$D$332:$F$341,C3338)</f>
        <v>0</v>
      </c>
    </row>
    <row r="3339" spans="1:4" x14ac:dyDescent="0.3">
      <c r="A3339">
        <v>34</v>
      </c>
      <c r="B3339" t="s">
        <v>67</v>
      </c>
      <c r="C3339">
        <v>71</v>
      </c>
      <c r="D3339">
        <f>COUNTIF(WeeklyPicks!$D$332:$F$341,C3339)</f>
        <v>0</v>
      </c>
    </row>
    <row r="3340" spans="1:4" x14ac:dyDescent="0.3">
      <c r="A3340">
        <v>34</v>
      </c>
      <c r="B3340" t="s">
        <v>67</v>
      </c>
      <c r="C3340">
        <v>72</v>
      </c>
      <c r="D3340">
        <f>COUNTIF(WeeklyPicks!$D$332:$F$341,C3340)</f>
        <v>0</v>
      </c>
    </row>
    <row r="3341" spans="1:4" x14ac:dyDescent="0.3">
      <c r="A3341">
        <v>34</v>
      </c>
      <c r="B3341" t="s">
        <v>67</v>
      </c>
      <c r="C3341">
        <v>73</v>
      </c>
      <c r="D3341">
        <f>COUNTIF(WeeklyPicks!$D$332:$F$341,C3341)</f>
        <v>0</v>
      </c>
    </row>
    <row r="3342" spans="1:4" x14ac:dyDescent="0.3">
      <c r="A3342">
        <v>34</v>
      </c>
      <c r="B3342" t="s">
        <v>67</v>
      </c>
      <c r="C3342">
        <v>74</v>
      </c>
      <c r="D3342">
        <f>COUNTIF(WeeklyPicks!$D$332:$F$341,C3342)</f>
        <v>0</v>
      </c>
    </row>
    <row r="3343" spans="1:4" x14ac:dyDescent="0.3">
      <c r="A3343">
        <v>34</v>
      </c>
      <c r="B3343" t="s">
        <v>67</v>
      </c>
      <c r="C3343">
        <v>75</v>
      </c>
      <c r="D3343">
        <f>COUNTIF(WeeklyPicks!$D$332:$F$341,C3343)</f>
        <v>0</v>
      </c>
    </row>
    <row r="3344" spans="1:4" x14ac:dyDescent="0.3">
      <c r="A3344">
        <v>34</v>
      </c>
      <c r="B3344" t="s">
        <v>67</v>
      </c>
      <c r="C3344">
        <v>76</v>
      </c>
      <c r="D3344">
        <f>COUNTIF(WeeklyPicks!$D$332:$F$341,C3344)</f>
        <v>0</v>
      </c>
    </row>
    <row r="3345" spans="1:4" x14ac:dyDescent="0.3">
      <c r="A3345">
        <v>34</v>
      </c>
      <c r="B3345" t="s">
        <v>67</v>
      </c>
      <c r="C3345">
        <v>77</v>
      </c>
      <c r="D3345">
        <f>COUNTIF(WeeklyPicks!$D$332:$F$341,C3345)</f>
        <v>0</v>
      </c>
    </row>
    <row r="3346" spans="1:4" x14ac:dyDescent="0.3">
      <c r="A3346">
        <v>34</v>
      </c>
      <c r="B3346" t="s">
        <v>67</v>
      </c>
      <c r="C3346">
        <v>78</v>
      </c>
      <c r="D3346">
        <f>COUNTIF(WeeklyPicks!$D$332:$F$341,C3346)</f>
        <v>0</v>
      </c>
    </row>
    <row r="3347" spans="1:4" x14ac:dyDescent="0.3">
      <c r="A3347">
        <v>34</v>
      </c>
      <c r="B3347" t="s">
        <v>67</v>
      </c>
      <c r="C3347">
        <v>79</v>
      </c>
      <c r="D3347">
        <f>COUNTIF(WeeklyPicks!$D$332:$F$341,C3347)</f>
        <v>0</v>
      </c>
    </row>
    <row r="3348" spans="1:4" x14ac:dyDescent="0.3">
      <c r="A3348">
        <v>34</v>
      </c>
      <c r="B3348" t="s">
        <v>67</v>
      </c>
      <c r="C3348">
        <v>80</v>
      </c>
      <c r="D3348">
        <f>COUNTIF(WeeklyPicks!$D$332:$F$341,C3348)</f>
        <v>0</v>
      </c>
    </row>
    <row r="3349" spans="1:4" x14ac:dyDescent="0.3">
      <c r="A3349">
        <v>34</v>
      </c>
      <c r="B3349" t="s">
        <v>67</v>
      </c>
      <c r="C3349">
        <v>81</v>
      </c>
      <c r="D3349">
        <f>COUNTIF(WeeklyPicks!$D$332:$F$341,C3349)</f>
        <v>0</v>
      </c>
    </row>
    <row r="3350" spans="1:4" x14ac:dyDescent="0.3">
      <c r="A3350">
        <v>34</v>
      </c>
      <c r="B3350" t="s">
        <v>67</v>
      </c>
      <c r="C3350">
        <v>82</v>
      </c>
      <c r="D3350">
        <f>COUNTIF(WeeklyPicks!$D$332:$F$341,C3350)</f>
        <v>0</v>
      </c>
    </row>
    <row r="3351" spans="1:4" x14ac:dyDescent="0.3">
      <c r="A3351">
        <v>34</v>
      </c>
      <c r="B3351" t="s">
        <v>67</v>
      </c>
      <c r="C3351">
        <v>83</v>
      </c>
      <c r="D3351">
        <f>COUNTIF(WeeklyPicks!$D$332:$F$341,C3351)</f>
        <v>0</v>
      </c>
    </row>
    <row r="3352" spans="1:4" x14ac:dyDescent="0.3">
      <c r="A3352">
        <v>34</v>
      </c>
      <c r="B3352" t="s">
        <v>67</v>
      </c>
      <c r="C3352">
        <v>84</v>
      </c>
      <c r="D3352">
        <f>COUNTIF(WeeklyPicks!$D$332:$F$341,C3352)</f>
        <v>0</v>
      </c>
    </row>
    <row r="3353" spans="1:4" x14ac:dyDescent="0.3">
      <c r="A3353">
        <v>34</v>
      </c>
      <c r="B3353" t="s">
        <v>67</v>
      </c>
      <c r="C3353">
        <v>85</v>
      </c>
      <c r="D3353">
        <f>COUNTIF(WeeklyPicks!$D$332:$F$341,C3353)</f>
        <v>0</v>
      </c>
    </row>
    <row r="3354" spans="1:4" x14ac:dyDescent="0.3">
      <c r="A3354">
        <v>34</v>
      </c>
      <c r="B3354" t="s">
        <v>67</v>
      </c>
      <c r="C3354">
        <v>86</v>
      </c>
      <c r="D3354">
        <f>COUNTIF(WeeklyPicks!$D$332:$F$341,C3354)</f>
        <v>0</v>
      </c>
    </row>
    <row r="3355" spans="1:4" x14ac:dyDescent="0.3">
      <c r="A3355">
        <v>34</v>
      </c>
      <c r="B3355" t="s">
        <v>67</v>
      </c>
      <c r="C3355">
        <v>87</v>
      </c>
      <c r="D3355">
        <f>COUNTIF(WeeklyPicks!$D$332:$F$341,C3355)</f>
        <v>0</v>
      </c>
    </row>
    <row r="3356" spans="1:4" x14ac:dyDescent="0.3">
      <c r="A3356">
        <v>34</v>
      </c>
      <c r="B3356" t="s">
        <v>67</v>
      </c>
      <c r="C3356">
        <v>88</v>
      </c>
      <c r="D3356">
        <f>COUNTIF(WeeklyPicks!$D$332:$F$341,C3356)</f>
        <v>0</v>
      </c>
    </row>
    <row r="3357" spans="1:4" x14ac:dyDescent="0.3">
      <c r="A3357">
        <v>34</v>
      </c>
      <c r="B3357" t="s">
        <v>67</v>
      </c>
      <c r="C3357">
        <v>89</v>
      </c>
      <c r="D3357">
        <f>COUNTIF(WeeklyPicks!$D$332:$F$341,C3357)</f>
        <v>0</v>
      </c>
    </row>
    <row r="3358" spans="1:4" x14ac:dyDescent="0.3">
      <c r="A3358">
        <v>34</v>
      </c>
      <c r="B3358" t="s">
        <v>67</v>
      </c>
      <c r="C3358">
        <v>90</v>
      </c>
      <c r="D3358">
        <f>COUNTIF(WeeklyPicks!$D$332:$F$341,C3358)</f>
        <v>0</v>
      </c>
    </row>
    <row r="3359" spans="1:4" x14ac:dyDescent="0.3">
      <c r="A3359">
        <v>34</v>
      </c>
      <c r="B3359" t="s">
        <v>67</v>
      </c>
      <c r="C3359">
        <v>91</v>
      </c>
      <c r="D3359">
        <f>COUNTIF(WeeklyPicks!$D$332:$F$341,C3359)</f>
        <v>0</v>
      </c>
    </row>
    <row r="3360" spans="1:4" x14ac:dyDescent="0.3">
      <c r="A3360">
        <v>34</v>
      </c>
      <c r="B3360" t="s">
        <v>67</v>
      </c>
      <c r="C3360">
        <v>92</v>
      </c>
      <c r="D3360">
        <f>COUNTIF(WeeklyPicks!$D$332:$F$341,C3360)</f>
        <v>0</v>
      </c>
    </row>
    <row r="3361" spans="1:4" x14ac:dyDescent="0.3">
      <c r="A3361">
        <v>34</v>
      </c>
      <c r="B3361" t="s">
        <v>67</v>
      </c>
      <c r="C3361">
        <v>93</v>
      </c>
      <c r="D3361">
        <f>COUNTIF(WeeklyPicks!$D$332:$F$341,C3361)</f>
        <v>0</v>
      </c>
    </row>
    <row r="3362" spans="1:4" x14ac:dyDescent="0.3">
      <c r="A3362">
        <v>34</v>
      </c>
      <c r="B3362" t="s">
        <v>67</v>
      </c>
      <c r="C3362">
        <v>94</v>
      </c>
      <c r="D3362">
        <f>COUNTIF(WeeklyPicks!$D$332:$F$341,C3362)</f>
        <v>0</v>
      </c>
    </row>
    <row r="3363" spans="1:4" x14ac:dyDescent="0.3">
      <c r="A3363">
        <v>34</v>
      </c>
      <c r="B3363" t="s">
        <v>67</v>
      </c>
      <c r="C3363">
        <v>95</v>
      </c>
      <c r="D3363">
        <f>COUNTIF(WeeklyPicks!$D$332:$F$341,C3363)</f>
        <v>0</v>
      </c>
    </row>
    <row r="3364" spans="1:4" x14ac:dyDescent="0.3">
      <c r="A3364">
        <v>34</v>
      </c>
      <c r="B3364" t="s">
        <v>67</v>
      </c>
      <c r="C3364">
        <v>96</v>
      </c>
      <c r="D3364">
        <f>COUNTIF(WeeklyPicks!$D$332:$F$341,C3364)</f>
        <v>0</v>
      </c>
    </row>
    <row r="3365" spans="1:4" x14ac:dyDescent="0.3">
      <c r="A3365">
        <v>34</v>
      </c>
      <c r="B3365" t="s">
        <v>67</v>
      </c>
      <c r="C3365">
        <v>97</v>
      </c>
      <c r="D3365">
        <f>COUNTIF(WeeklyPicks!$D$332:$F$341,C3365)</f>
        <v>0</v>
      </c>
    </row>
    <row r="3366" spans="1:4" x14ac:dyDescent="0.3">
      <c r="A3366">
        <v>34</v>
      </c>
      <c r="B3366" t="s">
        <v>67</v>
      </c>
      <c r="C3366">
        <v>98</v>
      </c>
      <c r="D3366">
        <f>COUNTIF(WeeklyPicks!$D$332:$F$341,C3366)</f>
        <v>0</v>
      </c>
    </row>
    <row r="3367" spans="1:4" x14ac:dyDescent="0.3">
      <c r="A3367">
        <v>34</v>
      </c>
      <c r="B3367" t="s">
        <v>67</v>
      </c>
      <c r="C3367">
        <v>99</v>
      </c>
      <c r="D3367">
        <f>COUNTIF(WeeklyPicks!$D$332:$F$341,C3367)</f>
        <v>0</v>
      </c>
    </row>
    <row r="3368" spans="1:4" x14ac:dyDescent="0.3">
      <c r="A3368">
        <v>35</v>
      </c>
      <c r="B3368" t="s">
        <v>61</v>
      </c>
      <c r="C3368">
        <v>1</v>
      </c>
      <c r="D3368">
        <f>COUNTIF(WeeklyPicks!$D$342:$F$351,C3368)</f>
        <v>0</v>
      </c>
    </row>
    <row r="3369" spans="1:4" x14ac:dyDescent="0.3">
      <c r="A3369">
        <v>35</v>
      </c>
      <c r="B3369" t="s">
        <v>61</v>
      </c>
      <c r="C3369">
        <v>2</v>
      </c>
      <c r="D3369">
        <f>COUNTIF(WeeklyPicks!$D$342:$F$351,C3369)</f>
        <v>0</v>
      </c>
    </row>
    <row r="3370" spans="1:4" x14ac:dyDescent="0.3">
      <c r="A3370">
        <v>35</v>
      </c>
      <c r="B3370" t="s">
        <v>61</v>
      </c>
      <c r="C3370">
        <v>3</v>
      </c>
      <c r="D3370">
        <f>COUNTIF(WeeklyPicks!$D$342:$F$351,C3370)</f>
        <v>0</v>
      </c>
    </row>
    <row r="3371" spans="1:4" x14ac:dyDescent="0.3">
      <c r="A3371">
        <v>35</v>
      </c>
      <c r="B3371" t="s">
        <v>61</v>
      </c>
      <c r="C3371">
        <v>4</v>
      </c>
      <c r="D3371">
        <f>COUNTIF(WeeklyPicks!$D$342:$F$351,C3371)</f>
        <v>0</v>
      </c>
    </row>
    <row r="3372" spans="1:4" x14ac:dyDescent="0.3">
      <c r="A3372">
        <v>35</v>
      </c>
      <c r="B3372" t="s">
        <v>61</v>
      </c>
      <c r="C3372">
        <v>5</v>
      </c>
      <c r="D3372">
        <f>COUNTIF(WeeklyPicks!$D$342:$F$351,C3372)</f>
        <v>0</v>
      </c>
    </row>
    <row r="3373" spans="1:4" x14ac:dyDescent="0.3">
      <c r="A3373">
        <v>35</v>
      </c>
      <c r="B3373" t="s">
        <v>61</v>
      </c>
      <c r="C3373">
        <v>6</v>
      </c>
      <c r="D3373">
        <f>COUNTIF(WeeklyPicks!$D$342:$F$351,C3373)</f>
        <v>0</v>
      </c>
    </row>
    <row r="3374" spans="1:4" x14ac:dyDescent="0.3">
      <c r="A3374">
        <v>35</v>
      </c>
      <c r="B3374" t="s">
        <v>61</v>
      </c>
      <c r="C3374">
        <v>7</v>
      </c>
      <c r="D3374">
        <f>COUNTIF(WeeklyPicks!$D$342:$F$351,C3374)</f>
        <v>0</v>
      </c>
    </row>
    <row r="3375" spans="1:4" x14ac:dyDescent="0.3">
      <c r="A3375">
        <v>35</v>
      </c>
      <c r="B3375" t="s">
        <v>61</v>
      </c>
      <c r="C3375">
        <v>8</v>
      </c>
      <c r="D3375">
        <f>COUNTIF(WeeklyPicks!$D$342:$F$351,C3375)</f>
        <v>0</v>
      </c>
    </row>
    <row r="3376" spans="1:4" x14ac:dyDescent="0.3">
      <c r="A3376">
        <v>35</v>
      </c>
      <c r="B3376" t="s">
        <v>61</v>
      </c>
      <c r="C3376">
        <v>9</v>
      </c>
      <c r="D3376">
        <f>COUNTIF(WeeklyPicks!$D$342:$F$351,C3376)</f>
        <v>0</v>
      </c>
    </row>
    <row r="3377" spans="1:4" x14ac:dyDescent="0.3">
      <c r="A3377">
        <v>35</v>
      </c>
      <c r="B3377" t="s">
        <v>61</v>
      </c>
      <c r="C3377">
        <v>10</v>
      </c>
      <c r="D3377">
        <f>COUNTIF(WeeklyPicks!$D$342:$F$351,C3377)</f>
        <v>0</v>
      </c>
    </row>
    <row r="3378" spans="1:4" x14ac:dyDescent="0.3">
      <c r="A3378">
        <v>35</v>
      </c>
      <c r="B3378" t="s">
        <v>61</v>
      </c>
      <c r="C3378">
        <v>11</v>
      </c>
      <c r="D3378">
        <f>COUNTIF(WeeklyPicks!$D$342:$F$351,C3378)</f>
        <v>0</v>
      </c>
    </row>
    <row r="3379" spans="1:4" x14ac:dyDescent="0.3">
      <c r="A3379">
        <v>35</v>
      </c>
      <c r="B3379" t="s">
        <v>61</v>
      </c>
      <c r="C3379">
        <v>12</v>
      </c>
      <c r="D3379">
        <f>COUNTIF(WeeklyPicks!$D$342:$F$351,C3379)</f>
        <v>0</v>
      </c>
    </row>
    <row r="3380" spans="1:4" x14ac:dyDescent="0.3">
      <c r="A3380">
        <v>35</v>
      </c>
      <c r="B3380" t="s">
        <v>61</v>
      </c>
      <c r="C3380">
        <v>13</v>
      </c>
      <c r="D3380">
        <f>COUNTIF(WeeklyPicks!$D$342:$F$351,C3380)</f>
        <v>0</v>
      </c>
    </row>
    <row r="3381" spans="1:4" x14ac:dyDescent="0.3">
      <c r="A3381">
        <v>35</v>
      </c>
      <c r="B3381" t="s">
        <v>61</v>
      </c>
      <c r="C3381">
        <v>14</v>
      </c>
      <c r="D3381">
        <f>COUNTIF(WeeklyPicks!$D$342:$F$351,C3381)</f>
        <v>0</v>
      </c>
    </row>
    <row r="3382" spans="1:4" x14ac:dyDescent="0.3">
      <c r="A3382">
        <v>35</v>
      </c>
      <c r="B3382" t="s">
        <v>61</v>
      </c>
      <c r="C3382">
        <v>15</v>
      </c>
      <c r="D3382">
        <f>COUNTIF(WeeklyPicks!$D$342:$F$351,C3382)</f>
        <v>0</v>
      </c>
    </row>
    <row r="3383" spans="1:4" x14ac:dyDescent="0.3">
      <c r="A3383">
        <v>35</v>
      </c>
      <c r="B3383" t="s">
        <v>61</v>
      </c>
      <c r="C3383">
        <v>16</v>
      </c>
      <c r="D3383">
        <f>COUNTIF(WeeklyPicks!$D$342:$F$351,C3383)</f>
        <v>0</v>
      </c>
    </row>
    <row r="3384" spans="1:4" x14ac:dyDescent="0.3">
      <c r="A3384">
        <v>35</v>
      </c>
      <c r="B3384" t="s">
        <v>61</v>
      </c>
      <c r="C3384">
        <v>17</v>
      </c>
      <c r="D3384">
        <f>COUNTIF(WeeklyPicks!$D$342:$F$351,C3384)</f>
        <v>0</v>
      </c>
    </row>
    <row r="3385" spans="1:4" x14ac:dyDescent="0.3">
      <c r="A3385">
        <v>35</v>
      </c>
      <c r="B3385" t="s">
        <v>61</v>
      </c>
      <c r="C3385">
        <v>18</v>
      </c>
      <c r="D3385">
        <f>COUNTIF(WeeklyPicks!$D$342:$F$351,C3385)</f>
        <v>0</v>
      </c>
    </row>
    <row r="3386" spans="1:4" x14ac:dyDescent="0.3">
      <c r="A3386">
        <v>35</v>
      </c>
      <c r="B3386" t="s">
        <v>61</v>
      </c>
      <c r="C3386">
        <v>19</v>
      </c>
      <c r="D3386">
        <f>COUNTIF(WeeklyPicks!$D$342:$F$351,C3386)</f>
        <v>0</v>
      </c>
    </row>
    <row r="3387" spans="1:4" x14ac:dyDescent="0.3">
      <c r="A3387">
        <v>35</v>
      </c>
      <c r="B3387" t="s">
        <v>61</v>
      </c>
      <c r="C3387">
        <v>20</v>
      </c>
      <c r="D3387">
        <f>COUNTIF(WeeklyPicks!$D$342:$F$351,C3387)</f>
        <v>0</v>
      </c>
    </row>
    <row r="3388" spans="1:4" x14ac:dyDescent="0.3">
      <c r="A3388">
        <v>35</v>
      </c>
      <c r="B3388" t="s">
        <v>61</v>
      </c>
      <c r="C3388">
        <v>21</v>
      </c>
      <c r="D3388">
        <f>COUNTIF(WeeklyPicks!$D$342:$F$351,C3388)</f>
        <v>0</v>
      </c>
    </row>
    <row r="3389" spans="1:4" x14ac:dyDescent="0.3">
      <c r="A3389">
        <v>35</v>
      </c>
      <c r="B3389" t="s">
        <v>61</v>
      </c>
      <c r="C3389">
        <v>22</v>
      </c>
      <c r="D3389">
        <f>COUNTIF(WeeklyPicks!$D$342:$F$351,C3389)</f>
        <v>0</v>
      </c>
    </row>
    <row r="3390" spans="1:4" x14ac:dyDescent="0.3">
      <c r="A3390">
        <v>35</v>
      </c>
      <c r="B3390" t="s">
        <v>61</v>
      </c>
      <c r="C3390">
        <v>23</v>
      </c>
      <c r="D3390">
        <f>COUNTIF(WeeklyPicks!$D$342:$F$351,C3390)</f>
        <v>0</v>
      </c>
    </row>
    <row r="3391" spans="1:4" x14ac:dyDescent="0.3">
      <c r="A3391">
        <v>35</v>
      </c>
      <c r="B3391" t="s">
        <v>61</v>
      </c>
      <c r="C3391">
        <v>24</v>
      </c>
      <c r="D3391">
        <f>COUNTIF(WeeklyPicks!$D$342:$F$351,C3391)</f>
        <v>0</v>
      </c>
    </row>
    <row r="3392" spans="1:4" x14ac:dyDescent="0.3">
      <c r="A3392">
        <v>35</v>
      </c>
      <c r="B3392" t="s">
        <v>61</v>
      </c>
      <c r="C3392">
        <v>25</v>
      </c>
      <c r="D3392">
        <f>COUNTIF(WeeklyPicks!$D$342:$F$351,C3392)</f>
        <v>0</v>
      </c>
    </row>
    <row r="3393" spans="1:4" x14ac:dyDescent="0.3">
      <c r="A3393">
        <v>35</v>
      </c>
      <c r="B3393" t="s">
        <v>61</v>
      </c>
      <c r="C3393">
        <v>26</v>
      </c>
      <c r="D3393">
        <f>COUNTIF(WeeklyPicks!$D$342:$F$351,C3393)</f>
        <v>0</v>
      </c>
    </row>
    <row r="3394" spans="1:4" x14ac:dyDescent="0.3">
      <c r="A3394">
        <v>35</v>
      </c>
      <c r="B3394" t="s">
        <v>61</v>
      </c>
      <c r="C3394">
        <v>27</v>
      </c>
      <c r="D3394">
        <f>COUNTIF(WeeklyPicks!$D$342:$F$351,C3394)</f>
        <v>0</v>
      </c>
    </row>
    <row r="3395" spans="1:4" x14ac:dyDescent="0.3">
      <c r="A3395">
        <v>35</v>
      </c>
      <c r="B3395" t="s">
        <v>61</v>
      </c>
      <c r="C3395">
        <v>28</v>
      </c>
      <c r="D3395">
        <f>COUNTIF(WeeklyPicks!$D$342:$F$351,C3395)</f>
        <v>0</v>
      </c>
    </row>
    <row r="3396" spans="1:4" x14ac:dyDescent="0.3">
      <c r="A3396">
        <v>35</v>
      </c>
      <c r="B3396" t="s">
        <v>61</v>
      </c>
      <c r="C3396">
        <v>29</v>
      </c>
      <c r="D3396">
        <f>COUNTIF(WeeklyPicks!$D$342:$F$351,C3396)</f>
        <v>0</v>
      </c>
    </row>
    <row r="3397" spans="1:4" x14ac:dyDescent="0.3">
      <c r="A3397">
        <v>35</v>
      </c>
      <c r="B3397" t="s">
        <v>61</v>
      </c>
      <c r="C3397">
        <v>30</v>
      </c>
      <c r="D3397">
        <f>COUNTIF(WeeklyPicks!$D$342:$F$351,C3397)</f>
        <v>0</v>
      </c>
    </row>
    <row r="3398" spans="1:4" x14ac:dyDescent="0.3">
      <c r="A3398">
        <v>35</v>
      </c>
      <c r="B3398" t="s">
        <v>61</v>
      </c>
      <c r="C3398">
        <v>31</v>
      </c>
      <c r="D3398">
        <f>COUNTIF(WeeklyPicks!$D$342:$F$351,C3398)</f>
        <v>0</v>
      </c>
    </row>
    <row r="3399" spans="1:4" x14ac:dyDescent="0.3">
      <c r="A3399">
        <v>35</v>
      </c>
      <c r="B3399" t="s">
        <v>61</v>
      </c>
      <c r="C3399">
        <v>32</v>
      </c>
      <c r="D3399">
        <f>COUNTIF(WeeklyPicks!$D$342:$F$351,C3399)</f>
        <v>0</v>
      </c>
    </row>
    <row r="3400" spans="1:4" x14ac:dyDescent="0.3">
      <c r="A3400">
        <v>35</v>
      </c>
      <c r="B3400" t="s">
        <v>61</v>
      </c>
      <c r="C3400">
        <v>33</v>
      </c>
      <c r="D3400">
        <f>COUNTIF(WeeklyPicks!$D$342:$F$351,C3400)</f>
        <v>0</v>
      </c>
    </row>
    <row r="3401" spans="1:4" x14ac:dyDescent="0.3">
      <c r="A3401">
        <v>35</v>
      </c>
      <c r="B3401" t="s">
        <v>61</v>
      </c>
      <c r="C3401">
        <v>34</v>
      </c>
      <c r="D3401">
        <f>COUNTIF(WeeklyPicks!$D$342:$F$351,C3401)</f>
        <v>0</v>
      </c>
    </row>
    <row r="3402" spans="1:4" x14ac:dyDescent="0.3">
      <c r="A3402">
        <v>35</v>
      </c>
      <c r="B3402" t="s">
        <v>61</v>
      </c>
      <c r="C3402">
        <v>35</v>
      </c>
      <c r="D3402">
        <f>COUNTIF(WeeklyPicks!$D$342:$F$351,C3402)</f>
        <v>0</v>
      </c>
    </row>
    <row r="3403" spans="1:4" x14ac:dyDescent="0.3">
      <c r="A3403">
        <v>35</v>
      </c>
      <c r="B3403" t="s">
        <v>61</v>
      </c>
      <c r="C3403">
        <v>36</v>
      </c>
      <c r="D3403">
        <f>COUNTIF(WeeklyPicks!$D$342:$F$351,C3403)</f>
        <v>0</v>
      </c>
    </row>
    <row r="3404" spans="1:4" x14ac:dyDescent="0.3">
      <c r="A3404">
        <v>35</v>
      </c>
      <c r="B3404" t="s">
        <v>61</v>
      </c>
      <c r="C3404">
        <v>37</v>
      </c>
      <c r="D3404">
        <f>COUNTIF(WeeklyPicks!$D$342:$F$351,C3404)</f>
        <v>0</v>
      </c>
    </row>
    <row r="3405" spans="1:4" x14ac:dyDescent="0.3">
      <c r="A3405">
        <v>35</v>
      </c>
      <c r="B3405" t="s">
        <v>61</v>
      </c>
      <c r="C3405">
        <v>38</v>
      </c>
      <c r="D3405">
        <f>COUNTIF(WeeklyPicks!$D$342:$F$351,C3405)</f>
        <v>0</v>
      </c>
    </row>
    <row r="3406" spans="1:4" x14ac:dyDescent="0.3">
      <c r="A3406">
        <v>35</v>
      </c>
      <c r="B3406" t="s">
        <v>61</v>
      </c>
      <c r="C3406">
        <v>39</v>
      </c>
      <c r="D3406">
        <f>COUNTIF(WeeklyPicks!$D$342:$F$351,C3406)</f>
        <v>0</v>
      </c>
    </row>
    <row r="3407" spans="1:4" x14ac:dyDescent="0.3">
      <c r="A3407">
        <v>35</v>
      </c>
      <c r="B3407" t="s">
        <v>61</v>
      </c>
      <c r="C3407">
        <v>40</v>
      </c>
      <c r="D3407">
        <f>COUNTIF(WeeklyPicks!$D$342:$F$351,C3407)</f>
        <v>0</v>
      </c>
    </row>
    <row r="3408" spans="1:4" x14ac:dyDescent="0.3">
      <c r="A3408">
        <v>35</v>
      </c>
      <c r="B3408" t="s">
        <v>61</v>
      </c>
      <c r="C3408">
        <v>41</v>
      </c>
      <c r="D3408">
        <f>COUNTIF(WeeklyPicks!$D$342:$F$351,C3408)</f>
        <v>0</v>
      </c>
    </row>
    <row r="3409" spans="1:4" x14ac:dyDescent="0.3">
      <c r="A3409">
        <v>35</v>
      </c>
      <c r="B3409" t="s">
        <v>61</v>
      </c>
      <c r="C3409">
        <v>42</v>
      </c>
      <c r="D3409">
        <f>COUNTIF(WeeklyPicks!$D$342:$F$351,C3409)</f>
        <v>0</v>
      </c>
    </row>
    <row r="3410" spans="1:4" x14ac:dyDescent="0.3">
      <c r="A3410">
        <v>35</v>
      </c>
      <c r="B3410" t="s">
        <v>61</v>
      </c>
      <c r="C3410">
        <v>43</v>
      </c>
      <c r="D3410">
        <f>COUNTIF(WeeklyPicks!$D$342:$F$351,C3410)</f>
        <v>0</v>
      </c>
    </row>
    <row r="3411" spans="1:4" x14ac:dyDescent="0.3">
      <c r="A3411">
        <v>35</v>
      </c>
      <c r="B3411" t="s">
        <v>61</v>
      </c>
      <c r="C3411">
        <v>44</v>
      </c>
      <c r="D3411">
        <f>COUNTIF(WeeklyPicks!$D$342:$F$351,C3411)</f>
        <v>0</v>
      </c>
    </row>
    <row r="3412" spans="1:4" x14ac:dyDescent="0.3">
      <c r="A3412">
        <v>35</v>
      </c>
      <c r="B3412" t="s">
        <v>61</v>
      </c>
      <c r="C3412">
        <v>45</v>
      </c>
      <c r="D3412">
        <f>COUNTIF(WeeklyPicks!$D$342:$F$351,C3412)</f>
        <v>0</v>
      </c>
    </row>
    <row r="3413" spans="1:4" x14ac:dyDescent="0.3">
      <c r="A3413">
        <v>35</v>
      </c>
      <c r="B3413" t="s">
        <v>61</v>
      </c>
      <c r="C3413">
        <v>46</v>
      </c>
      <c r="D3413">
        <f>COUNTIF(WeeklyPicks!$D$342:$F$351,C3413)</f>
        <v>0</v>
      </c>
    </row>
    <row r="3414" spans="1:4" x14ac:dyDescent="0.3">
      <c r="A3414">
        <v>35</v>
      </c>
      <c r="B3414" t="s">
        <v>61</v>
      </c>
      <c r="C3414">
        <v>47</v>
      </c>
      <c r="D3414">
        <f>COUNTIF(WeeklyPicks!$D$342:$F$351,C3414)</f>
        <v>0</v>
      </c>
    </row>
    <row r="3415" spans="1:4" x14ac:dyDescent="0.3">
      <c r="A3415">
        <v>35</v>
      </c>
      <c r="B3415" t="s">
        <v>61</v>
      </c>
      <c r="C3415">
        <v>48</v>
      </c>
      <c r="D3415">
        <f>COUNTIF(WeeklyPicks!$D$342:$F$351,C3415)</f>
        <v>0</v>
      </c>
    </row>
    <row r="3416" spans="1:4" x14ac:dyDescent="0.3">
      <c r="A3416">
        <v>35</v>
      </c>
      <c r="B3416" t="s">
        <v>61</v>
      </c>
      <c r="C3416">
        <v>49</v>
      </c>
      <c r="D3416">
        <f>COUNTIF(WeeklyPicks!$D$342:$F$351,C3416)</f>
        <v>0</v>
      </c>
    </row>
    <row r="3417" spans="1:4" x14ac:dyDescent="0.3">
      <c r="A3417">
        <v>35</v>
      </c>
      <c r="B3417" t="s">
        <v>61</v>
      </c>
      <c r="C3417">
        <v>50</v>
      </c>
      <c r="D3417">
        <f>COUNTIF(WeeklyPicks!$D$342:$F$351,C3417)</f>
        <v>0</v>
      </c>
    </row>
    <row r="3418" spans="1:4" x14ac:dyDescent="0.3">
      <c r="A3418">
        <v>35</v>
      </c>
      <c r="B3418" t="s">
        <v>61</v>
      </c>
      <c r="C3418">
        <v>51</v>
      </c>
      <c r="D3418">
        <f>COUNTIF(WeeklyPicks!$D$342:$F$351,C3418)</f>
        <v>0</v>
      </c>
    </row>
    <row r="3419" spans="1:4" x14ac:dyDescent="0.3">
      <c r="A3419">
        <v>35</v>
      </c>
      <c r="B3419" t="s">
        <v>61</v>
      </c>
      <c r="C3419">
        <v>52</v>
      </c>
      <c r="D3419">
        <f>COUNTIF(WeeklyPicks!$D$342:$F$351,C3419)</f>
        <v>0</v>
      </c>
    </row>
    <row r="3420" spans="1:4" x14ac:dyDescent="0.3">
      <c r="A3420">
        <v>35</v>
      </c>
      <c r="B3420" t="s">
        <v>61</v>
      </c>
      <c r="C3420">
        <v>53</v>
      </c>
      <c r="D3420">
        <f>COUNTIF(WeeklyPicks!$D$342:$F$351,C3420)</f>
        <v>0</v>
      </c>
    </row>
    <row r="3421" spans="1:4" x14ac:dyDescent="0.3">
      <c r="A3421">
        <v>35</v>
      </c>
      <c r="B3421" t="s">
        <v>61</v>
      </c>
      <c r="C3421">
        <v>54</v>
      </c>
      <c r="D3421">
        <f>COUNTIF(WeeklyPicks!$D$342:$F$351,C3421)</f>
        <v>0</v>
      </c>
    </row>
    <row r="3422" spans="1:4" x14ac:dyDescent="0.3">
      <c r="A3422">
        <v>35</v>
      </c>
      <c r="B3422" t="s">
        <v>61</v>
      </c>
      <c r="C3422">
        <v>55</v>
      </c>
      <c r="D3422">
        <f>COUNTIF(WeeklyPicks!$D$342:$F$351,C3422)</f>
        <v>0</v>
      </c>
    </row>
    <row r="3423" spans="1:4" x14ac:dyDescent="0.3">
      <c r="A3423">
        <v>35</v>
      </c>
      <c r="B3423" t="s">
        <v>61</v>
      </c>
      <c r="C3423">
        <v>56</v>
      </c>
      <c r="D3423">
        <f>COUNTIF(WeeklyPicks!$D$342:$F$351,C3423)</f>
        <v>0</v>
      </c>
    </row>
    <row r="3424" spans="1:4" x14ac:dyDescent="0.3">
      <c r="A3424">
        <v>35</v>
      </c>
      <c r="B3424" t="s">
        <v>61</v>
      </c>
      <c r="C3424">
        <v>57</v>
      </c>
      <c r="D3424">
        <f>COUNTIF(WeeklyPicks!$D$342:$F$351,C3424)</f>
        <v>0</v>
      </c>
    </row>
    <row r="3425" spans="1:4" x14ac:dyDescent="0.3">
      <c r="A3425">
        <v>35</v>
      </c>
      <c r="B3425" t="s">
        <v>61</v>
      </c>
      <c r="C3425">
        <v>58</v>
      </c>
      <c r="D3425">
        <f>COUNTIF(WeeklyPicks!$D$342:$F$351,C3425)</f>
        <v>0</v>
      </c>
    </row>
    <row r="3426" spans="1:4" x14ac:dyDescent="0.3">
      <c r="A3426">
        <v>35</v>
      </c>
      <c r="B3426" t="s">
        <v>61</v>
      </c>
      <c r="C3426">
        <v>59</v>
      </c>
      <c r="D3426">
        <f>COUNTIF(WeeklyPicks!$D$342:$F$351,C3426)</f>
        <v>0</v>
      </c>
    </row>
    <row r="3427" spans="1:4" x14ac:dyDescent="0.3">
      <c r="A3427">
        <v>35</v>
      </c>
      <c r="B3427" t="s">
        <v>61</v>
      </c>
      <c r="C3427">
        <v>60</v>
      </c>
      <c r="D3427">
        <f>COUNTIF(WeeklyPicks!$D$342:$F$351,C3427)</f>
        <v>0</v>
      </c>
    </row>
    <row r="3428" spans="1:4" x14ac:dyDescent="0.3">
      <c r="A3428">
        <v>35</v>
      </c>
      <c r="B3428" t="s">
        <v>61</v>
      </c>
      <c r="C3428">
        <v>61</v>
      </c>
      <c r="D3428">
        <f>COUNTIF(WeeklyPicks!$D$342:$F$351,C3428)</f>
        <v>0</v>
      </c>
    </row>
    <row r="3429" spans="1:4" x14ac:dyDescent="0.3">
      <c r="A3429">
        <v>35</v>
      </c>
      <c r="B3429" t="s">
        <v>61</v>
      </c>
      <c r="C3429">
        <v>62</v>
      </c>
      <c r="D3429">
        <f>COUNTIF(WeeklyPicks!$D$342:$F$351,C3429)</f>
        <v>0</v>
      </c>
    </row>
    <row r="3430" spans="1:4" x14ac:dyDescent="0.3">
      <c r="A3430">
        <v>35</v>
      </c>
      <c r="B3430" t="s">
        <v>61</v>
      </c>
      <c r="C3430">
        <v>63</v>
      </c>
      <c r="D3430">
        <f>COUNTIF(WeeklyPicks!$D$342:$F$351,C3430)</f>
        <v>0</v>
      </c>
    </row>
    <row r="3431" spans="1:4" x14ac:dyDescent="0.3">
      <c r="A3431">
        <v>35</v>
      </c>
      <c r="B3431" t="s">
        <v>61</v>
      </c>
      <c r="C3431">
        <v>64</v>
      </c>
      <c r="D3431">
        <f>COUNTIF(WeeklyPicks!$D$342:$F$351,C3431)</f>
        <v>0</v>
      </c>
    </row>
    <row r="3432" spans="1:4" x14ac:dyDescent="0.3">
      <c r="A3432">
        <v>35</v>
      </c>
      <c r="B3432" t="s">
        <v>61</v>
      </c>
      <c r="C3432">
        <v>65</v>
      </c>
      <c r="D3432">
        <f>COUNTIF(WeeklyPicks!$D$342:$F$351,C3432)</f>
        <v>0</v>
      </c>
    </row>
    <row r="3433" spans="1:4" x14ac:dyDescent="0.3">
      <c r="A3433">
        <v>35</v>
      </c>
      <c r="B3433" t="s">
        <v>61</v>
      </c>
      <c r="C3433">
        <v>66</v>
      </c>
      <c r="D3433">
        <f>COUNTIF(WeeklyPicks!$D$342:$F$351,C3433)</f>
        <v>0</v>
      </c>
    </row>
    <row r="3434" spans="1:4" x14ac:dyDescent="0.3">
      <c r="A3434">
        <v>35</v>
      </c>
      <c r="B3434" t="s">
        <v>61</v>
      </c>
      <c r="C3434">
        <v>67</v>
      </c>
      <c r="D3434">
        <f>COUNTIF(WeeklyPicks!$D$342:$F$351,C3434)</f>
        <v>0</v>
      </c>
    </row>
    <row r="3435" spans="1:4" x14ac:dyDescent="0.3">
      <c r="A3435">
        <v>35</v>
      </c>
      <c r="B3435" t="s">
        <v>61</v>
      </c>
      <c r="C3435">
        <v>68</v>
      </c>
      <c r="D3435">
        <f>COUNTIF(WeeklyPicks!$D$342:$F$351,C3435)</f>
        <v>0</v>
      </c>
    </row>
    <row r="3436" spans="1:4" x14ac:dyDescent="0.3">
      <c r="A3436">
        <v>35</v>
      </c>
      <c r="B3436" t="s">
        <v>61</v>
      </c>
      <c r="C3436">
        <v>69</v>
      </c>
      <c r="D3436">
        <f>COUNTIF(WeeklyPicks!$D$342:$F$351,C3436)</f>
        <v>0</v>
      </c>
    </row>
    <row r="3437" spans="1:4" x14ac:dyDescent="0.3">
      <c r="A3437">
        <v>35</v>
      </c>
      <c r="B3437" t="s">
        <v>61</v>
      </c>
      <c r="C3437">
        <v>70</v>
      </c>
      <c r="D3437">
        <f>COUNTIF(WeeklyPicks!$D$342:$F$351,C3437)</f>
        <v>0</v>
      </c>
    </row>
    <row r="3438" spans="1:4" x14ac:dyDescent="0.3">
      <c r="A3438">
        <v>35</v>
      </c>
      <c r="B3438" t="s">
        <v>61</v>
      </c>
      <c r="C3438">
        <v>71</v>
      </c>
      <c r="D3438">
        <f>COUNTIF(WeeklyPicks!$D$342:$F$351,C3438)</f>
        <v>0</v>
      </c>
    </row>
    <row r="3439" spans="1:4" x14ac:dyDescent="0.3">
      <c r="A3439">
        <v>35</v>
      </c>
      <c r="B3439" t="s">
        <v>61</v>
      </c>
      <c r="C3439">
        <v>72</v>
      </c>
      <c r="D3439">
        <f>COUNTIF(WeeklyPicks!$D$342:$F$351,C3439)</f>
        <v>0</v>
      </c>
    </row>
    <row r="3440" spans="1:4" x14ac:dyDescent="0.3">
      <c r="A3440">
        <v>35</v>
      </c>
      <c r="B3440" t="s">
        <v>61</v>
      </c>
      <c r="C3440">
        <v>73</v>
      </c>
      <c r="D3440">
        <f>COUNTIF(WeeklyPicks!$D$342:$F$351,C3440)</f>
        <v>0</v>
      </c>
    </row>
    <row r="3441" spans="1:4" x14ac:dyDescent="0.3">
      <c r="A3441">
        <v>35</v>
      </c>
      <c r="B3441" t="s">
        <v>61</v>
      </c>
      <c r="C3441">
        <v>74</v>
      </c>
      <c r="D3441">
        <f>COUNTIF(WeeklyPicks!$D$342:$F$351,C3441)</f>
        <v>0</v>
      </c>
    </row>
    <row r="3442" spans="1:4" x14ac:dyDescent="0.3">
      <c r="A3442">
        <v>35</v>
      </c>
      <c r="B3442" t="s">
        <v>61</v>
      </c>
      <c r="C3442">
        <v>75</v>
      </c>
      <c r="D3442">
        <f>COUNTIF(WeeklyPicks!$D$342:$F$351,C3442)</f>
        <v>0</v>
      </c>
    </row>
    <row r="3443" spans="1:4" x14ac:dyDescent="0.3">
      <c r="A3443">
        <v>35</v>
      </c>
      <c r="B3443" t="s">
        <v>61</v>
      </c>
      <c r="C3443">
        <v>76</v>
      </c>
      <c r="D3443">
        <f>COUNTIF(WeeklyPicks!$D$342:$F$351,C3443)</f>
        <v>0</v>
      </c>
    </row>
    <row r="3444" spans="1:4" x14ac:dyDescent="0.3">
      <c r="A3444">
        <v>35</v>
      </c>
      <c r="B3444" t="s">
        <v>61</v>
      </c>
      <c r="C3444">
        <v>77</v>
      </c>
      <c r="D3444">
        <f>COUNTIF(WeeklyPicks!$D$342:$F$351,C3444)</f>
        <v>0</v>
      </c>
    </row>
    <row r="3445" spans="1:4" x14ac:dyDescent="0.3">
      <c r="A3445">
        <v>35</v>
      </c>
      <c r="B3445" t="s">
        <v>61</v>
      </c>
      <c r="C3445">
        <v>78</v>
      </c>
      <c r="D3445">
        <f>COUNTIF(WeeklyPicks!$D$342:$F$351,C3445)</f>
        <v>0</v>
      </c>
    </row>
    <row r="3446" spans="1:4" x14ac:dyDescent="0.3">
      <c r="A3446">
        <v>35</v>
      </c>
      <c r="B3446" t="s">
        <v>61</v>
      </c>
      <c r="C3446">
        <v>79</v>
      </c>
      <c r="D3446">
        <f>COUNTIF(WeeklyPicks!$D$342:$F$351,C3446)</f>
        <v>0</v>
      </c>
    </row>
    <row r="3447" spans="1:4" x14ac:dyDescent="0.3">
      <c r="A3447">
        <v>35</v>
      </c>
      <c r="B3447" t="s">
        <v>61</v>
      </c>
      <c r="C3447">
        <v>80</v>
      </c>
      <c r="D3447">
        <f>COUNTIF(WeeklyPicks!$D$342:$F$351,C3447)</f>
        <v>0</v>
      </c>
    </row>
    <row r="3448" spans="1:4" x14ac:dyDescent="0.3">
      <c r="A3448">
        <v>35</v>
      </c>
      <c r="B3448" t="s">
        <v>61</v>
      </c>
      <c r="C3448">
        <v>81</v>
      </c>
      <c r="D3448">
        <f>COUNTIF(WeeklyPicks!$D$342:$F$351,C3448)</f>
        <v>0</v>
      </c>
    </row>
    <row r="3449" spans="1:4" x14ac:dyDescent="0.3">
      <c r="A3449">
        <v>35</v>
      </c>
      <c r="B3449" t="s">
        <v>61</v>
      </c>
      <c r="C3449">
        <v>82</v>
      </c>
      <c r="D3449">
        <f>COUNTIF(WeeklyPicks!$D$342:$F$351,C3449)</f>
        <v>0</v>
      </c>
    </row>
    <row r="3450" spans="1:4" x14ac:dyDescent="0.3">
      <c r="A3450">
        <v>35</v>
      </c>
      <c r="B3450" t="s">
        <v>61</v>
      </c>
      <c r="C3450">
        <v>83</v>
      </c>
      <c r="D3450">
        <f>COUNTIF(WeeklyPicks!$D$342:$F$351,C3450)</f>
        <v>0</v>
      </c>
    </row>
    <row r="3451" spans="1:4" x14ac:dyDescent="0.3">
      <c r="A3451">
        <v>35</v>
      </c>
      <c r="B3451" t="s">
        <v>61</v>
      </c>
      <c r="C3451">
        <v>84</v>
      </c>
      <c r="D3451">
        <f>COUNTIF(WeeklyPicks!$D$342:$F$351,C3451)</f>
        <v>0</v>
      </c>
    </row>
    <row r="3452" spans="1:4" x14ac:dyDescent="0.3">
      <c r="A3452">
        <v>35</v>
      </c>
      <c r="B3452" t="s">
        <v>61</v>
      </c>
      <c r="C3452">
        <v>85</v>
      </c>
      <c r="D3452">
        <f>COUNTIF(WeeklyPicks!$D$342:$F$351,C3452)</f>
        <v>0</v>
      </c>
    </row>
    <row r="3453" spans="1:4" x14ac:dyDescent="0.3">
      <c r="A3453">
        <v>35</v>
      </c>
      <c r="B3453" t="s">
        <v>61</v>
      </c>
      <c r="C3453">
        <v>86</v>
      </c>
      <c r="D3453">
        <f>COUNTIF(WeeklyPicks!$D$342:$F$351,C3453)</f>
        <v>0</v>
      </c>
    </row>
    <row r="3454" spans="1:4" x14ac:dyDescent="0.3">
      <c r="A3454">
        <v>35</v>
      </c>
      <c r="B3454" t="s">
        <v>61</v>
      </c>
      <c r="C3454">
        <v>87</v>
      </c>
      <c r="D3454">
        <f>COUNTIF(WeeklyPicks!$D$342:$F$351,C3454)</f>
        <v>0</v>
      </c>
    </row>
    <row r="3455" spans="1:4" x14ac:dyDescent="0.3">
      <c r="A3455">
        <v>35</v>
      </c>
      <c r="B3455" t="s">
        <v>61</v>
      </c>
      <c r="C3455">
        <v>88</v>
      </c>
      <c r="D3455">
        <f>COUNTIF(WeeklyPicks!$D$342:$F$351,C3455)</f>
        <v>0</v>
      </c>
    </row>
    <row r="3456" spans="1:4" x14ac:dyDescent="0.3">
      <c r="A3456">
        <v>35</v>
      </c>
      <c r="B3456" t="s">
        <v>61</v>
      </c>
      <c r="C3456">
        <v>89</v>
      </c>
      <c r="D3456">
        <f>COUNTIF(WeeklyPicks!$D$342:$F$351,C3456)</f>
        <v>0</v>
      </c>
    </row>
    <row r="3457" spans="1:4" x14ac:dyDescent="0.3">
      <c r="A3457">
        <v>35</v>
      </c>
      <c r="B3457" t="s">
        <v>61</v>
      </c>
      <c r="C3457">
        <v>90</v>
      </c>
      <c r="D3457">
        <f>COUNTIF(WeeklyPicks!$D$342:$F$351,C3457)</f>
        <v>0</v>
      </c>
    </row>
    <row r="3458" spans="1:4" x14ac:dyDescent="0.3">
      <c r="A3458">
        <v>35</v>
      </c>
      <c r="B3458" t="s">
        <v>61</v>
      </c>
      <c r="C3458">
        <v>91</v>
      </c>
      <c r="D3458">
        <f>COUNTIF(WeeklyPicks!$D$342:$F$351,C3458)</f>
        <v>0</v>
      </c>
    </row>
    <row r="3459" spans="1:4" x14ac:dyDescent="0.3">
      <c r="A3459">
        <v>35</v>
      </c>
      <c r="B3459" t="s">
        <v>61</v>
      </c>
      <c r="C3459">
        <v>92</v>
      </c>
      <c r="D3459">
        <f>COUNTIF(WeeklyPicks!$D$342:$F$351,C3459)</f>
        <v>0</v>
      </c>
    </row>
    <row r="3460" spans="1:4" x14ac:dyDescent="0.3">
      <c r="A3460">
        <v>35</v>
      </c>
      <c r="B3460" t="s">
        <v>61</v>
      </c>
      <c r="C3460">
        <v>93</v>
      </c>
      <c r="D3460">
        <f>COUNTIF(WeeklyPicks!$D$342:$F$351,C3460)</f>
        <v>0</v>
      </c>
    </row>
    <row r="3461" spans="1:4" x14ac:dyDescent="0.3">
      <c r="A3461">
        <v>35</v>
      </c>
      <c r="B3461" t="s">
        <v>61</v>
      </c>
      <c r="C3461">
        <v>94</v>
      </c>
      <c r="D3461">
        <f>COUNTIF(WeeklyPicks!$D$342:$F$351,C3461)</f>
        <v>0</v>
      </c>
    </row>
    <row r="3462" spans="1:4" x14ac:dyDescent="0.3">
      <c r="A3462">
        <v>35</v>
      </c>
      <c r="B3462" t="s">
        <v>61</v>
      </c>
      <c r="C3462">
        <v>95</v>
      </c>
      <c r="D3462">
        <f>COUNTIF(WeeklyPicks!$D$342:$F$351,C3462)</f>
        <v>0</v>
      </c>
    </row>
    <row r="3463" spans="1:4" x14ac:dyDescent="0.3">
      <c r="A3463">
        <v>35</v>
      </c>
      <c r="B3463" t="s">
        <v>61</v>
      </c>
      <c r="C3463">
        <v>96</v>
      </c>
      <c r="D3463">
        <f>COUNTIF(WeeklyPicks!$D$342:$F$351,C3463)</f>
        <v>0</v>
      </c>
    </row>
    <row r="3464" spans="1:4" x14ac:dyDescent="0.3">
      <c r="A3464">
        <v>35</v>
      </c>
      <c r="B3464" t="s">
        <v>61</v>
      </c>
      <c r="C3464">
        <v>97</v>
      </c>
      <c r="D3464">
        <f>COUNTIF(WeeklyPicks!$D$342:$F$351,C3464)</f>
        <v>0</v>
      </c>
    </row>
    <row r="3465" spans="1:4" x14ac:dyDescent="0.3">
      <c r="A3465">
        <v>35</v>
      </c>
      <c r="B3465" t="s">
        <v>61</v>
      </c>
      <c r="C3465">
        <v>98</v>
      </c>
      <c r="D3465">
        <f>COUNTIF(WeeklyPicks!$D$342:$F$351,C3465)</f>
        <v>0</v>
      </c>
    </row>
    <row r="3466" spans="1:4" x14ac:dyDescent="0.3">
      <c r="A3466">
        <v>35</v>
      </c>
      <c r="B3466" t="s">
        <v>61</v>
      </c>
      <c r="C3466">
        <v>99</v>
      </c>
      <c r="D3466">
        <f>COUNTIF(WeeklyPicks!$D$342:$F$351,C3466)</f>
        <v>0</v>
      </c>
    </row>
    <row r="3467" spans="1:4" x14ac:dyDescent="0.3">
      <c r="A3467">
        <v>36</v>
      </c>
      <c r="B3467" t="s">
        <v>115</v>
      </c>
      <c r="C3467">
        <v>1</v>
      </c>
      <c r="D3467">
        <f>COUNTIF(WeeklyPicks!$D$352:$F$361,C3467)</f>
        <v>0</v>
      </c>
    </row>
    <row r="3468" spans="1:4" x14ac:dyDescent="0.3">
      <c r="A3468">
        <v>36</v>
      </c>
      <c r="B3468" t="s">
        <v>115</v>
      </c>
      <c r="C3468">
        <v>2</v>
      </c>
      <c r="D3468">
        <f>COUNTIF(WeeklyPicks!$D$352:$F$361,C3468)</f>
        <v>0</v>
      </c>
    </row>
    <row r="3469" spans="1:4" x14ac:dyDescent="0.3">
      <c r="A3469">
        <v>36</v>
      </c>
      <c r="B3469" t="s">
        <v>115</v>
      </c>
      <c r="C3469">
        <v>3</v>
      </c>
      <c r="D3469">
        <f>COUNTIF(WeeklyPicks!$D$352:$F$361,C3469)</f>
        <v>0</v>
      </c>
    </row>
    <row r="3470" spans="1:4" x14ac:dyDescent="0.3">
      <c r="A3470">
        <v>36</v>
      </c>
      <c r="B3470" t="s">
        <v>115</v>
      </c>
      <c r="C3470">
        <v>4</v>
      </c>
      <c r="D3470">
        <f>COUNTIF(WeeklyPicks!$D$352:$F$361,C3470)</f>
        <v>0</v>
      </c>
    </row>
    <row r="3471" spans="1:4" x14ac:dyDescent="0.3">
      <c r="A3471">
        <v>36</v>
      </c>
      <c r="B3471" t="s">
        <v>115</v>
      </c>
      <c r="C3471">
        <v>5</v>
      </c>
      <c r="D3471">
        <f>COUNTIF(WeeklyPicks!$D$352:$F$361,C3471)</f>
        <v>0</v>
      </c>
    </row>
    <row r="3472" spans="1:4" x14ac:dyDescent="0.3">
      <c r="A3472">
        <v>36</v>
      </c>
      <c r="B3472" t="s">
        <v>115</v>
      </c>
      <c r="C3472">
        <v>6</v>
      </c>
      <c r="D3472">
        <f>COUNTIF(WeeklyPicks!$D$352:$F$361,C3472)</f>
        <v>0</v>
      </c>
    </row>
    <row r="3473" spans="1:4" x14ac:dyDescent="0.3">
      <c r="A3473">
        <v>36</v>
      </c>
      <c r="B3473" t="s">
        <v>115</v>
      </c>
      <c r="C3473">
        <v>7</v>
      </c>
      <c r="D3473">
        <f>COUNTIF(WeeklyPicks!$D$352:$F$361,C3473)</f>
        <v>0</v>
      </c>
    </row>
    <row r="3474" spans="1:4" x14ac:dyDescent="0.3">
      <c r="A3474">
        <v>36</v>
      </c>
      <c r="B3474" t="s">
        <v>115</v>
      </c>
      <c r="C3474">
        <v>8</v>
      </c>
      <c r="D3474">
        <f>COUNTIF(WeeklyPicks!$D$352:$F$361,C3474)</f>
        <v>0</v>
      </c>
    </row>
    <row r="3475" spans="1:4" x14ac:dyDescent="0.3">
      <c r="A3475">
        <v>36</v>
      </c>
      <c r="B3475" t="s">
        <v>115</v>
      </c>
      <c r="C3475">
        <v>9</v>
      </c>
      <c r="D3475">
        <f>COUNTIF(WeeklyPicks!$D$352:$F$361,C3475)</f>
        <v>0</v>
      </c>
    </row>
    <row r="3476" spans="1:4" x14ac:dyDescent="0.3">
      <c r="A3476">
        <v>36</v>
      </c>
      <c r="B3476" t="s">
        <v>115</v>
      </c>
      <c r="C3476">
        <v>10</v>
      </c>
      <c r="D3476">
        <f>COUNTIF(WeeklyPicks!$D$352:$F$361,C3476)</f>
        <v>0</v>
      </c>
    </row>
    <row r="3477" spans="1:4" x14ac:dyDescent="0.3">
      <c r="A3477">
        <v>36</v>
      </c>
      <c r="B3477" t="s">
        <v>115</v>
      </c>
      <c r="C3477">
        <v>11</v>
      </c>
      <c r="D3477">
        <f>COUNTIF(WeeklyPicks!$D$352:$F$361,C3477)</f>
        <v>0</v>
      </c>
    </row>
    <row r="3478" spans="1:4" x14ac:dyDescent="0.3">
      <c r="A3478">
        <v>36</v>
      </c>
      <c r="B3478" t="s">
        <v>115</v>
      </c>
      <c r="C3478">
        <v>12</v>
      </c>
      <c r="D3478">
        <f>COUNTIF(WeeklyPicks!$D$352:$F$361,C3478)</f>
        <v>0</v>
      </c>
    </row>
    <row r="3479" spans="1:4" x14ac:dyDescent="0.3">
      <c r="A3479">
        <v>36</v>
      </c>
      <c r="B3479" t="s">
        <v>115</v>
      </c>
      <c r="C3479">
        <v>13</v>
      </c>
      <c r="D3479">
        <f>COUNTIF(WeeklyPicks!$D$352:$F$361,C3479)</f>
        <v>0</v>
      </c>
    </row>
    <row r="3480" spans="1:4" x14ac:dyDescent="0.3">
      <c r="A3480">
        <v>36</v>
      </c>
      <c r="B3480" t="s">
        <v>115</v>
      </c>
      <c r="C3480">
        <v>14</v>
      </c>
      <c r="D3480">
        <f>COUNTIF(WeeklyPicks!$D$352:$F$361,C3480)</f>
        <v>0</v>
      </c>
    </row>
    <row r="3481" spans="1:4" x14ac:dyDescent="0.3">
      <c r="A3481">
        <v>36</v>
      </c>
      <c r="B3481" t="s">
        <v>115</v>
      </c>
      <c r="C3481">
        <v>15</v>
      </c>
      <c r="D3481">
        <f>COUNTIF(WeeklyPicks!$D$352:$F$361,C3481)</f>
        <v>0</v>
      </c>
    </row>
    <row r="3482" spans="1:4" x14ac:dyDescent="0.3">
      <c r="A3482">
        <v>36</v>
      </c>
      <c r="B3482" t="s">
        <v>115</v>
      </c>
      <c r="C3482">
        <v>16</v>
      </c>
      <c r="D3482">
        <f>COUNTIF(WeeklyPicks!$D$352:$F$361,C3482)</f>
        <v>0</v>
      </c>
    </row>
    <row r="3483" spans="1:4" x14ac:dyDescent="0.3">
      <c r="A3483">
        <v>36</v>
      </c>
      <c r="B3483" t="s">
        <v>115</v>
      </c>
      <c r="C3483">
        <v>17</v>
      </c>
      <c r="D3483">
        <f>COUNTIF(WeeklyPicks!$D$352:$F$361,C3483)</f>
        <v>0</v>
      </c>
    </row>
    <row r="3484" spans="1:4" x14ac:dyDescent="0.3">
      <c r="A3484">
        <v>36</v>
      </c>
      <c r="B3484" t="s">
        <v>115</v>
      </c>
      <c r="C3484">
        <v>18</v>
      </c>
      <c r="D3484">
        <f>COUNTIF(WeeklyPicks!$D$352:$F$361,C3484)</f>
        <v>0</v>
      </c>
    </row>
    <row r="3485" spans="1:4" x14ac:dyDescent="0.3">
      <c r="A3485">
        <v>36</v>
      </c>
      <c r="B3485" t="s">
        <v>115</v>
      </c>
      <c r="C3485">
        <v>19</v>
      </c>
      <c r="D3485">
        <f>COUNTIF(WeeklyPicks!$D$352:$F$361,C3485)</f>
        <v>0</v>
      </c>
    </row>
    <row r="3486" spans="1:4" x14ac:dyDescent="0.3">
      <c r="A3486">
        <v>36</v>
      </c>
      <c r="B3486" t="s">
        <v>115</v>
      </c>
      <c r="C3486">
        <v>20</v>
      </c>
      <c r="D3486">
        <f>COUNTIF(WeeklyPicks!$D$352:$F$361,C3486)</f>
        <v>0</v>
      </c>
    </row>
    <row r="3487" spans="1:4" x14ac:dyDescent="0.3">
      <c r="A3487">
        <v>36</v>
      </c>
      <c r="B3487" t="s">
        <v>115</v>
      </c>
      <c r="C3487">
        <v>21</v>
      </c>
      <c r="D3487">
        <f>COUNTIF(WeeklyPicks!$D$352:$F$361,C3487)</f>
        <v>0</v>
      </c>
    </row>
    <row r="3488" spans="1:4" x14ac:dyDescent="0.3">
      <c r="A3488">
        <v>36</v>
      </c>
      <c r="B3488" t="s">
        <v>115</v>
      </c>
      <c r="C3488">
        <v>22</v>
      </c>
      <c r="D3488">
        <f>COUNTIF(WeeklyPicks!$D$352:$F$361,C3488)</f>
        <v>0</v>
      </c>
    </row>
    <row r="3489" spans="1:4" x14ac:dyDescent="0.3">
      <c r="A3489">
        <v>36</v>
      </c>
      <c r="B3489" t="s">
        <v>115</v>
      </c>
      <c r="C3489">
        <v>23</v>
      </c>
      <c r="D3489">
        <f>COUNTIF(WeeklyPicks!$D$352:$F$361,C3489)</f>
        <v>0</v>
      </c>
    </row>
    <row r="3490" spans="1:4" x14ac:dyDescent="0.3">
      <c r="A3490">
        <v>36</v>
      </c>
      <c r="B3490" t="s">
        <v>115</v>
      </c>
      <c r="C3490">
        <v>24</v>
      </c>
      <c r="D3490">
        <f>COUNTIF(WeeklyPicks!$D$352:$F$361,C3490)</f>
        <v>0</v>
      </c>
    </row>
    <row r="3491" spans="1:4" x14ac:dyDescent="0.3">
      <c r="A3491">
        <v>36</v>
      </c>
      <c r="B3491" t="s">
        <v>115</v>
      </c>
      <c r="C3491">
        <v>25</v>
      </c>
      <c r="D3491">
        <f>COUNTIF(WeeklyPicks!$D$352:$F$361,C3491)</f>
        <v>0</v>
      </c>
    </row>
    <row r="3492" spans="1:4" x14ac:dyDescent="0.3">
      <c r="A3492">
        <v>36</v>
      </c>
      <c r="B3492" t="s">
        <v>115</v>
      </c>
      <c r="C3492">
        <v>26</v>
      </c>
      <c r="D3492">
        <f>COUNTIF(WeeklyPicks!$D$352:$F$361,C3492)</f>
        <v>0</v>
      </c>
    </row>
    <row r="3493" spans="1:4" x14ac:dyDescent="0.3">
      <c r="A3493">
        <v>36</v>
      </c>
      <c r="B3493" t="s">
        <v>115</v>
      </c>
      <c r="C3493">
        <v>27</v>
      </c>
      <c r="D3493">
        <f>COUNTIF(WeeklyPicks!$D$352:$F$361,C3493)</f>
        <v>0</v>
      </c>
    </row>
    <row r="3494" spans="1:4" x14ac:dyDescent="0.3">
      <c r="A3494">
        <v>36</v>
      </c>
      <c r="B3494" t="s">
        <v>115</v>
      </c>
      <c r="C3494">
        <v>28</v>
      </c>
      <c r="D3494">
        <f>COUNTIF(WeeklyPicks!$D$352:$F$361,C3494)</f>
        <v>0</v>
      </c>
    </row>
    <row r="3495" spans="1:4" x14ac:dyDescent="0.3">
      <c r="A3495">
        <v>36</v>
      </c>
      <c r="B3495" t="s">
        <v>115</v>
      </c>
      <c r="C3495">
        <v>29</v>
      </c>
      <c r="D3495">
        <f>COUNTIF(WeeklyPicks!$D$352:$F$361,C3495)</f>
        <v>0</v>
      </c>
    </row>
    <row r="3496" spans="1:4" x14ac:dyDescent="0.3">
      <c r="A3496">
        <v>36</v>
      </c>
      <c r="B3496" t="s">
        <v>115</v>
      </c>
      <c r="C3496">
        <v>30</v>
      </c>
      <c r="D3496">
        <f>COUNTIF(WeeklyPicks!$D$352:$F$361,C3496)</f>
        <v>0</v>
      </c>
    </row>
    <row r="3497" spans="1:4" x14ac:dyDescent="0.3">
      <c r="A3497">
        <v>36</v>
      </c>
      <c r="B3497" t="s">
        <v>115</v>
      </c>
      <c r="C3497">
        <v>31</v>
      </c>
      <c r="D3497">
        <f>COUNTIF(WeeklyPicks!$D$352:$F$361,C3497)</f>
        <v>0</v>
      </c>
    </row>
    <row r="3498" spans="1:4" x14ac:dyDescent="0.3">
      <c r="A3498">
        <v>36</v>
      </c>
      <c r="B3498" t="s">
        <v>115</v>
      </c>
      <c r="C3498">
        <v>32</v>
      </c>
      <c r="D3498">
        <f>COUNTIF(WeeklyPicks!$D$352:$F$361,C3498)</f>
        <v>0</v>
      </c>
    </row>
    <row r="3499" spans="1:4" x14ac:dyDescent="0.3">
      <c r="A3499">
        <v>36</v>
      </c>
      <c r="B3499" t="s">
        <v>115</v>
      </c>
      <c r="C3499">
        <v>33</v>
      </c>
      <c r="D3499">
        <f>COUNTIF(WeeklyPicks!$D$352:$F$361,C3499)</f>
        <v>0</v>
      </c>
    </row>
    <row r="3500" spans="1:4" x14ac:dyDescent="0.3">
      <c r="A3500">
        <v>36</v>
      </c>
      <c r="B3500" t="s">
        <v>115</v>
      </c>
      <c r="C3500">
        <v>34</v>
      </c>
      <c r="D3500">
        <f>COUNTIF(WeeklyPicks!$D$352:$F$361,C3500)</f>
        <v>0</v>
      </c>
    </row>
    <row r="3501" spans="1:4" x14ac:dyDescent="0.3">
      <c r="A3501">
        <v>36</v>
      </c>
      <c r="B3501" t="s">
        <v>115</v>
      </c>
      <c r="C3501">
        <v>35</v>
      </c>
      <c r="D3501">
        <f>COUNTIF(WeeklyPicks!$D$352:$F$361,C3501)</f>
        <v>0</v>
      </c>
    </row>
    <row r="3502" spans="1:4" x14ac:dyDescent="0.3">
      <c r="A3502">
        <v>36</v>
      </c>
      <c r="B3502" t="s">
        <v>115</v>
      </c>
      <c r="C3502">
        <v>36</v>
      </c>
      <c r="D3502">
        <f>COUNTIF(WeeklyPicks!$D$352:$F$361,C3502)</f>
        <v>0</v>
      </c>
    </row>
    <row r="3503" spans="1:4" x14ac:dyDescent="0.3">
      <c r="A3503">
        <v>36</v>
      </c>
      <c r="B3503" t="s">
        <v>115</v>
      </c>
      <c r="C3503">
        <v>37</v>
      </c>
      <c r="D3503">
        <f>COUNTIF(WeeklyPicks!$D$352:$F$361,C3503)</f>
        <v>0</v>
      </c>
    </row>
    <row r="3504" spans="1:4" x14ac:dyDescent="0.3">
      <c r="A3504">
        <v>36</v>
      </c>
      <c r="B3504" t="s">
        <v>115</v>
      </c>
      <c r="C3504">
        <v>38</v>
      </c>
      <c r="D3504">
        <f>COUNTIF(WeeklyPicks!$D$352:$F$361,C3504)</f>
        <v>0</v>
      </c>
    </row>
    <row r="3505" spans="1:4" x14ac:dyDescent="0.3">
      <c r="A3505">
        <v>36</v>
      </c>
      <c r="B3505" t="s">
        <v>115</v>
      </c>
      <c r="C3505">
        <v>39</v>
      </c>
      <c r="D3505">
        <f>COUNTIF(WeeklyPicks!$D$352:$F$361,C3505)</f>
        <v>0</v>
      </c>
    </row>
    <row r="3506" spans="1:4" x14ac:dyDescent="0.3">
      <c r="A3506">
        <v>36</v>
      </c>
      <c r="B3506" t="s">
        <v>115</v>
      </c>
      <c r="C3506">
        <v>40</v>
      </c>
      <c r="D3506">
        <f>COUNTIF(WeeklyPicks!$D$352:$F$361,C3506)</f>
        <v>0</v>
      </c>
    </row>
    <row r="3507" spans="1:4" x14ac:dyDescent="0.3">
      <c r="A3507">
        <v>36</v>
      </c>
      <c r="B3507" t="s">
        <v>115</v>
      </c>
      <c r="C3507">
        <v>41</v>
      </c>
      <c r="D3507">
        <f>COUNTIF(WeeklyPicks!$D$352:$F$361,C3507)</f>
        <v>0</v>
      </c>
    </row>
    <row r="3508" spans="1:4" x14ac:dyDescent="0.3">
      <c r="A3508">
        <v>36</v>
      </c>
      <c r="B3508" t="s">
        <v>115</v>
      </c>
      <c r="C3508">
        <v>42</v>
      </c>
      <c r="D3508">
        <f>COUNTIF(WeeklyPicks!$D$352:$F$361,C3508)</f>
        <v>0</v>
      </c>
    </row>
    <row r="3509" spans="1:4" x14ac:dyDescent="0.3">
      <c r="A3509">
        <v>36</v>
      </c>
      <c r="B3509" t="s">
        <v>115</v>
      </c>
      <c r="C3509">
        <v>43</v>
      </c>
      <c r="D3509">
        <f>COUNTIF(WeeklyPicks!$D$352:$F$361,C3509)</f>
        <v>0</v>
      </c>
    </row>
    <row r="3510" spans="1:4" x14ac:dyDescent="0.3">
      <c r="A3510">
        <v>36</v>
      </c>
      <c r="B3510" t="s">
        <v>115</v>
      </c>
      <c r="C3510">
        <v>44</v>
      </c>
      <c r="D3510">
        <f>COUNTIF(WeeklyPicks!$D$352:$F$361,C3510)</f>
        <v>0</v>
      </c>
    </row>
    <row r="3511" spans="1:4" x14ac:dyDescent="0.3">
      <c r="A3511">
        <v>36</v>
      </c>
      <c r="B3511" t="s">
        <v>115</v>
      </c>
      <c r="C3511">
        <v>45</v>
      </c>
      <c r="D3511">
        <f>COUNTIF(WeeklyPicks!$D$352:$F$361,C3511)</f>
        <v>0</v>
      </c>
    </row>
    <row r="3512" spans="1:4" x14ac:dyDescent="0.3">
      <c r="A3512">
        <v>36</v>
      </c>
      <c r="B3512" t="s">
        <v>115</v>
      </c>
      <c r="C3512">
        <v>46</v>
      </c>
      <c r="D3512">
        <f>COUNTIF(WeeklyPicks!$D$352:$F$361,C3512)</f>
        <v>0</v>
      </c>
    </row>
    <row r="3513" spans="1:4" x14ac:dyDescent="0.3">
      <c r="A3513">
        <v>36</v>
      </c>
      <c r="B3513" t="s">
        <v>115</v>
      </c>
      <c r="C3513">
        <v>47</v>
      </c>
      <c r="D3513">
        <f>COUNTIF(WeeklyPicks!$D$352:$F$361,C3513)</f>
        <v>0</v>
      </c>
    </row>
    <row r="3514" spans="1:4" x14ac:dyDescent="0.3">
      <c r="A3514">
        <v>36</v>
      </c>
      <c r="B3514" t="s">
        <v>115</v>
      </c>
      <c r="C3514">
        <v>48</v>
      </c>
      <c r="D3514">
        <f>COUNTIF(WeeklyPicks!$D$352:$F$361,C3514)</f>
        <v>0</v>
      </c>
    </row>
    <row r="3515" spans="1:4" x14ac:dyDescent="0.3">
      <c r="A3515">
        <v>36</v>
      </c>
      <c r="B3515" t="s">
        <v>115</v>
      </c>
      <c r="C3515">
        <v>49</v>
      </c>
      <c r="D3515">
        <f>COUNTIF(WeeklyPicks!$D$352:$F$361,C3515)</f>
        <v>0</v>
      </c>
    </row>
    <row r="3516" spans="1:4" x14ac:dyDescent="0.3">
      <c r="A3516">
        <v>36</v>
      </c>
      <c r="B3516" t="s">
        <v>115</v>
      </c>
      <c r="C3516">
        <v>50</v>
      </c>
      <c r="D3516">
        <f>COUNTIF(WeeklyPicks!$D$352:$F$361,C3516)</f>
        <v>0</v>
      </c>
    </row>
    <row r="3517" spans="1:4" x14ac:dyDescent="0.3">
      <c r="A3517">
        <v>36</v>
      </c>
      <c r="B3517" t="s">
        <v>115</v>
      </c>
      <c r="C3517">
        <v>51</v>
      </c>
      <c r="D3517">
        <f>COUNTIF(WeeklyPicks!$D$352:$F$361,C3517)</f>
        <v>0</v>
      </c>
    </row>
    <row r="3518" spans="1:4" x14ac:dyDescent="0.3">
      <c r="A3518">
        <v>36</v>
      </c>
      <c r="B3518" t="s">
        <v>115</v>
      </c>
      <c r="C3518">
        <v>52</v>
      </c>
      <c r="D3518">
        <f>COUNTIF(WeeklyPicks!$D$352:$F$361,C3518)</f>
        <v>0</v>
      </c>
    </row>
    <row r="3519" spans="1:4" x14ac:dyDescent="0.3">
      <c r="A3519">
        <v>36</v>
      </c>
      <c r="B3519" t="s">
        <v>115</v>
      </c>
      <c r="C3519">
        <v>53</v>
      </c>
      <c r="D3519">
        <f>COUNTIF(WeeklyPicks!$D$352:$F$361,C3519)</f>
        <v>0</v>
      </c>
    </row>
    <row r="3520" spans="1:4" x14ac:dyDescent="0.3">
      <c r="A3520">
        <v>36</v>
      </c>
      <c r="B3520" t="s">
        <v>115</v>
      </c>
      <c r="C3520">
        <v>54</v>
      </c>
      <c r="D3520">
        <f>COUNTIF(WeeklyPicks!$D$352:$F$361,C3520)</f>
        <v>0</v>
      </c>
    </row>
    <row r="3521" spans="1:4" x14ac:dyDescent="0.3">
      <c r="A3521">
        <v>36</v>
      </c>
      <c r="B3521" t="s">
        <v>115</v>
      </c>
      <c r="C3521">
        <v>55</v>
      </c>
      <c r="D3521">
        <f>COUNTIF(WeeklyPicks!$D$352:$F$361,C3521)</f>
        <v>0</v>
      </c>
    </row>
    <row r="3522" spans="1:4" x14ac:dyDescent="0.3">
      <c r="A3522">
        <v>36</v>
      </c>
      <c r="B3522" t="s">
        <v>115</v>
      </c>
      <c r="C3522">
        <v>56</v>
      </c>
      <c r="D3522">
        <f>COUNTIF(WeeklyPicks!$D$352:$F$361,C3522)</f>
        <v>0</v>
      </c>
    </row>
    <row r="3523" spans="1:4" x14ac:dyDescent="0.3">
      <c r="A3523">
        <v>36</v>
      </c>
      <c r="B3523" t="s">
        <v>115</v>
      </c>
      <c r="C3523">
        <v>57</v>
      </c>
      <c r="D3523">
        <f>COUNTIF(WeeklyPicks!$D$352:$F$361,C3523)</f>
        <v>0</v>
      </c>
    </row>
    <row r="3524" spans="1:4" x14ac:dyDescent="0.3">
      <c r="A3524">
        <v>36</v>
      </c>
      <c r="B3524" t="s">
        <v>115</v>
      </c>
      <c r="C3524">
        <v>58</v>
      </c>
      <c r="D3524">
        <f>COUNTIF(WeeklyPicks!$D$352:$F$361,C3524)</f>
        <v>0</v>
      </c>
    </row>
    <row r="3525" spans="1:4" x14ac:dyDescent="0.3">
      <c r="A3525">
        <v>36</v>
      </c>
      <c r="B3525" t="s">
        <v>115</v>
      </c>
      <c r="C3525">
        <v>59</v>
      </c>
      <c r="D3525">
        <f>COUNTIF(WeeklyPicks!$D$352:$F$361,C3525)</f>
        <v>0</v>
      </c>
    </row>
    <row r="3526" spans="1:4" x14ac:dyDescent="0.3">
      <c r="A3526">
        <v>36</v>
      </c>
      <c r="B3526" t="s">
        <v>115</v>
      </c>
      <c r="C3526">
        <v>60</v>
      </c>
      <c r="D3526">
        <f>COUNTIF(WeeklyPicks!$D$352:$F$361,C3526)</f>
        <v>0</v>
      </c>
    </row>
    <row r="3527" spans="1:4" x14ac:dyDescent="0.3">
      <c r="A3527">
        <v>36</v>
      </c>
      <c r="B3527" t="s">
        <v>115</v>
      </c>
      <c r="C3527">
        <v>61</v>
      </c>
      <c r="D3527">
        <f>COUNTIF(WeeklyPicks!$D$352:$F$361,C3527)</f>
        <v>0</v>
      </c>
    </row>
    <row r="3528" spans="1:4" x14ac:dyDescent="0.3">
      <c r="A3528">
        <v>36</v>
      </c>
      <c r="B3528" t="s">
        <v>115</v>
      </c>
      <c r="C3528">
        <v>62</v>
      </c>
      <c r="D3528">
        <f>COUNTIF(WeeklyPicks!$D$352:$F$361,C3528)</f>
        <v>0</v>
      </c>
    </row>
    <row r="3529" spans="1:4" x14ac:dyDescent="0.3">
      <c r="A3529">
        <v>36</v>
      </c>
      <c r="B3529" t="s">
        <v>115</v>
      </c>
      <c r="C3529">
        <v>63</v>
      </c>
      <c r="D3529">
        <f>COUNTIF(WeeklyPicks!$D$352:$F$361,C3529)</f>
        <v>0</v>
      </c>
    </row>
    <row r="3530" spans="1:4" x14ac:dyDescent="0.3">
      <c r="A3530">
        <v>36</v>
      </c>
      <c r="B3530" t="s">
        <v>115</v>
      </c>
      <c r="C3530">
        <v>64</v>
      </c>
      <c r="D3530">
        <f>COUNTIF(WeeklyPicks!$D$352:$F$361,C3530)</f>
        <v>0</v>
      </c>
    </row>
    <row r="3531" spans="1:4" x14ac:dyDescent="0.3">
      <c r="A3531">
        <v>36</v>
      </c>
      <c r="B3531" t="s">
        <v>115</v>
      </c>
      <c r="C3531">
        <v>65</v>
      </c>
      <c r="D3531">
        <f>COUNTIF(WeeklyPicks!$D$352:$F$361,C3531)</f>
        <v>0</v>
      </c>
    </row>
    <row r="3532" spans="1:4" x14ac:dyDescent="0.3">
      <c r="A3532">
        <v>36</v>
      </c>
      <c r="B3532" t="s">
        <v>115</v>
      </c>
      <c r="C3532">
        <v>66</v>
      </c>
      <c r="D3532">
        <f>COUNTIF(WeeklyPicks!$D$352:$F$361,C3532)</f>
        <v>0</v>
      </c>
    </row>
    <row r="3533" spans="1:4" x14ac:dyDescent="0.3">
      <c r="A3533">
        <v>36</v>
      </c>
      <c r="B3533" t="s">
        <v>115</v>
      </c>
      <c r="C3533">
        <v>67</v>
      </c>
      <c r="D3533">
        <f>COUNTIF(WeeklyPicks!$D$352:$F$361,C3533)</f>
        <v>0</v>
      </c>
    </row>
    <row r="3534" spans="1:4" x14ac:dyDescent="0.3">
      <c r="A3534">
        <v>36</v>
      </c>
      <c r="B3534" t="s">
        <v>115</v>
      </c>
      <c r="C3534">
        <v>68</v>
      </c>
      <c r="D3534">
        <f>COUNTIF(WeeklyPicks!$D$352:$F$361,C3534)</f>
        <v>0</v>
      </c>
    </row>
    <row r="3535" spans="1:4" x14ac:dyDescent="0.3">
      <c r="A3535">
        <v>36</v>
      </c>
      <c r="B3535" t="s">
        <v>115</v>
      </c>
      <c r="C3535">
        <v>69</v>
      </c>
      <c r="D3535">
        <f>COUNTIF(WeeklyPicks!$D$352:$F$361,C3535)</f>
        <v>0</v>
      </c>
    </row>
    <row r="3536" spans="1:4" x14ac:dyDescent="0.3">
      <c r="A3536">
        <v>36</v>
      </c>
      <c r="B3536" t="s">
        <v>115</v>
      </c>
      <c r="C3536">
        <v>70</v>
      </c>
      <c r="D3536">
        <f>COUNTIF(WeeklyPicks!$D$352:$F$361,C3536)</f>
        <v>0</v>
      </c>
    </row>
    <row r="3537" spans="1:4" x14ac:dyDescent="0.3">
      <c r="A3537">
        <v>36</v>
      </c>
      <c r="B3537" t="s">
        <v>115</v>
      </c>
      <c r="C3537">
        <v>71</v>
      </c>
      <c r="D3537">
        <f>COUNTIF(WeeklyPicks!$D$352:$F$361,C3537)</f>
        <v>0</v>
      </c>
    </row>
    <row r="3538" spans="1:4" x14ac:dyDescent="0.3">
      <c r="A3538">
        <v>36</v>
      </c>
      <c r="B3538" t="s">
        <v>115</v>
      </c>
      <c r="C3538">
        <v>72</v>
      </c>
      <c r="D3538">
        <f>COUNTIF(WeeklyPicks!$D$352:$F$361,C3538)</f>
        <v>0</v>
      </c>
    </row>
    <row r="3539" spans="1:4" x14ac:dyDescent="0.3">
      <c r="A3539">
        <v>36</v>
      </c>
      <c r="B3539" t="s">
        <v>115</v>
      </c>
      <c r="C3539">
        <v>73</v>
      </c>
      <c r="D3539">
        <f>COUNTIF(WeeklyPicks!$D$352:$F$361,C3539)</f>
        <v>0</v>
      </c>
    </row>
    <row r="3540" spans="1:4" x14ac:dyDescent="0.3">
      <c r="A3540">
        <v>36</v>
      </c>
      <c r="B3540" t="s">
        <v>115</v>
      </c>
      <c r="C3540">
        <v>74</v>
      </c>
      <c r="D3540">
        <f>COUNTIF(WeeklyPicks!$D$352:$F$361,C3540)</f>
        <v>0</v>
      </c>
    </row>
    <row r="3541" spans="1:4" x14ac:dyDescent="0.3">
      <c r="A3541">
        <v>36</v>
      </c>
      <c r="B3541" t="s">
        <v>115</v>
      </c>
      <c r="C3541">
        <v>75</v>
      </c>
      <c r="D3541">
        <f>COUNTIF(WeeklyPicks!$D$352:$F$361,C3541)</f>
        <v>0</v>
      </c>
    </row>
    <row r="3542" spans="1:4" x14ac:dyDescent="0.3">
      <c r="A3542">
        <v>36</v>
      </c>
      <c r="B3542" t="s">
        <v>115</v>
      </c>
      <c r="C3542">
        <v>76</v>
      </c>
      <c r="D3542">
        <f>COUNTIF(WeeklyPicks!$D$352:$F$361,C3542)</f>
        <v>0</v>
      </c>
    </row>
    <row r="3543" spans="1:4" x14ac:dyDescent="0.3">
      <c r="A3543">
        <v>36</v>
      </c>
      <c r="B3543" t="s">
        <v>115</v>
      </c>
      <c r="C3543">
        <v>77</v>
      </c>
      <c r="D3543">
        <f>COUNTIF(WeeklyPicks!$D$352:$F$361,C3543)</f>
        <v>0</v>
      </c>
    </row>
    <row r="3544" spans="1:4" x14ac:dyDescent="0.3">
      <c r="A3544">
        <v>36</v>
      </c>
      <c r="B3544" t="s">
        <v>115</v>
      </c>
      <c r="C3544">
        <v>78</v>
      </c>
      <c r="D3544">
        <f>COUNTIF(WeeklyPicks!$D$352:$F$361,C3544)</f>
        <v>0</v>
      </c>
    </row>
    <row r="3545" spans="1:4" x14ac:dyDescent="0.3">
      <c r="A3545">
        <v>36</v>
      </c>
      <c r="B3545" t="s">
        <v>115</v>
      </c>
      <c r="C3545">
        <v>79</v>
      </c>
      <c r="D3545">
        <f>COUNTIF(WeeklyPicks!$D$352:$F$361,C3545)</f>
        <v>0</v>
      </c>
    </row>
    <row r="3546" spans="1:4" x14ac:dyDescent="0.3">
      <c r="A3546">
        <v>36</v>
      </c>
      <c r="B3546" t="s">
        <v>115</v>
      </c>
      <c r="C3546">
        <v>80</v>
      </c>
      <c r="D3546">
        <f>COUNTIF(WeeklyPicks!$D$352:$F$361,C3546)</f>
        <v>0</v>
      </c>
    </row>
    <row r="3547" spans="1:4" x14ac:dyDescent="0.3">
      <c r="A3547">
        <v>36</v>
      </c>
      <c r="B3547" t="s">
        <v>115</v>
      </c>
      <c r="C3547">
        <v>81</v>
      </c>
      <c r="D3547">
        <f>COUNTIF(WeeklyPicks!$D$352:$F$361,C3547)</f>
        <v>0</v>
      </c>
    </row>
    <row r="3548" spans="1:4" x14ac:dyDescent="0.3">
      <c r="A3548">
        <v>36</v>
      </c>
      <c r="B3548" t="s">
        <v>115</v>
      </c>
      <c r="C3548">
        <v>82</v>
      </c>
      <c r="D3548">
        <f>COUNTIF(WeeklyPicks!$D$352:$F$361,C3548)</f>
        <v>0</v>
      </c>
    </row>
    <row r="3549" spans="1:4" x14ac:dyDescent="0.3">
      <c r="A3549">
        <v>36</v>
      </c>
      <c r="B3549" t="s">
        <v>115</v>
      </c>
      <c r="C3549">
        <v>83</v>
      </c>
      <c r="D3549">
        <f>COUNTIF(WeeklyPicks!$D$352:$F$361,C3549)</f>
        <v>0</v>
      </c>
    </row>
    <row r="3550" spans="1:4" x14ac:dyDescent="0.3">
      <c r="A3550">
        <v>36</v>
      </c>
      <c r="B3550" t="s">
        <v>115</v>
      </c>
      <c r="C3550">
        <v>84</v>
      </c>
      <c r="D3550">
        <f>COUNTIF(WeeklyPicks!$D$352:$F$361,C3550)</f>
        <v>0</v>
      </c>
    </row>
    <row r="3551" spans="1:4" x14ac:dyDescent="0.3">
      <c r="A3551">
        <v>36</v>
      </c>
      <c r="B3551" t="s">
        <v>115</v>
      </c>
      <c r="C3551">
        <v>85</v>
      </c>
      <c r="D3551">
        <f>COUNTIF(WeeklyPicks!$D$352:$F$361,C3551)</f>
        <v>0</v>
      </c>
    </row>
    <row r="3552" spans="1:4" x14ac:dyDescent="0.3">
      <c r="A3552">
        <v>36</v>
      </c>
      <c r="B3552" t="s">
        <v>115</v>
      </c>
      <c r="C3552">
        <v>86</v>
      </c>
      <c r="D3552">
        <f>COUNTIF(WeeklyPicks!$D$352:$F$361,C3552)</f>
        <v>0</v>
      </c>
    </row>
    <row r="3553" spans="1:4" x14ac:dyDescent="0.3">
      <c r="A3553">
        <v>36</v>
      </c>
      <c r="B3553" t="s">
        <v>115</v>
      </c>
      <c r="C3553">
        <v>87</v>
      </c>
      <c r="D3553">
        <f>COUNTIF(WeeklyPicks!$D$352:$F$361,C3553)</f>
        <v>0</v>
      </c>
    </row>
    <row r="3554" spans="1:4" x14ac:dyDescent="0.3">
      <c r="A3554">
        <v>36</v>
      </c>
      <c r="B3554" t="s">
        <v>115</v>
      </c>
      <c r="C3554">
        <v>88</v>
      </c>
      <c r="D3554">
        <f>COUNTIF(WeeklyPicks!$D$352:$F$361,C3554)</f>
        <v>0</v>
      </c>
    </row>
    <row r="3555" spans="1:4" x14ac:dyDescent="0.3">
      <c r="A3555">
        <v>36</v>
      </c>
      <c r="B3555" t="s">
        <v>115</v>
      </c>
      <c r="C3555">
        <v>89</v>
      </c>
      <c r="D3555">
        <f>COUNTIF(WeeklyPicks!$D$352:$F$361,C3555)</f>
        <v>0</v>
      </c>
    </row>
    <row r="3556" spans="1:4" x14ac:dyDescent="0.3">
      <c r="A3556">
        <v>36</v>
      </c>
      <c r="B3556" t="s">
        <v>115</v>
      </c>
      <c r="C3556">
        <v>90</v>
      </c>
      <c r="D3556">
        <f>COUNTIF(WeeklyPicks!$D$352:$F$361,C3556)</f>
        <v>0</v>
      </c>
    </row>
    <row r="3557" spans="1:4" x14ac:dyDescent="0.3">
      <c r="A3557">
        <v>36</v>
      </c>
      <c r="B3557" t="s">
        <v>115</v>
      </c>
      <c r="C3557">
        <v>91</v>
      </c>
      <c r="D3557">
        <f>COUNTIF(WeeklyPicks!$D$352:$F$361,C3557)</f>
        <v>0</v>
      </c>
    </row>
    <row r="3558" spans="1:4" x14ac:dyDescent="0.3">
      <c r="A3558">
        <v>36</v>
      </c>
      <c r="B3558" t="s">
        <v>115</v>
      </c>
      <c r="C3558">
        <v>92</v>
      </c>
      <c r="D3558">
        <f>COUNTIF(WeeklyPicks!$D$352:$F$361,C3558)</f>
        <v>0</v>
      </c>
    </row>
    <row r="3559" spans="1:4" x14ac:dyDescent="0.3">
      <c r="A3559">
        <v>36</v>
      </c>
      <c r="B3559" t="s">
        <v>115</v>
      </c>
      <c r="C3559">
        <v>93</v>
      </c>
      <c r="D3559">
        <f>COUNTIF(WeeklyPicks!$D$352:$F$361,C3559)</f>
        <v>0</v>
      </c>
    </row>
    <row r="3560" spans="1:4" x14ac:dyDescent="0.3">
      <c r="A3560">
        <v>36</v>
      </c>
      <c r="B3560" t="s">
        <v>115</v>
      </c>
      <c r="C3560">
        <v>94</v>
      </c>
      <c r="D3560">
        <f>COUNTIF(WeeklyPicks!$D$352:$F$361,C3560)</f>
        <v>0</v>
      </c>
    </row>
    <row r="3561" spans="1:4" x14ac:dyDescent="0.3">
      <c r="A3561">
        <v>36</v>
      </c>
      <c r="B3561" t="s">
        <v>115</v>
      </c>
      <c r="C3561">
        <v>95</v>
      </c>
      <c r="D3561">
        <f>COUNTIF(WeeklyPicks!$D$352:$F$361,C3561)</f>
        <v>0</v>
      </c>
    </row>
    <row r="3562" spans="1:4" x14ac:dyDescent="0.3">
      <c r="A3562">
        <v>36</v>
      </c>
      <c r="B3562" t="s">
        <v>115</v>
      </c>
      <c r="C3562">
        <v>96</v>
      </c>
      <c r="D3562">
        <f>COUNTIF(WeeklyPicks!$D$352:$F$361,C3562)</f>
        <v>0</v>
      </c>
    </row>
    <row r="3563" spans="1:4" x14ac:dyDescent="0.3">
      <c r="A3563">
        <v>36</v>
      </c>
      <c r="B3563" t="s">
        <v>115</v>
      </c>
      <c r="C3563">
        <v>97</v>
      </c>
      <c r="D3563">
        <f>COUNTIF(WeeklyPicks!$D$352:$F$361,C3563)</f>
        <v>0</v>
      </c>
    </row>
    <row r="3564" spans="1:4" x14ac:dyDescent="0.3">
      <c r="A3564">
        <v>36</v>
      </c>
      <c r="B3564" t="s">
        <v>115</v>
      </c>
      <c r="C3564">
        <v>98</v>
      </c>
      <c r="D3564">
        <f>COUNTIF(WeeklyPicks!$D$352:$F$361,C3564)</f>
        <v>0</v>
      </c>
    </row>
    <row r="3565" spans="1:4" x14ac:dyDescent="0.3">
      <c r="A3565">
        <v>36</v>
      </c>
      <c r="B3565" t="s">
        <v>115</v>
      </c>
      <c r="C3565">
        <v>99</v>
      </c>
      <c r="D3565">
        <f>COUNTIF(WeeklyPicks!$D$352:$F$361,C3565)</f>
        <v>0</v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00"/>
  <sheetViews>
    <sheetView topLeftCell="A13" zoomScaleNormal="100" workbookViewId="0"/>
  </sheetViews>
  <sheetFormatPr defaultColWidth="8.6640625" defaultRowHeight="14.25" customHeight="1" x14ac:dyDescent="0.3"/>
  <cols>
    <col min="1" max="1" width="8" customWidth="1"/>
    <col min="2" max="2" width="14" customWidth="1"/>
    <col min="3" max="3" width="18" customWidth="1"/>
    <col min="4" max="4" width="14" customWidth="1"/>
    <col min="5" max="5" width="12" customWidth="1"/>
  </cols>
  <sheetData>
    <row r="1" spans="1:5" x14ac:dyDescent="0.3">
      <c r="A1" s="6" t="s">
        <v>135</v>
      </c>
      <c r="B1" s="6" t="s">
        <v>138</v>
      </c>
      <c r="C1" s="6" t="s">
        <v>139</v>
      </c>
      <c r="D1" s="6" t="s">
        <v>140</v>
      </c>
      <c r="E1" s="6" t="s">
        <v>141</v>
      </c>
    </row>
    <row r="2" spans="1:5" x14ac:dyDescent="0.3">
      <c r="A2">
        <v>1</v>
      </c>
      <c r="B2">
        <f>COUNTIF(Calc!$E$2:$E$1081,A2)</f>
        <v>5</v>
      </c>
      <c r="C2">
        <f>SUMIF(Calc!$E$2:$E$1081,A2,Calc!$G$2:$G$1081)</f>
        <v>29</v>
      </c>
      <c r="D2">
        <f>IF(B2=0,"",AVERAGEIF(Calc!$E$2:$E$1081,A2,Calc!$F$2:$F$1081))</f>
        <v>16.399999999999999</v>
      </c>
      <c r="E2" t="e">
        <f ca="1">IF(B2=0,"",_xludf.minifs(Calc!$F$2:$F$1081,Calc!$E$2:$E$1081,A2))</f>
        <v>#NAME?</v>
      </c>
    </row>
    <row r="3" spans="1:5" x14ac:dyDescent="0.3">
      <c r="A3">
        <v>2</v>
      </c>
      <c r="B3">
        <f>COUNTIF(Calc!$E$2:$E$1081,A3)</f>
        <v>4</v>
      </c>
      <c r="C3">
        <f>SUMIF(Calc!$E$2:$E$1081,A3,Calc!$G$2:$G$1081)</f>
        <v>59</v>
      </c>
      <c r="D3">
        <f>IF(B3=0,"",AVERAGEIF(Calc!$E$2:$E$1081,A3,Calc!$F$2:$F$1081))</f>
        <v>13</v>
      </c>
      <c r="E3" t="e">
        <f ca="1">IF(B3=0,"",_xludf.minifs(Calc!$F$2:$F$1081,Calc!$E$2:$E$1081,A3))</f>
        <v>#NAME?</v>
      </c>
    </row>
    <row r="4" spans="1:5" x14ac:dyDescent="0.3">
      <c r="A4">
        <v>3</v>
      </c>
      <c r="B4">
        <f>COUNTIF(Calc!$E$2:$E$1081,A4)</f>
        <v>0</v>
      </c>
      <c r="C4">
        <f>SUMIF(Calc!$E$2:$E$1081,A4,Calc!$G$2:$G$1081)</f>
        <v>0</v>
      </c>
      <c r="D4" t="str">
        <f>IF(B4=0,"",AVERAGEIF(Calc!$E$2:$E$1081,A4,Calc!$F$2:$F$1081))</f>
        <v/>
      </c>
      <c r="E4" t="str">
        <f>IF(B4=0,"",_xludf.minifs(Calc!$F$2:$F$1081,Calc!$E$2:$E$1081,A4))</f>
        <v/>
      </c>
    </row>
    <row r="5" spans="1:5" x14ac:dyDescent="0.3">
      <c r="A5">
        <v>4</v>
      </c>
      <c r="B5">
        <f>COUNTIF(Calc!$E$2:$E$1081,A5)</f>
        <v>0</v>
      </c>
      <c r="C5">
        <f>SUMIF(Calc!$E$2:$E$1081,A5,Calc!$G$2:$G$1081)</f>
        <v>0</v>
      </c>
      <c r="D5" t="str">
        <f>IF(B5=0,"",AVERAGEIF(Calc!$E$2:$E$1081,A5,Calc!$F$2:$F$1081))</f>
        <v/>
      </c>
      <c r="E5" t="str">
        <f>IF(B5=0,"",_xludf.minifs(Calc!$F$2:$F$1081,Calc!$E$2:$E$1081,A5))</f>
        <v/>
      </c>
    </row>
    <row r="6" spans="1:5" x14ac:dyDescent="0.3">
      <c r="A6">
        <v>5</v>
      </c>
      <c r="B6">
        <f>COUNTIF(Calc!$E$2:$E$1081,A6)</f>
        <v>39</v>
      </c>
      <c r="C6">
        <f>SUMIF(Calc!$E$2:$E$1081,A6,Calc!$G$2:$G$1081)</f>
        <v>723</v>
      </c>
      <c r="D6">
        <f>IF(B6=0,"",AVERAGEIF(Calc!$E$2:$E$1081,A6,Calc!$F$2:$F$1081))</f>
        <v>15.282051282051283</v>
      </c>
      <c r="E6" t="e">
        <f ca="1">IF(B6=0,"",_xludf.minifs(Calc!$F$2:$F$1081,Calc!$E$2:$E$1081,A6))</f>
        <v>#NAME?</v>
      </c>
    </row>
    <row r="7" spans="1:5" x14ac:dyDescent="0.3">
      <c r="A7">
        <v>6</v>
      </c>
      <c r="B7">
        <f>COUNTIF(Calc!$E$2:$E$1081,A7)</f>
        <v>1</v>
      </c>
      <c r="C7">
        <f>SUMIF(Calc!$E$2:$E$1081,A7,Calc!$G$2:$G$1081)</f>
        <v>6</v>
      </c>
      <c r="D7">
        <f>IF(B7=0,"",AVERAGEIF(Calc!$E$2:$E$1081,A7,Calc!$F$2:$F$1081))</f>
        <v>31</v>
      </c>
      <c r="E7" t="e">
        <f ca="1">IF(B7=0,"",_xludf.minifs(Calc!$F$2:$F$1081,Calc!$E$2:$E$1081,A7))</f>
        <v>#NAME?</v>
      </c>
    </row>
    <row r="8" spans="1:5" x14ac:dyDescent="0.3">
      <c r="A8">
        <v>7</v>
      </c>
      <c r="B8">
        <f>COUNTIF(Calc!$E$2:$E$1081,A8)</f>
        <v>2</v>
      </c>
      <c r="C8">
        <f>SUMIF(Calc!$E$2:$E$1081,A8,Calc!$G$2:$G$1081)</f>
        <v>38</v>
      </c>
      <c r="D8">
        <f>IF(B8=0,"",AVERAGEIF(Calc!$E$2:$E$1081,A8,Calc!$F$2:$F$1081))</f>
        <v>18</v>
      </c>
      <c r="E8" t="e">
        <f ca="1">IF(B8=0,"",_xludf.minifs(Calc!$F$2:$F$1081,Calc!$E$2:$E$1081,A8))</f>
        <v>#NAME?</v>
      </c>
    </row>
    <row r="9" spans="1:5" x14ac:dyDescent="0.3">
      <c r="A9">
        <v>8</v>
      </c>
      <c r="B9">
        <f>COUNTIF(Calc!$E$2:$E$1081,A9)</f>
        <v>1</v>
      </c>
      <c r="C9">
        <f>SUMIF(Calc!$E$2:$E$1081,A9,Calc!$G$2:$G$1081)</f>
        <v>17</v>
      </c>
      <c r="D9">
        <f>IF(B9=0,"",AVERAGEIF(Calc!$E$2:$E$1081,A9,Calc!$F$2:$F$1081))</f>
        <v>20</v>
      </c>
      <c r="E9" t="e">
        <f ca="1">IF(B9=0,"",_xludf.minifs(Calc!$F$2:$F$1081,Calc!$E$2:$E$1081,A9))</f>
        <v>#NAME?</v>
      </c>
    </row>
    <row r="10" spans="1:5" x14ac:dyDescent="0.3">
      <c r="A10">
        <v>9</v>
      </c>
      <c r="B10">
        <f>COUNTIF(Calc!$E$2:$E$1081,A10)</f>
        <v>12</v>
      </c>
      <c r="C10">
        <f>SUMIF(Calc!$E$2:$E$1081,A10,Calc!$G$2:$G$1081)</f>
        <v>395</v>
      </c>
      <c r="D10">
        <f>IF(B10=0,"",AVERAGEIF(Calc!$E$2:$E$1081,A10,Calc!$F$2:$F$1081))</f>
        <v>7.333333333333333</v>
      </c>
      <c r="E10" t="e">
        <f ca="1">IF(B10=0,"",_xludf.minifs(Calc!$F$2:$F$1081,Calc!$E$2:$E$1081,A10))</f>
        <v>#NAME?</v>
      </c>
    </row>
    <row r="11" spans="1:5" x14ac:dyDescent="0.3">
      <c r="A11">
        <v>10</v>
      </c>
      <c r="B11">
        <f>COUNTIF(Calc!$E$2:$E$1081,A11)</f>
        <v>0</v>
      </c>
      <c r="C11">
        <f>SUMIF(Calc!$E$2:$E$1081,A11,Calc!$G$2:$G$1081)</f>
        <v>0</v>
      </c>
      <c r="D11" t="str">
        <f>IF(B11=0,"",AVERAGEIF(Calc!$E$2:$E$1081,A11,Calc!$F$2:$F$1081))</f>
        <v/>
      </c>
      <c r="E11" t="str">
        <f>IF(B11=0,"",_xludf.minifs(Calc!$F$2:$F$1081,Calc!$E$2:$E$1081,A11))</f>
        <v/>
      </c>
    </row>
    <row r="12" spans="1:5" x14ac:dyDescent="0.3">
      <c r="A12">
        <v>11</v>
      </c>
      <c r="B12">
        <f>COUNTIF(Calc!$E$2:$E$1081,A12)</f>
        <v>41</v>
      </c>
      <c r="C12">
        <f>SUMIF(Calc!$E$2:$E$1081,A12,Calc!$G$2:$G$1081)</f>
        <v>1216</v>
      </c>
      <c r="D12">
        <f>IF(B12=0,"",AVERAGEIF(Calc!$E$2:$E$1081,A12,Calc!$F$2:$F$1081))</f>
        <v>4.6829268292682924</v>
      </c>
      <c r="E12" t="e">
        <f ca="1">IF(B12=0,"",_xludf.minifs(Calc!$F$2:$F$1081,Calc!$E$2:$E$1081,A12))</f>
        <v>#NAME?</v>
      </c>
    </row>
    <row r="13" spans="1:5" x14ac:dyDescent="0.3">
      <c r="A13">
        <v>12</v>
      </c>
      <c r="B13">
        <f>COUNTIF(Calc!$E$2:$E$1081,A13)</f>
        <v>35</v>
      </c>
      <c r="C13">
        <f>SUMIF(Calc!$E$2:$E$1081,A13,Calc!$G$2:$G$1081)</f>
        <v>815</v>
      </c>
      <c r="D13">
        <f>IF(B13=0,"",AVERAGEIF(Calc!$E$2:$E$1081,A13,Calc!$F$2:$F$1081))</f>
        <v>11.228571428571428</v>
      </c>
      <c r="E13" t="e">
        <f ca="1">IF(B13=0,"",_xludf.minifs(Calc!$F$2:$F$1081,Calc!$E$2:$E$1081,A13))</f>
        <v>#NAME?</v>
      </c>
    </row>
    <row r="14" spans="1:5" x14ac:dyDescent="0.3">
      <c r="A14">
        <v>13</v>
      </c>
      <c r="B14">
        <f>COUNTIF(Calc!$E$2:$E$1081,A14)</f>
        <v>0</v>
      </c>
      <c r="C14">
        <f>SUMIF(Calc!$E$2:$E$1081,A14,Calc!$G$2:$G$1081)</f>
        <v>0</v>
      </c>
      <c r="D14" t="str">
        <f>IF(B14=0,"",AVERAGEIF(Calc!$E$2:$E$1081,A14,Calc!$F$2:$F$1081))</f>
        <v/>
      </c>
      <c r="E14" t="str">
        <f>IF(B14=0,"",_xludf.minifs(Calc!$F$2:$F$1081,Calc!$E$2:$E$1081,A14))</f>
        <v/>
      </c>
    </row>
    <row r="15" spans="1:5" x14ac:dyDescent="0.3">
      <c r="A15">
        <v>14</v>
      </c>
      <c r="B15">
        <f>COUNTIF(Calc!$E$2:$E$1081,A15)</f>
        <v>0</v>
      </c>
      <c r="C15">
        <f>SUMIF(Calc!$E$2:$E$1081,A15,Calc!$G$2:$G$1081)</f>
        <v>0</v>
      </c>
      <c r="D15" t="str">
        <f>IF(B15=0,"",AVERAGEIF(Calc!$E$2:$E$1081,A15,Calc!$F$2:$F$1081))</f>
        <v/>
      </c>
      <c r="E15" t="str">
        <f>IF(B15=0,"",_xludf.minifs(Calc!$F$2:$F$1081,Calc!$E$2:$E$1081,A15))</f>
        <v/>
      </c>
    </row>
    <row r="16" spans="1:5" x14ac:dyDescent="0.3">
      <c r="A16">
        <v>15</v>
      </c>
      <c r="B16">
        <f>COUNTIF(Calc!$E$2:$E$1081,A16)</f>
        <v>0</v>
      </c>
      <c r="C16">
        <f>SUMIF(Calc!$E$2:$E$1081,A16,Calc!$G$2:$G$1081)</f>
        <v>0</v>
      </c>
      <c r="D16" t="str">
        <f>IF(B16=0,"",AVERAGEIF(Calc!$E$2:$E$1081,A16,Calc!$F$2:$F$1081))</f>
        <v/>
      </c>
      <c r="E16" t="str">
        <f>IF(B16=0,"",_xludf.minifs(Calc!$F$2:$F$1081,Calc!$E$2:$E$1081,A16))</f>
        <v/>
      </c>
    </row>
    <row r="17" spans="1:5" x14ac:dyDescent="0.3">
      <c r="A17">
        <v>16</v>
      </c>
      <c r="B17">
        <f>COUNTIF(Calc!$E$2:$E$1081,A17)</f>
        <v>0</v>
      </c>
      <c r="C17">
        <f>SUMIF(Calc!$E$2:$E$1081,A17,Calc!$G$2:$G$1081)</f>
        <v>0</v>
      </c>
      <c r="D17" t="str">
        <f>IF(B17=0,"",AVERAGEIF(Calc!$E$2:$E$1081,A17,Calc!$F$2:$F$1081))</f>
        <v/>
      </c>
      <c r="E17" t="str">
        <f>IF(B17=0,"",_xludf.minifs(Calc!$F$2:$F$1081,Calc!$E$2:$E$1081,A17))</f>
        <v/>
      </c>
    </row>
    <row r="18" spans="1:5" x14ac:dyDescent="0.3">
      <c r="A18">
        <v>17</v>
      </c>
      <c r="B18">
        <f>COUNTIF(Calc!$E$2:$E$1081,A18)</f>
        <v>4</v>
      </c>
      <c r="C18">
        <f>SUMIF(Calc!$E$2:$E$1081,A18,Calc!$G$2:$G$1081)</f>
        <v>109</v>
      </c>
      <c r="D18">
        <f>IF(B18=0,"",AVERAGEIF(Calc!$E$2:$E$1081,A18,Calc!$F$2:$F$1081))</f>
        <v>9.75</v>
      </c>
      <c r="E18" t="e">
        <f ca="1">IF(B18=0,"",_xludf.minifs(Calc!$F$2:$F$1081,Calc!$E$2:$E$1081,A18))</f>
        <v>#NAME?</v>
      </c>
    </row>
    <row r="19" spans="1:5" x14ac:dyDescent="0.3">
      <c r="A19">
        <v>18</v>
      </c>
      <c r="B19">
        <f>COUNTIF(Calc!$E$2:$E$1081,A19)</f>
        <v>0</v>
      </c>
      <c r="C19">
        <f>SUMIF(Calc!$E$2:$E$1081,A19,Calc!$G$2:$G$1081)</f>
        <v>0</v>
      </c>
      <c r="D19" t="str">
        <f>IF(B19=0,"",AVERAGEIF(Calc!$E$2:$E$1081,A19,Calc!$F$2:$F$1081))</f>
        <v/>
      </c>
      <c r="E19" t="str">
        <f>IF(B19=0,"",_xludf.minifs(Calc!$F$2:$F$1081,Calc!$E$2:$E$1081,A19))</f>
        <v/>
      </c>
    </row>
    <row r="20" spans="1:5" x14ac:dyDescent="0.3">
      <c r="A20">
        <v>19</v>
      </c>
      <c r="B20">
        <f>COUNTIF(Calc!$E$2:$E$1081,A20)</f>
        <v>6</v>
      </c>
      <c r="C20">
        <f>SUMIF(Calc!$E$2:$E$1081,A20,Calc!$G$2:$G$1081)</f>
        <v>31</v>
      </c>
      <c r="D20">
        <f>IF(B20=0,"",AVERAGEIF(Calc!$E$2:$E$1081,A20,Calc!$F$2:$F$1081))</f>
        <v>26.166666666666668</v>
      </c>
      <c r="E20" t="e">
        <f ca="1">IF(B20=0,"",_xludf.minifs(Calc!$F$2:$F$1081,Calc!$E$2:$E$1081,A20))</f>
        <v>#NAME?</v>
      </c>
    </row>
    <row r="21" spans="1:5" x14ac:dyDescent="0.3">
      <c r="A21">
        <v>20</v>
      </c>
      <c r="B21">
        <f>COUNTIF(Calc!$E$2:$E$1081,A21)</f>
        <v>16</v>
      </c>
      <c r="C21">
        <f>SUMIF(Calc!$E$2:$E$1081,A21,Calc!$G$2:$G$1081)</f>
        <v>316</v>
      </c>
      <c r="D21">
        <f>IF(B21=0,"",AVERAGEIF(Calc!$E$2:$E$1081,A21,Calc!$F$2:$F$1081))</f>
        <v>17.5</v>
      </c>
      <c r="E21" t="e">
        <f ca="1">IF(B21=0,"",_xludf.minifs(Calc!$F$2:$F$1081,Calc!$E$2:$E$1081,A21))</f>
        <v>#NAME?</v>
      </c>
    </row>
    <row r="22" spans="1:5" x14ac:dyDescent="0.3">
      <c r="A22">
        <v>21</v>
      </c>
      <c r="B22">
        <f>COUNTIF(Calc!$E$2:$E$1081,A22)</f>
        <v>1</v>
      </c>
      <c r="C22">
        <f>SUMIF(Calc!$E$2:$E$1081,A22,Calc!$G$2:$G$1081)</f>
        <v>5</v>
      </c>
      <c r="D22">
        <f>IF(B22=0,"",AVERAGEIF(Calc!$E$2:$E$1081,A22,Calc!$F$2:$F$1081))</f>
        <v>32</v>
      </c>
      <c r="E22" t="e">
        <f ca="1">IF(B22=0,"",_xludf.minifs(Calc!$F$2:$F$1081,Calc!$E$2:$E$1081,A22))</f>
        <v>#NAME?</v>
      </c>
    </row>
    <row r="23" spans="1:5" x14ac:dyDescent="0.3">
      <c r="A23">
        <v>22</v>
      </c>
      <c r="B23">
        <f>COUNTIF(Calc!$E$2:$E$1081,A23)</f>
        <v>8</v>
      </c>
      <c r="C23">
        <f>SUMIF(Calc!$E$2:$E$1081,A23,Calc!$G$2:$G$1081)</f>
        <v>45</v>
      </c>
      <c r="D23">
        <f>IF(B23=0,"",AVERAGEIF(Calc!$E$2:$E$1081,A23,Calc!$F$2:$F$1081))</f>
        <v>32.75</v>
      </c>
      <c r="E23" t="e">
        <f ca="1">IF(B23=0,"",_xludf.minifs(Calc!$F$2:$F$1081,Calc!$E$2:$E$1081,A23))</f>
        <v>#NAME?</v>
      </c>
    </row>
    <row r="24" spans="1:5" x14ac:dyDescent="0.3">
      <c r="A24">
        <v>23</v>
      </c>
      <c r="B24">
        <f>COUNTIF(Calc!$E$2:$E$1081,A24)</f>
        <v>8</v>
      </c>
      <c r="C24">
        <f>SUMIF(Calc!$E$2:$E$1081,A24,Calc!$G$2:$G$1081)</f>
        <v>88</v>
      </c>
      <c r="D24">
        <f>IF(B24=0,"",AVERAGEIF(Calc!$E$2:$E$1081,A24,Calc!$F$2:$F$1081))</f>
        <v>21.375</v>
      </c>
      <c r="E24" t="e">
        <f ca="1">IF(B24=0,"",_xludf.minifs(Calc!$F$2:$F$1081,Calc!$E$2:$E$1081,A24))</f>
        <v>#NAME?</v>
      </c>
    </row>
    <row r="25" spans="1:5" x14ac:dyDescent="0.3">
      <c r="A25">
        <v>24</v>
      </c>
      <c r="B25">
        <f>COUNTIF(Calc!$E$2:$E$1081,A25)</f>
        <v>16</v>
      </c>
      <c r="C25">
        <f>SUMIF(Calc!$E$2:$E$1081,A25,Calc!$G$2:$G$1081)</f>
        <v>316</v>
      </c>
      <c r="D25">
        <f>IF(B25=0,"",AVERAGEIF(Calc!$E$2:$E$1081,A25,Calc!$F$2:$F$1081))</f>
        <v>14.9375</v>
      </c>
      <c r="E25" t="e">
        <f ca="1">IF(B25=0,"",_xludf.minifs(Calc!$F$2:$F$1081,Calc!$E$2:$E$1081,A25))</f>
        <v>#NAME?</v>
      </c>
    </row>
    <row r="26" spans="1:5" x14ac:dyDescent="0.3">
      <c r="A26">
        <v>25</v>
      </c>
      <c r="B26">
        <f>COUNTIF(Calc!$E$2:$E$1081,A26)</f>
        <v>0</v>
      </c>
      <c r="C26">
        <f>SUMIF(Calc!$E$2:$E$1081,A26,Calc!$G$2:$G$1081)</f>
        <v>0</v>
      </c>
      <c r="D26" t="str">
        <f>IF(B26=0,"",AVERAGEIF(Calc!$E$2:$E$1081,A26,Calc!$F$2:$F$1081))</f>
        <v/>
      </c>
      <c r="E26" t="str">
        <f>IF(B26=0,"",_xludf.minifs(Calc!$F$2:$F$1081,Calc!$E$2:$E$1081,A26))</f>
        <v/>
      </c>
    </row>
    <row r="27" spans="1:5" x14ac:dyDescent="0.3">
      <c r="A27">
        <v>26</v>
      </c>
      <c r="B27">
        <f>COUNTIF(Calc!$E$2:$E$1081,A27)</f>
        <v>0</v>
      </c>
      <c r="C27">
        <f>SUMIF(Calc!$E$2:$E$1081,A27,Calc!$G$2:$G$1081)</f>
        <v>0</v>
      </c>
      <c r="D27" t="str">
        <f>IF(B27=0,"",AVERAGEIF(Calc!$E$2:$E$1081,A27,Calc!$F$2:$F$1081))</f>
        <v/>
      </c>
      <c r="E27" t="str">
        <f>IF(B27=0,"",_xludf.minifs(Calc!$F$2:$F$1081,Calc!$E$2:$E$1081,A27))</f>
        <v/>
      </c>
    </row>
    <row r="28" spans="1:5" x14ac:dyDescent="0.3">
      <c r="A28">
        <v>27</v>
      </c>
      <c r="B28">
        <f>COUNTIF(Calc!$E$2:$E$1081,A28)</f>
        <v>0</v>
      </c>
      <c r="C28">
        <f>SUMIF(Calc!$E$2:$E$1081,A28,Calc!$G$2:$G$1081)</f>
        <v>0</v>
      </c>
      <c r="D28" t="str">
        <f>IF(B28=0,"",AVERAGEIF(Calc!$E$2:$E$1081,A28,Calc!$F$2:$F$1081))</f>
        <v/>
      </c>
      <c r="E28" t="str">
        <f>IF(B28=0,"",_xludf.minifs(Calc!$F$2:$F$1081,Calc!$E$2:$E$1081,A28))</f>
        <v/>
      </c>
    </row>
    <row r="29" spans="1:5" x14ac:dyDescent="0.3">
      <c r="A29">
        <v>28</v>
      </c>
      <c r="B29">
        <f>COUNTIF(Calc!$E$2:$E$1081,A29)</f>
        <v>0</v>
      </c>
      <c r="C29">
        <f>SUMIF(Calc!$E$2:$E$1081,A29,Calc!$G$2:$G$1081)</f>
        <v>0</v>
      </c>
      <c r="D29" t="str">
        <f>IF(B29=0,"",AVERAGEIF(Calc!$E$2:$E$1081,A29,Calc!$F$2:$F$1081))</f>
        <v/>
      </c>
      <c r="E29" t="str">
        <f>IF(B29=0,"",_xludf.minifs(Calc!$F$2:$F$1081,Calc!$E$2:$E$1081,A29))</f>
        <v/>
      </c>
    </row>
    <row r="30" spans="1:5" x14ac:dyDescent="0.3">
      <c r="A30">
        <v>29</v>
      </c>
      <c r="B30">
        <f>COUNTIF(Calc!$E$2:$E$1081,A30)</f>
        <v>0</v>
      </c>
      <c r="C30">
        <f>SUMIF(Calc!$E$2:$E$1081,A30,Calc!$G$2:$G$1081)</f>
        <v>0</v>
      </c>
      <c r="D30" t="str">
        <f>IF(B30=0,"",AVERAGEIF(Calc!$E$2:$E$1081,A30,Calc!$F$2:$F$1081))</f>
        <v/>
      </c>
      <c r="E30" t="str">
        <f>IF(B30=0,"",_xludf.minifs(Calc!$F$2:$F$1081,Calc!$E$2:$E$1081,A30))</f>
        <v/>
      </c>
    </row>
    <row r="31" spans="1:5" x14ac:dyDescent="0.3">
      <c r="A31">
        <v>30</v>
      </c>
      <c r="B31">
        <f>COUNTIF(Calc!$E$2:$E$1081,A31)</f>
        <v>0</v>
      </c>
      <c r="C31">
        <f>SUMIF(Calc!$E$2:$E$1081,A31,Calc!$G$2:$G$1081)</f>
        <v>0</v>
      </c>
      <c r="D31" t="str">
        <f>IF(B31=0,"",AVERAGEIF(Calc!$E$2:$E$1081,A31,Calc!$F$2:$F$1081))</f>
        <v/>
      </c>
      <c r="E31" t="str">
        <f>IF(B31=0,"",_xludf.minifs(Calc!$F$2:$F$1081,Calc!$E$2:$E$1081,A31))</f>
        <v/>
      </c>
    </row>
    <row r="32" spans="1:5" x14ac:dyDescent="0.3">
      <c r="A32">
        <v>31</v>
      </c>
      <c r="B32">
        <f>COUNTIF(Calc!$E$2:$E$1081,A32)</f>
        <v>0</v>
      </c>
      <c r="C32">
        <f>SUMIF(Calc!$E$2:$E$1081,A32,Calc!$G$2:$G$1081)</f>
        <v>0</v>
      </c>
      <c r="D32" t="str">
        <f>IF(B32=0,"",AVERAGEIF(Calc!$E$2:$E$1081,A32,Calc!$F$2:$F$1081))</f>
        <v/>
      </c>
      <c r="E32" t="str">
        <f>IF(B32=0,"",_xludf.minifs(Calc!$F$2:$F$1081,Calc!$E$2:$E$1081,A32))</f>
        <v/>
      </c>
    </row>
    <row r="33" spans="1:5" x14ac:dyDescent="0.3">
      <c r="A33">
        <v>32</v>
      </c>
      <c r="B33">
        <f>COUNTIF(Calc!$E$2:$E$1081,A33)</f>
        <v>0</v>
      </c>
      <c r="C33">
        <f>SUMIF(Calc!$E$2:$E$1081,A33,Calc!$G$2:$G$1081)</f>
        <v>0</v>
      </c>
      <c r="D33" t="str">
        <f>IF(B33=0,"",AVERAGEIF(Calc!$E$2:$E$1081,A33,Calc!$F$2:$F$1081))</f>
        <v/>
      </c>
      <c r="E33" t="str">
        <f>IF(B33=0,"",_xludf.minifs(Calc!$F$2:$F$1081,Calc!$E$2:$E$1081,A33))</f>
        <v/>
      </c>
    </row>
    <row r="34" spans="1:5" x14ac:dyDescent="0.3">
      <c r="A34">
        <v>33</v>
      </c>
      <c r="B34">
        <f>COUNTIF(Calc!$E$2:$E$1081,A34)</f>
        <v>0</v>
      </c>
      <c r="C34">
        <f>SUMIF(Calc!$E$2:$E$1081,A34,Calc!$G$2:$G$1081)</f>
        <v>0</v>
      </c>
      <c r="D34" t="str">
        <f>IF(B34=0,"",AVERAGEIF(Calc!$E$2:$E$1081,A34,Calc!$F$2:$F$1081))</f>
        <v/>
      </c>
      <c r="E34" t="str">
        <f>IF(B34=0,"",_xludf.minifs(Calc!$F$2:$F$1081,Calc!$E$2:$E$1081,A34))</f>
        <v/>
      </c>
    </row>
    <row r="35" spans="1:5" x14ac:dyDescent="0.3">
      <c r="A35">
        <v>34</v>
      </c>
      <c r="B35">
        <f>COUNTIF(Calc!$E$2:$E$1081,A35)</f>
        <v>0</v>
      </c>
      <c r="C35">
        <f>SUMIF(Calc!$E$2:$E$1081,A35,Calc!$G$2:$G$1081)</f>
        <v>0</v>
      </c>
      <c r="D35" t="str">
        <f>IF(B35=0,"",AVERAGEIF(Calc!$E$2:$E$1081,A35,Calc!$F$2:$F$1081))</f>
        <v/>
      </c>
      <c r="E35" t="str">
        <f>IF(B35=0,"",_xludf.minifs(Calc!$F$2:$F$1081,Calc!$E$2:$E$1081,A35))</f>
        <v/>
      </c>
    </row>
    <row r="36" spans="1:5" x14ac:dyDescent="0.3">
      <c r="A36">
        <v>35</v>
      </c>
      <c r="B36">
        <f>COUNTIF(Calc!$E$2:$E$1081,A36)</f>
        <v>0</v>
      </c>
      <c r="C36">
        <f>SUMIF(Calc!$E$2:$E$1081,A36,Calc!$G$2:$G$1081)</f>
        <v>0</v>
      </c>
      <c r="D36" t="str">
        <f>IF(B36=0,"",AVERAGEIF(Calc!$E$2:$E$1081,A36,Calc!$F$2:$F$1081))</f>
        <v/>
      </c>
      <c r="E36" t="str">
        <f>IF(B36=0,"",_xludf.minifs(Calc!$F$2:$F$1081,Calc!$E$2:$E$1081,A36))</f>
        <v/>
      </c>
    </row>
    <row r="37" spans="1:5" x14ac:dyDescent="0.3">
      <c r="A37">
        <v>36</v>
      </c>
      <c r="B37">
        <f>COUNTIF(Calc!$E$2:$E$1081,A37)</f>
        <v>0</v>
      </c>
      <c r="C37">
        <f>SUMIF(Calc!$E$2:$E$1081,A37,Calc!$G$2:$G$1081)</f>
        <v>0</v>
      </c>
      <c r="D37" t="str">
        <f>IF(B37=0,"",AVERAGEIF(Calc!$E$2:$E$1081,A37,Calc!$F$2:$F$1081))</f>
        <v/>
      </c>
      <c r="E37" t="str">
        <f>IF(B37=0,"",_xludf.minifs(Calc!$F$2:$F$1081,Calc!$E$2:$E$1081,A37))</f>
        <v/>
      </c>
    </row>
    <row r="38" spans="1:5" x14ac:dyDescent="0.3">
      <c r="A38">
        <v>37</v>
      </c>
      <c r="B38">
        <f>COUNTIF(Calc!$E$2:$E$1081,A38)</f>
        <v>0</v>
      </c>
      <c r="C38">
        <f>SUMIF(Calc!$E$2:$E$1081,A38,Calc!$G$2:$G$1081)</f>
        <v>0</v>
      </c>
      <c r="D38" t="str">
        <f>IF(B38=0,"",AVERAGEIF(Calc!$E$2:$E$1081,A38,Calc!$F$2:$F$1081))</f>
        <v/>
      </c>
      <c r="E38" t="str">
        <f>IF(B38=0,"",_xludf.minifs(Calc!$F$2:$F$1081,Calc!$E$2:$E$1081,A38))</f>
        <v/>
      </c>
    </row>
    <row r="39" spans="1:5" x14ac:dyDescent="0.3">
      <c r="A39">
        <v>38</v>
      </c>
      <c r="B39">
        <f>COUNTIF(Calc!$E$2:$E$1081,A39)</f>
        <v>0</v>
      </c>
      <c r="C39">
        <f>SUMIF(Calc!$E$2:$E$1081,A39,Calc!$G$2:$G$1081)</f>
        <v>0</v>
      </c>
      <c r="D39" t="str">
        <f>IF(B39=0,"",AVERAGEIF(Calc!$E$2:$E$1081,A39,Calc!$F$2:$F$1081))</f>
        <v/>
      </c>
      <c r="E39" t="str">
        <f>IF(B39=0,"",_xludf.minifs(Calc!$F$2:$F$1081,Calc!$E$2:$E$1081,A39))</f>
        <v/>
      </c>
    </row>
    <row r="40" spans="1:5" x14ac:dyDescent="0.3">
      <c r="A40">
        <v>39</v>
      </c>
      <c r="B40">
        <f>COUNTIF(Calc!$E$2:$E$1081,A40)</f>
        <v>0</v>
      </c>
      <c r="C40">
        <f>SUMIF(Calc!$E$2:$E$1081,A40,Calc!$G$2:$G$1081)</f>
        <v>0</v>
      </c>
      <c r="D40" t="str">
        <f>IF(B40=0,"",AVERAGEIF(Calc!$E$2:$E$1081,A40,Calc!$F$2:$F$1081))</f>
        <v/>
      </c>
      <c r="E40" t="str">
        <f>IF(B40=0,"",_xludf.minifs(Calc!$F$2:$F$1081,Calc!$E$2:$E$1081,A40))</f>
        <v/>
      </c>
    </row>
    <row r="41" spans="1:5" x14ac:dyDescent="0.3">
      <c r="A41">
        <v>40</v>
      </c>
      <c r="B41">
        <f>COUNTIF(Calc!$E$2:$E$1081,A41)</f>
        <v>0</v>
      </c>
      <c r="C41">
        <f>SUMIF(Calc!$E$2:$E$1081,A41,Calc!$G$2:$G$1081)</f>
        <v>0</v>
      </c>
      <c r="D41" t="str">
        <f>IF(B41=0,"",AVERAGEIF(Calc!$E$2:$E$1081,A41,Calc!$F$2:$F$1081))</f>
        <v/>
      </c>
      <c r="E41" t="str">
        <f>IF(B41=0,"",_xludf.minifs(Calc!$F$2:$F$1081,Calc!$E$2:$E$1081,A41))</f>
        <v/>
      </c>
    </row>
    <row r="42" spans="1:5" x14ac:dyDescent="0.3">
      <c r="A42">
        <v>41</v>
      </c>
      <c r="B42">
        <f>COUNTIF(Calc!$E$2:$E$1081,A42)</f>
        <v>0</v>
      </c>
      <c r="C42">
        <f>SUMIF(Calc!$E$2:$E$1081,A42,Calc!$G$2:$G$1081)</f>
        <v>0</v>
      </c>
      <c r="D42" t="str">
        <f>IF(B42=0,"",AVERAGEIF(Calc!$E$2:$E$1081,A42,Calc!$F$2:$F$1081))</f>
        <v/>
      </c>
      <c r="E42" t="str">
        <f>IF(B42=0,"",_xludf.minifs(Calc!$F$2:$F$1081,Calc!$E$2:$E$1081,A42))</f>
        <v/>
      </c>
    </row>
    <row r="43" spans="1:5" x14ac:dyDescent="0.3">
      <c r="A43">
        <v>42</v>
      </c>
      <c r="B43">
        <f>COUNTIF(Calc!$E$2:$E$1081,A43)</f>
        <v>0</v>
      </c>
      <c r="C43">
        <f>SUMIF(Calc!$E$2:$E$1081,A43,Calc!$G$2:$G$1081)</f>
        <v>0</v>
      </c>
      <c r="D43" t="str">
        <f>IF(B43=0,"",AVERAGEIF(Calc!$E$2:$E$1081,A43,Calc!$F$2:$F$1081))</f>
        <v/>
      </c>
      <c r="E43" t="str">
        <f>IF(B43=0,"",_xludf.minifs(Calc!$F$2:$F$1081,Calc!$E$2:$E$1081,A43))</f>
        <v/>
      </c>
    </row>
    <row r="44" spans="1:5" x14ac:dyDescent="0.3">
      <c r="A44">
        <v>43</v>
      </c>
      <c r="B44">
        <f>COUNTIF(Calc!$E$2:$E$1081,A44)</f>
        <v>0</v>
      </c>
      <c r="C44">
        <f>SUMIF(Calc!$E$2:$E$1081,A44,Calc!$G$2:$G$1081)</f>
        <v>0</v>
      </c>
      <c r="D44" t="str">
        <f>IF(B44=0,"",AVERAGEIF(Calc!$E$2:$E$1081,A44,Calc!$F$2:$F$1081))</f>
        <v/>
      </c>
      <c r="E44" t="str">
        <f>IF(B44=0,"",_xludf.minifs(Calc!$F$2:$F$1081,Calc!$E$2:$E$1081,A44))</f>
        <v/>
      </c>
    </row>
    <row r="45" spans="1:5" x14ac:dyDescent="0.3">
      <c r="A45">
        <v>44</v>
      </c>
      <c r="B45">
        <f>COUNTIF(Calc!$E$2:$E$1081,A45)</f>
        <v>0</v>
      </c>
      <c r="C45">
        <f>SUMIF(Calc!$E$2:$E$1081,A45,Calc!$G$2:$G$1081)</f>
        <v>0</v>
      </c>
      <c r="D45" t="str">
        <f>IF(B45=0,"",AVERAGEIF(Calc!$E$2:$E$1081,A45,Calc!$F$2:$F$1081))</f>
        <v/>
      </c>
      <c r="E45" t="str">
        <f>IF(B45=0,"",_xludf.minifs(Calc!$F$2:$F$1081,Calc!$E$2:$E$1081,A45))</f>
        <v/>
      </c>
    </row>
    <row r="46" spans="1:5" x14ac:dyDescent="0.3">
      <c r="A46">
        <v>45</v>
      </c>
      <c r="B46">
        <f>COUNTIF(Calc!$E$2:$E$1081,A46)</f>
        <v>30</v>
      </c>
      <c r="C46">
        <f>SUMIF(Calc!$E$2:$E$1081,A46,Calc!$G$2:$G$1081)</f>
        <v>914</v>
      </c>
      <c r="D46">
        <f>IF(B46=0,"",AVERAGEIF(Calc!$E$2:$E$1081,A46,Calc!$F$2:$F$1081))</f>
        <v>5.4333333333333336</v>
      </c>
      <c r="E46" t="e">
        <f ca="1">IF(B46=0,"",_xludf.minifs(Calc!$F$2:$F$1081,Calc!$E$2:$E$1081,A46))</f>
        <v>#NAME?</v>
      </c>
    </row>
    <row r="47" spans="1:5" x14ac:dyDescent="0.3">
      <c r="A47">
        <v>46</v>
      </c>
      <c r="B47">
        <f>COUNTIF(Calc!$E$2:$E$1081,A47)</f>
        <v>0</v>
      </c>
      <c r="C47">
        <f>SUMIF(Calc!$E$2:$E$1081,A47,Calc!$G$2:$G$1081)</f>
        <v>0</v>
      </c>
      <c r="D47" t="str">
        <f>IF(B47=0,"",AVERAGEIF(Calc!$E$2:$E$1081,A47,Calc!$F$2:$F$1081))</f>
        <v/>
      </c>
      <c r="E47" t="str">
        <f>IF(B47=0,"",_xludf.minifs(Calc!$F$2:$F$1081,Calc!$E$2:$E$1081,A47))</f>
        <v/>
      </c>
    </row>
    <row r="48" spans="1:5" x14ac:dyDescent="0.3">
      <c r="A48">
        <v>47</v>
      </c>
      <c r="B48">
        <f>COUNTIF(Calc!$E$2:$E$1081,A48)</f>
        <v>0</v>
      </c>
      <c r="C48">
        <f>SUMIF(Calc!$E$2:$E$1081,A48,Calc!$G$2:$G$1081)</f>
        <v>0</v>
      </c>
      <c r="D48" t="str">
        <f>IF(B48=0,"",AVERAGEIF(Calc!$E$2:$E$1081,A48,Calc!$F$2:$F$1081))</f>
        <v/>
      </c>
      <c r="E48" t="str">
        <f>IF(B48=0,"",_xludf.minifs(Calc!$F$2:$F$1081,Calc!$E$2:$E$1081,A48))</f>
        <v/>
      </c>
    </row>
    <row r="49" spans="1:5" x14ac:dyDescent="0.3">
      <c r="A49">
        <v>48</v>
      </c>
      <c r="B49">
        <f>COUNTIF(Calc!$E$2:$E$1081,A49)</f>
        <v>2</v>
      </c>
      <c r="C49">
        <f>SUMIF(Calc!$E$2:$E$1081,A49,Calc!$G$2:$G$1081)</f>
        <v>34</v>
      </c>
      <c r="D49">
        <f>IF(B49=0,"",AVERAGEIF(Calc!$E$2:$E$1081,A49,Calc!$F$2:$F$1081))</f>
        <v>1.5</v>
      </c>
      <c r="E49" t="e">
        <f ca="1">IF(B49=0,"",_xludf.minifs(Calc!$F$2:$F$1081,Calc!$E$2:$E$1081,A49))</f>
        <v>#NAME?</v>
      </c>
    </row>
    <row r="50" spans="1:5" x14ac:dyDescent="0.3">
      <c r="A50">
        <v>49</v>
      </c>
      <c r="B50">
        <f>COUNTIF(Calc!$E$2:$E$1081,A50)</f>
        <v>0</v>
      </c>
      <c r="C50">
        <f>SUMIF(Calc!$E$2:$E$1081,A50,Calc!$G$2:$G$1081)</f>
        <v>0</v>
      </c>
      <c r="D50" t="str">
        <f>IF(B50=0,"",AVERAGEIF(Calc!$E$2:$E$1081,A50,Calc!$F$2:$F$1081))</f>
        <v/>
      </c>
      <c r="E50" t="str">
        <f>IF(B50=0,"",_xludf.minifs(Calc!$F$2:$F$1081,Calc!$E$2:$E$1081,A50))</f>
        <v/>
      </c>
    </row>
    <row r="51" spans="1:5" x14ac:dyDescent="0.3">
      <c r="A51">
        <v>50</v>
      </c>
      <c r="B51">
        <f>COUNTIF(Calc!$E$2:$E$1081,A51)</f>
        <v>0</v>
      </c>
      <c r="C51">
        <f>SUMIF(Calc!$E$2:$E$1081,A51,Calc!$G$2:$G$1081)</f>
        <v>0</v>
      </c>
      <c r="D51" t="str">
        <f>IF(B51=0,"",AVERAGEIF(Calc!$E$2:$E$1081,A51,Calc!$F$2:$F$1081))</f>
        <v/>
      </c>
      <c r="E51" t="str">
        <f>IF(B51=0,"",_xludf.minifs(Calc!$F$2:$F$1081,Calc!$E$2:$E$1081,A51))</f>
        <v/>
      </c>
    </row>
    <row r="52" spans="1:5" x14ac:dyDescent="0.3">
      <c r="A52">
        <v>51</v>
      </c>
      <c r="B52">
        <f>COUNTIF(Calc!$E$2:$E$1081,A52)</f>
        <v>0</v>
      </c>
      <c r="C52">
        <f>SUMIF(Calc!$E$2:$E$1081,A52,Calc!$G$2:$G$1081)</f>
        <v>0</v>
      </c>
      <c r="D52" t="str">
        <f>IF(B52=0,"",AVERAGEIF(Calc!$E$2:$E$1081,A52,Calc!$F$2:$F$1081))</f>
        <v/>
      </c>
      <c r="E52" t="str">
        <f>IF(B52=0,"",_xludf.minifs(Calc!$F$2:$F$1081,Calc!$E$2:$E$1081,A52))</f>
        <v/>
      </c>
    </row>
    <row r="53" spans="1:5" x14ac:dyDescent="0.3">
      <c r="A53">
        <v>52</v>
      </c>
      <c r="B53">
        <f>COUNTIF(Calc!$E$2:$E$1081,A53)</f>
        <v>0</v>
      </c>
      <c r="C53">
        <f>SUMIF(Calc!$E$2:$E$1081,A53,Calc!$G$2:$G$1081)</f>
        <v>0</v>
      </c>
      <c r="D53" t="str">
        <f>IF(B53=0,"",AVERAGEIF(Calc!$E$2:$E$1081,A53,Calc!$F$2:$F$1081))</f>
        <v/>
      </c>
      <c r="E53" t="str">
        <f>IF(B53=0,"",_xludf.minifs(Calc!$F$2:$F$1081,Calc!$E$2:$E$1081,A53))</f>
        <v/>
      </c>
    </row>
    <row r="54" spans="1:5" x14ac:dyDescent="0.3">
      <c r="A54">
        <v>53</v>
      </c>
      <c r="B54">
        <f>COUNTIF(Calc!$E$2:$E$1081,A54)</f>
        <v>0</v>
      </c>
      <c r="C54">
        <f>SUMIF(Calc!$E$2:$E$1081,A54,Calc!$G$2:$G$1081)</f>
        <v>0</v>
      </c>
      <c r="D54" t="str">
        <f>IF(B54=0,"",AVERAGEIF(Calc!$E$2:$E$1081,A54,Calc!$F$2:$F$1081))</f>
        <v/>
      </c>
      <c r="E54" t="str">
        <f>IF(B54=0,"",_xludf.minifs(Calc!$F$2:$F$1081,Calc!$E$2:$E$1081,A54))</f>
        <v/>
      </c>
    </row>
    <row r="55" spans="1:5" x14ac:dyDescent="0.3">
      <c r="A55">
        <v>54</v>
      </c>
      <c r="B55">
        <f>COUNTIF(Calc!$E$2:$E$1081,A55)</f>
        <v>12</v>
      </c>
      <c r="C55">
        <f>SUMIF(Calc!$E$2:$E$1081,A55,Calc!$G$2:$G$1081)</f>
        <v>340</v>
      </c>
      <c r="D55">
        <f>IF(B55=0,"",AVERAGEIF(Calc!$E$2:$E$1081,A55,Calc!$F$2:$F$1081))</f>
        <v>10.333333333333334</v>
      </c>
      <c r="E55" t="e">
        <f ca="1">IF(B55=0,"",_xludf.minifs(Calc!$F$2:$F$1081,Calc!$E$2:$E$1081,A55))</f>
        <v>#NAME?</v>
      </c>
    </row>
    <row r="56" spans="1:5" x14ac:dyDescent="0.3">
      <c r="A56">
        <v>55</v>
      </c>
      <c r="B56">
        <f>COUNTIF(Calc!$E$2:$E$1081,A56)</f>
        <v>0</v>
      </c>
      <c r="C56">
        <f>SUMIF(Calc!$E$2:$E$1081,A56,Calc!$G$2:$G$1081)</f>
        <v>0</v>
      </c>
      <c r="D56" t="str">
        <f>IF(B56=0,"",AVERAGEIF(Calc!$E$2:$E$1081,A56,Calc!$F$2:$F$1081))</f>
        <v/>
      </c>
      <c r="E56" t="str">
        <f>IF(B56=0,"",_xludf.minifs(Calc!$F$2:$F$1081,Calc!$E$2:$E$1081,A56))</f>
        <v/>
      </c>
    </row>
    <row r="57" spans="1:5" x14ac:dyDescent="0.3">
      <c r="A57">
        <v>56</v>
      </c>
      <c r="B57">
        <f>COUNTIF(Calc!$E$2:$E$1081,A57)</f>
        <v>0</v>
      </c>
      <c r="C57">
        <f>SUMIF(Calc!$E$2:$E$1081,A57,Calc!$G$2:$G$1081)</f>
        <v>0</v>
      </c>
      <c r="D57" t="str">
        <f>IF(B57=0,"",AVERAGEIF(Calc!$E$2:$E$1081,A57,Calc!$F$2:$F$1081))</f>
        <v/>
      </c>
      <c r="E57" t="str">
        <f>IF(B57=0,"",_xludf.minifs(Calc!$F$2:$F$1081,Calc!$E$2:$E$1081,A57))</f>
        <v/>
      </c>
    </row>
    <row r="58" spans="1:5" x14ac:dyDescent="0.3">
      <c r="A58">
        <v>57</v>
      </c>
      <c r="B58">
        <f>COUNTIF(Calc!$E$2:$E$1081,A58)</f>
        <v>0</v>
      </c>
      <c r="C58">
        <f>SUMIF(Calc!$E$2:$E$1081,A58,Calc!$G$2:$G$1081)</f>
        <v>0</v>
      </c>
      <c r="D58" t="str">
        <f>IF(B58=0,"",AVERAGEIF(Calc!$E$2:$E$1081,A58,Calc!$F$2:$F$1081))</f>
        <v/>
      </c>
      <c r="E58" t="str">
        <f>IF(B58=0,"",_xludf.minifs(Calc!$F$2:$F$1081,Calc!$E$2:$E$1081,A58))</f>
        <v/>
      </c>
    </row>
    <row r="59" spans="1:5" x14ac:dyDescent="0.3">
      <c r="A59">
        <v>58</v>
      </c>
      <c r="B59">
        <f>COUNTIF(Calc!$E$2:$E$1081,A59)</f>
        <v>0</v>
      </c>
      <c r="C59">
        <f>SUMIF(Calc!$E$2:$E$1081,A59,Calc!$G$2:$G$1081)</f>
        <v>0</v>
      </c>
      <c r="D59" t="str">
        <f>IF(B59=0,"",AVERAGEIF(Calc!$E$2:$E$1081,A59,Calc!$F$2:$F$1081))</f>
        <v/>
      </c>
      <c r="E59" t="str">
        <f>IF(B59=0,"",_xludf.minifs(Calc!$F$2:$F$1081,Calc!$E$2:$E$1081,A59))</f>
        <v/>
      </c>
    </row>
    <row r="60" spans="1:5" x14ac:dyDescent="0.3">
      <c r="A60">
        <v>59</v>
      </c>
      <c r="B60">
        <f>COUNTIF(Calc!$E$2:$E$1081,A60)</f>
        <v>0</v>
      </c>
      <c r="C60">
        <f>SUMIF(Calc!$E$2:$E$1081,A60,Calc!$G$2:$G$1081)</f>
        <v>0</v>
      </c>
      <c r="D60" t="str">
        <f>IF(B60=0,"",AVERAGEIF(Calc!$E$2:$E$1081,A60,Calc!$F$2:$F$1081))</f>
        <v/>
      </c>
      <c r="E60" t="str">
        <f>IF(B60=0,"",_xludf.minifs(Calc!$F$2:$F$1081,Calc!$E$2:$E$1081,A60))</f>
        <v/>
      </c>
    </row>
    <row r="61" spans="1:5" x14ac:dyDescent="0.3">
      <c r="A61">
        <v>60</v>
      </c>
      <c r="B61">
        <f>COUNTIF(Calc!$E$2:$E$1081,A61)</f>
        <v>0</v>
      </c>
      <c r="C61">
        <f>SUMIF(Calc!$E$2:$E$1081,A61,Calc!$G$2:$G$1081)</f>
        <v>0</v>
      </c>
      <c r="D61" t="str">
        <f>IF(B61=0,"",AVERAGEIF(Calc!$E$2:$E$1081,A61,Calc!$F$2:$F$1081))</f>
        <v/>
      </c>
      <c r="E61" t="str">
        <f>IF(B61=0,"",_xludf.minifs(Calc!$F$2:$F$1081,Calc!$E$2:$E$1081,A61))</f>
        <v/>
      </c>
    </row>
    <row r="62" spans="1:5" x14ac:dyDescent="0.3">
      <c r="A62">
        <v>61</v>
      </c>
      <c r="B62">
        <f>COUNTIF(Calc!$E$2:$E$1081,A62)</f>
        <v>0</v>
      </c>
      <c r="C62">
        <f>SUMIF(Calc!$E$2:$E$1081,A62,Calc!$G$2:$G$1081)</f>
        <v>0</v>
      </c>
      <c r="D62" t="str">
        <f>IF(B62=0,"",AVERAGEIF(Calc!$E$2:$E$1081,A62,Calc!$F$2:$F$1081))</f>
        <v/>
      </c>
      <c r="E62" t="str">
        <f>IF(B62=0,"",_xludf.minifs(Calc!$F$2:$F$1081,Calc!$E$2:$E$1081,A62))</f>
        <v/>
      </c>
    </row>
    <row r="63" spans="1:5" x14ac:dyDescent="0.3">
      <c r="A63">
        <v>62</v>
      </c>
      <c r="B63">
        <f>COUNTIF(Calc!$E$2:$E$1081,A63)</f>
        <v>0</v>
      </c>
      <c r="C63">
        <f>SUMIF(Calc!$E$2:$E$1081,A63,Calc!$G$2:$G$1081)</f>
        <v>0</v>
      </c>
      <c r="D63" t="str">
        <f>IF(B63=0,"",AVERAGEIF(Calc!$E$2:$E$1081,A63,Calc!$F$2:$F$1081))</f>
        <v/>
      </c>
      <c r="E63" t="str">
        <f>IF(B63=0,"",_xludf.minifs(Calc!$F$2:$F$1081,Calc!$E$2:$E$1081,A63))</f>
        <v/>
      </c>
    </row>
    <row r="64" spans="1:5" x14ac:dyDescent="0.3">
      <c r="A64">
        <v>63</v>
      </c>
      <c r="B64">
        <f>COUNTIF(Calc!$E$2:$E$1081,A64)</f>
        <v>0</v>
      </c>
      <c r="C64">
        <f>SUMIF(Calc!$E$2:$E$1081,A64,Calc!$G$2:$G$1081)</f>
        <v>0</v>
      </c>
      <c r="D64" t="str">
        <f>IF(B64=0,"",AVERAGEIF(Calc!$E$2:$E$1081,A64,Calc!$F$2:$F$1081))</f>
        <v/>
      </c>
      <c r="E64" t="str">
        <f>IF(B64=0,"",_xludf.minifs(Calc!$F$2:$F$1081,Calc!$E$2:$E$1081,A64))</f>
        <v/>
      </c>
    </row>
    <row r="65" spans="1:5" x14ac:dyDescent="0.3">
      <c r="A65">
        <v>64</v>
      </c>
      <c r="B65">
        <f>COUNTIF(Calc!$E$2:$E$1081,A65)</f>
        <v>0</v>
      </c>
      <c r="C65">
        <f>SUMIF(Calc!$E$2:$E$1081,A65,Calc!$G$2:$G$1081)</f>
        <v>0</v>
      </c>
      <c r="D65" t="str">
        <f>IF(B65=0,"",AVERAGEIF(Calc!$E$2:$E$1081,A65,Calc!$F$2:$F$1081))</f>
        <v/>
      </c>
      <c r="E65" t="str">
        <f>IF(B65=0,"",_xludf.minifs(Calc!$F$2:$F$1081,Calc!$E$2:$E$1081,A65))</f>
        <v/>
      </c>
    </row>
    <row r="66" spans="1:5" x14ac:dyDescent="0.3">
      <c r="A66">
        <v>65</v>
      </c>
      <c r="B66">
        <f>COUNTIF(Calc!$E$2:$E$1081,A66)</f>
        <v>0</v>
      </c>
      <c r="C66">
        <f>SUMIF(Calc!$E$2:$E$1081,A66,Calc!$G$2:$G$1081)</f>
        <v>0</v>
      </c>
      <c r="D66" t="str">
        <f>IF(B66=0,"",AVERAGEIF(Calc!$E$2:$E$1081,A66,Calc!$F$2:$F$1081))</f>
        <v/>
      </c>
      <c r="E66" t="str">
        <f>IF(B66=0,"",_xludf.minifs(Calc!$F$2:$F$1081,Calc!$E$2:$E$1081,A66))</f>
        <v/>
      </c>
    </row>
    <row r="67" spans="1:5" x14ac:dyDescent="0.3">
      <c r="A67">
        <v>66</v>
      </c>
      <c r="B67">
        <f>COUNTIF(Calc!$E$2:$E$1081,A67)</f>
        <v>0</v>
      </c>
      <c r="C67">
        <f>SUMIF(Calc!$E$2:$E$1081,A67,Calc!$G$2:$G$1081)</f>
        <v>0</v>
      </c>
      <c r="D67" t="str">
        <f>IF(B67=0,"",AVERAGEIF(Calc!$E$2:$E$1081,A67,Calc!$F$2:$F$1081))</f>
        <v/>
      </c>
      <c r="E67" t="str">
        <f>IF(B67=0,"",_xludf.minifs(Calc!$F$2:$F$1081,Calc!$E$2:$E$1081,A67))</f>
        <v/>
      </c>
    </row>
    <row r="68" spans="1:5" x14ac:dyDescent="0.3">
      <c r="A68">
        <v>67</v>
      </c>
      <c r="B68">
        <f>COUNTIF(Calc!$E$2:$E$1081,A68)</f>
        <v>0</v>
      </c>
      <c r="C68">
        <f>SUMIF(Calc!$E$2:$E$1081,A68,Calc!$G$2:$G$1081)</f>
        <v>0</v>
      </c>
      <c r="D68" t="str">
        <f>IF(B68=0,"",AVERAGEIF(Calc!$E$2:$E$1081,A68,Calc!$F$2:$F$1081))</f>
        <v/>
      </c>
      <c r="E68" t="str">
        <f>IF(B68=0,"",_xludf.minifs(Calc!$F$2:$F$1081,Calc!$E$2:$E$1081,A68))</f>
        <v/>
      </c>
    </row>
    <row r="69" spans="1:5" x14ac:dyDescent="0.3">
      <c r="A69">
        <v>68</v>
      </c>
      <c r="B69">
        <f>COUNTIF(Calc!$E$2:$E$1081,A69)</f>
        <v>0</v>
      </c>
      <c r="C69">
        <f>SUMIF(Calc!$E$2:$E$1081,A69,Calc!$G$2:$G$1081)</f>
        <v>0</v>
      </c>
      <c r="D69" t="str">
        <f>IF(B69=0,"",AVERAGEIF(Calc!$E$2:$E$1081,A69,Calc!$F$2:$F$1081))</f>
        <v/>
      </c>
      <c r="E69" t="str">
        <f>IF(B69=0,"",_xludf.minifs(Calc!$F$2:$F$1081,Calc!$E$2:$E$1081,A69))</f>
        <v/>
      </c>
    </row>
    <row r="70" spans="1:5" x14ac:dyDescent="0.3">
      <c r="A70">
        <v>69</v>
      </c>
      <c r="B70">
        <f>COUNTIF(Calc!$E$2:$E$1081,A70)</f>
        <v>0</v>
      </c>
      <c r="C70">
        <f>SUMIF(Calc!$E$2:$E$1081,A70,Calc!$G$2:$G$1081)</f>
        <v>0</v>
      </c>
      <c r="D70" t="str">
        <f>IF(B70=0,"",AVERAGEIF(Calc!$E$2:$E$1081,A70,Calc!$F$2:$F$1081))</f>
        <v/>
      </c>
      <c r="E70" t="str">
        <f>IF(B70=0,"",_xludf.minifs(Calc!$F$2:$F$1081,Calc!$E$2:$E$1081,A70))</f>
        <v/>
      </c>
    </row>
    <row r="71" spans="1:5" x14ac:dyDescent="0.3">
      <c r="A71">
        <v>70</v>
      </c>
      <c r="B71">
        <f>COUNTIF(Calc!$E$2:$E$1081,A71)</f>
        <v>0</v>
      </c>
      <c r="C71">
        <f>SUMIF(Calc!$E$2:$E$1081,A71,Calc!$G$2:$G$1081)</f>
        <v>0</v>
      </c>
      <c r="D71" t="str">
        <f>IF(B71=0,"",AVERAGEIF(Calc!$E$2:$E$1081,A71,Calc!$F$2:$F$1081))</f>
        <v/>
      </c>
      <c r="E71" t="str">
        <f>IF(B71=0,"",_xludf.minifs(Calc!$F$2:$F$1081,Calc!$E$2:$E$1081,A71))</f>
        <v/>
      </c>
    </row>
    <row r="72" spans="1:5" x14ac:dyDescent="0.3">
      <c r="A72">
        <v>71</v>
      </c>
      <c r="B72">
        <f>COUNTIF(Calc!$E$2:$E$1081,A72)</f>
        <v>0</v>
      </c>
      <c r="C72">
        <f>SUMIF(Calc!$E$2:$E$1081,A72,Calc!$G$2:$G$1081)</f>
        <v>0</v>
      </c>
      <c r="D72" t="str">
        <f>IF(B72=0,"",AVERAGEIF(Calc!$E$2:$E$1081,A72,Calc!$F$2:$F$1081))</f>
        <v/>
      </c>
      <c r="E72" t="str">
        <f>IF(B72=0,"",_xludf.minifs(Calc!$F$2:$F$1081,Calc!$E$2:$E$1081,A72))</f>
        <v/>
      </c>
    </row>
    <row r="73" spans="1:5" x14ac:dyDescent="0.3">
      <c r="A73">
        <v>72</v>
      </c>
      <c r="B73">
        <f>COUNTIF(Calc!$E$2:$E$1081,A73)</f>
        <v>0</v>
      </c>
      <c r="C73">
        <f>SUMIF(Calc!$E$2:$E$1081,A73,Calc!$G$2:$G$1081)</f>
        <v>0</v>
      </c>
      <c r="D73" t="str">
        <f>IF(B73=0,"",AVERAGEIF(Calc!$E$2:$E$1081,A73,Calc!$F$2:$F$1081))</f>
        <v/>
      </c>
      <c r="E73" t="str">
        <f>IF(B73=0,"",_xludf.minifs(Calc!$F$2:$F$1081,Calc!$E$2:$E$1081,A73))</f>
        <v/>
      </c>
    </row>
    <row r="74" spans="1:5" x14ac:dyDescent="0.3">
      <c r="A74">
        <v>73</v>
      </c>
      <c r="B74">
        <f>COUNTIF(Calc!$E$2:$E$1081,A74)</f>
        <v>0</v>
      </c>
      <c r="C74">
        <f>SUMIF(Calc!$E$2:$E$1081,A74,Calc!$G$2:$G$1081)</f>
        <v>0</v>
      </c>
      <c r="D74" t="str">
        <f>IF(B74=0,"",AVERAGEIF(Calc!$E$2:$E$1081,A74,Calc!$F$2:$F$1081))</f>
        <v/>
      </c>
      <c r="E74" t="str">
        <f>IF(B74=0,"",_xludf.minifs(Calc!$F$2:$F$1081,Calc!$E$2:$E$1081,A74))</f>
        <v/>
      </c>
    </row>
    <row r="75" spans="1:5" x14ac:dyDescent="0.3">
      <c r="A75">
        <v>74</v>
      </c>
      <c r="B75">
        <f>COUNTIF(Calc!$E$2:$E$1081,A75)</f>
        <v>0</v>
      </c>
      <c r="C75">
        <f>SUMIF(Calc!$E$2:$E$1081,A75,Calc!$G$2:$G$1081)</f>
        <v>0</v>
      </c>
      <c r="D75" t="str">
        <f>IF(B75=0,"",AVERAGEIF(Calc!$E$2:$E$1081,A75,Calc!$F$2:$F$1081))</f>
        <v/>
      </c>
      <c r="E75" t="str">
        <f>IF(B75=0,"",_xludf.minifs(Calc!$F$2:$F$1081,Calc!$E$2:$E$1081,A75))</f>
        <v/>
      </c>
    </row>
    <row r="76" spans="1:5" x14ac:dyDescent="0.3">
      <c r="A76">
        <v>75</v>
      </c>
      <c r="B76">
        <f>COUNTIF(Calc!$E$2:$E$1081,A76)</f>
        <v>0</v>
      </c>
      <c r="C76">
        <f>SUMIF(Calc!$E$2:$E$1081,A76,Calc!$G$2:$G$1081)</f>
        <v>0</v>
      </c>
      <c r="D76" t="str">
        <f>IF(B76=0,"",AVERAGEIF(Calc!$E$2:$E$1081,A76,Calc!$F$2:$F$1081))</f>
        <v/>
      </c>
      <c r="E76" t="str">
        <f>IF(B76=0,"",_xludf.minifs(Calc!$F$2:$F$1081,Calc!$E$2:$E$1081,A76))</f>
        <v/>
      </c>
    </row>
    <row r="77" spans="1:5" x14ac:dyDescent="0.3">
      <c r="A77">
        <v>76</v>
      </c>
      <c r="B77">
        <f>COUNTIF(Calc!$E$2:$E$1081,A77)</f>
        <v>0</v>
      </c>
      <c r="C77">
        <f>SUMIF(Calc!$E$2:$E$1081,A77,Calc!$G$2:$G$1081)</f>
        <v>0</v>
      </c>
      <c r="D77" t="str">
        <f>IF(B77=0,"",AVERAGEIF(Calc!$E$2:$E$1081,A77,Calc!$F$2:$F$1081))</f>
        <v/>
      </c>
      <c r="E77" t="str">
        <f>IF(B77=0,"",_xludf.minifs(Calc!$F$2:$F$1081,Calc!$E$2:$E$1081,A77))</f>
        <v/>
      </c>
    </row>
    <row r="78" spans="1:5" x14ac:dyDescent="0.3">
      <c r="A78">
        <v>77</v>
      </c>
      <c r="B78">
        <f>COUNTIF(Calc!$E$2:$E$1081,A78)</f>
        <v>5</v>
      </c>
      <c r="C78">
        <f>SUMIF(Calc!$E$2:$E$1081,A78,Calc!$G$2:$G$1081)</f>
        <v>140</v>
      </c>
      <c r="D78">
        <f>IF(B78=0,"",AVERAGEIF(Calc!$E$2:$E$1081,A78,Calc!$F$2:$F$1081))</f>
        <v>9</v>
      </c>
      <c r="E78" t="e">
        <f ca="1">IF(B78=0,"",_xludf.minifs(Calc!$F$2:$F$1081,Calc!$E$2:$E$1081,A78))</f>
        <v>#NAME?</v>
      </c>
    </row>
    <row r="79" spans="1:5" x14ac:dyDescent="0.3">
      <c r="A79">
        <v>78</v>
      </c>
      <c r="B79">
        <f>COUNTIF(Calc!$E$2:$E$1081,A79)</f>
        <v>0</v>
      </c>
      <c r="C79">
        <f>SUMIF(Calc!$E$2:$E$1081,A79,Calc!$G$2:$G$1081)</f>
        <v>0</v>
      </c>
      <c r="D79" t="str">
        <f>IF(B79=0,"",AVERAGEIF(Calc!$E$2:$E$1081,A79,Calc!$F$2:$F$1081))</f>
        <v/>
      </c>
      <c r="E79" t="str">
        <f>IF(B79=0,"",_xludf.minifs(Calc!$F$2:$F$1081,Calc!$E$2:$E$1081,A79))</f>
        <v/>
      </c>
    </row>
    <row r="80" spans="1:5" x14ac:dyDescent="0.3">
      <c r="A80">
        <v>79</v>
      </c>
      <c r="B80">
        <f>COUNTIF(Calc!$E$2:$E$1081,A80)</f>
        <v>0</v>
      </c>
      <c r="C80">
        <f>SUMIF(Calc!$E$2:$E$1081,A80,Calc!$G$2:$G$1081)</f>
        <v>0</v>
      </c>
      <c r="D80" t="str">
        <f>IF(B80=0,"",AVERAGEIF(Calc!$E$2:$E$1081,A80,Calc!$F$2:$F$1081))</f>
        <v/>
      </c>
      <c r="E80" t="str">
        <f>IF(B80=0,"",_xludf.minifs(Calc!$F$2:$F$1081,Calc!$E$2:$E$1081,A80))</f>
        <v/>
      </c>
    </row>
    <row r="81" spans="1:5" x14ac:dyDescent="0.3">
      <c r="A81">
        <v>80</v>
      </c>
      <c r="B81">
        <f>COUNTIF(Calc!$E$2:$E$1081,A81)</f>
        <v>0</v>
      </c>
      <c r="C81">
        <f>SUMIF(Calc!$E$2:$E$1081,A81,Calc!$G$2:$G$1081)</f>
        <v>0</v>
      </c>
      <c r="D81" t="str">
        <f>IF(B81=0,"",AVERAGEIF(Calc!$E$2:$E$1081,A81,Calc!$F$2:$F$1081))</f>
        <v/>
      </c>
      <c r="E81" t="str">
        <f>IF(B81=0,"",_xludf.minifs(Calc!$F$2:$F$1081,Calc!$E$2:$E$1081,A81))</f>
        <v/>
      </c>
    </row>
    <row r="82" spans="1:5" x14ac:dyDescent="0.3">
      <c r="A82">
        <v>81</v>
      </c>
      <c r="B82">
        <f>COUNTIF(Calc!$E$2:$E$1081,A82)</f>
        <v>0</v>
      </c>
      <c r="C82">
        <f>SUMIF(Calc!$E$2:$E$1081,A82,Calc!$G$2:$G$1081)</f>
        <v>0</v>
      </c>
      <c r="D82" t="str">
        <f>IF(B82=0,"",AVERAGEIF(Calc!$E$2:$E$1081,A82,Calc!$F$2:$F$1081))</f>
        <v/>
      </c>
      <c r="E82" t="str">
        <f>IF(B82=0,"",_xludf.minifs(Calc!$F$2:$F$1081,Calc!$E$2:$E$1081,A82))</f>
        <v/>
      </c>
    </row>
    <row r="83" spans="1:5" x14ac:dyDescent="0.3">
      <c r="A83">
        <v>82</v>
      </c>
      <c r="B83">
        <f>COUNTIF(Calc!$E$2:$E$1081,A83)</f>
        <v>0</v>
      </c>
      <c r="C83">
        <f>SUMIF(Calc!$E$2:$E$1081,A83,Calc!$G$2:$G$1081)</f>
        <v>0</v>
      </c>
      <c r="D83" t="str">
        <f>IF(B83=0,"",AVERAGEIF(Calc!$E$2:$E$1081,A83,Calc!$F$2:$F$1081))</f>
        <v/>
      </c>
      <c r="E83" t="str">
        <f>IF(B83=0,"",_xludf.minifs(Calc!$F$2:$F$1081,Calc!$E$2:$E$1081,A83))</f>
        <v/>
      </c>
    </row>
    <row r="84" spans="1:5" x14ac:dyDescent="0.3">
      <c r="A84">
        <v>83</v>
      </c>
      <c r="B84">
        <f>COUNTIF(Calc!$E$2:$E$1081,A84)</f>
        <v>0</v>
      </c>
      <c r="C84">
        <f>SUMIF(Calc!$E$2:$E$1081,A84,Calc!$G$2:$G$1081)</f>
        <v>0</v>
      </c>
      <c r="D84" t="str">
        <f>IF(B84=0,"",AVERAGEIF(Calc!$E$2:$E$1081,A84,Calc!$F$2:$F$1081))</f>
        <v/>
      </c>
      <c r="E84" t="str">
        <f>IF(B84=0,"",_xludf.minifs(Calc!$F$2:$F$1081,Calc!$E$2:$E$1081,A84))</f>
        <v/>
      </c>
    </row>
    <row r="85" spans="1:5" x14ac:dyDescent="0.3">
      <c r="A85">
        <v>84</v>
      </c>
      <c r="B85">
        <f>COUNTIF(Calc!$E$2:$E$1081,A85)</f>
        <v>0</v>
      </c>
      <c r="C85">
        <f>SUMIF(Calc!$E$2:$E$1081,A85,Calc!$G$2:$G$1081)</f>
        <v>0</v>
      </c>
      <c r="D85" t="str">
        <f>IF(B85=0,"",AVERAGEIF(Calc!$E$2:$E$1081,A85,Calc!$F$2:$F$1081))</f>
        <v/>
      </c>
      <c r="E85" t="str">
        <f>IF(B85=0,"",_xludf.minifs(Calc!$F$2:$F$1081,Calc!$E$2:$E$1081,A85))</f>
        <v/>
      </c>
    </row>
    <row r="86" spans="1:5" x14ac:dyDescent="0.3">
      <c r="A86">
        <v>85</v>
      </c>
      <c r="B86">
        <f>COUNTIF(Calc!$E$2:$E$1081,A86)</f>
        <v>0</v>
      </c>
      <c r="C86">
        <f>SUMIF(Calc!$E$2:$E$1081,A86,Calc!$G$2:$G$1081)</f>
        <v>0</v>
      </c>
      <c r="D86" t="str">
        <f>IF(B86=0,"",AVERAGEIF(Calc!$E$2:$E$1081,A86,Calc!$F$2:$F$1081))</f>
        <v/>
      </c>
      <c r="E86" t="str">
        <f>IF(B86=0,"",_xludf.minifs(Calc!$F$2:$F$1081,Calc!$E$2:$E$1081,A86))</f>
        <v/>
      </c>
    </row>
    <row r="87" spans="1:5" x14ac:dyDescent="0.3">
      <c r="A87">
        <v>86</v>
      </c>
      <c r="B87">
        <f>COUNTIF(Calc!$E$2:$E$1081,A87)</f>
        <v>0</v>
      </c>
      <c r="C87">
        <f>SUMIF(Calc!$E$2:$E$1081,A87,Calc!$G$2:$G$1081)</f>
        <v>0</v>
      </c>
      <c r="D87" t="str">
        <f>IF(B87=0,"",AVERAGEIF(Calc!$E$2:$E$1081,A87,Calc!$F$2:$F$1081))</f>
        <v/>
      </c>
      <c r="E87" t="str">
        <f>IF(B87=0,"",_xludf.minifs(Calc!$F$2:$F$1081,Calc!$E$2:$E$1081,A87))</f>
        <v/>
      </c>
    </row>
    <row r="88" spans="1:5" x14ac:dyDescent="0.3">
      <c r="A88">
        <v>87</v>
      </c>
      <c r="B88">
        <f>COUNTIF(Calc!$E$2:$E$1081,A88)</f>
        <v>0</v>
      </c>
      <c r="C88">
        <f>SUMIF(Calc!$E$2:$E$1081,A88,Calc!$G$2:$G$1081)</f>
        <v>0</v>
      </c>
      <c r="D88" t="str">
        <f>IF(B88=0,"",AVERAGEIF(Calc!$E$2:$E$1081,A88,Calc!$F$2:$F$1081))</f>
        <v/>
      </c>
      <c r="E88" t="str">
        <f>IF(B88=0,"",_xludf.minifs(Calc!$F$2:$F$1081,Calc!$E$2:$E$1081,A88))</f>
        <v/>
      </c>
    </row>
    <row r="89" spans="1:5" x14ac:dyDescent="0.3">
      <c r="A89">
        <v>88</v>
      </c>
      <c r="B89">
        <f>COUNTIF(Calc!$E$2:$E$1081,A89)</f>
        <v>0</v>
      </c>
      <c r="C89">
        <f>SUMIF(Calc!$E$2:$E$1081,A89,Calc!$G$2:$G$1081)</f>
        <v>0</v>
      </c>
      <c r="D89" t="str">
        <f>IF(B89=0,"",AVERAGEIF(Calc!$E$2:$E$1081,A89,Calc!$F$2:$F$1081))</f>
        <v/>
      </c>
      <c r="E89" t="str">
        <f>IF(B89=0,"",_xludf.minifs(Calc!$F$2:$F$1081,Calc!$E$2:$E$1081,A89))</f>
        <v/>
      </c>
    </row>
    <row r="90" spans="1:5" x14ac:dyDescent="0.3">
      <c r="A90">
        <v>89</v>
      </c>
      <c r="B90">
        <f>COUNTIF(Calc!$E$2:$E$1081,A90)</f>
        <v>0</v>
      </c>
      <c r="C90">
        <f>SUMIF(Calc!$E$2:$E$1081,A90,Calc!$G$2:$G$1081)</f>
        <v>0</v>
      </c>
      <c r="D90" t="str">
        <f>IF(B90=0,"",AVERAGEIF(Calc!$E$2:$E$1081,A90,Calc!$F$2:$F$1081))</f>
        <v/>
      </c>
      <c r="E90" t="str">
        <f>IF(B90=0,"",_xludf.minifs(Calc!$F$2:$F$1081,Calc!$E$2:$E$1081,A90))</f>
        <v/>
      </c>
    </row>
    <row r="91" spans="1:5" x14ac:dyDescent="0.3">
      <c r="A91">
        <v>90</v>
      </c>
      <c r="B91">
        <f>COUNTIF(Calc!$E$2:$E$1081,A91)</f>
        <v>0</v>
      </c>
      <c r="C91">
        <f>SUMIF(Calc!$E$2:$E$1081,A91,Calc!$G$2:$G$1081)</f>
        <v>0</v>
      </c>
      <c r="D91" t="str">
        <f>IF(B91=0,"",AVERAGEIF(Calc!$E$2:$E$1081,A91,Calc!$F$2:$F$1081))</f>
        <v/>
      </c>
      <c r="E91" t="str">
        <f>IF(B91=0,"",_xludf.minifs(Calc!$F$2:$F$1081,Calc!$E$2:$E$1081,A91))</f>
        <v/>
      </c>
    </row>
    <row r="92" spans="1:5" x14ac:dyDescent="0.3">
      <c r="A92">
        <v>91</v>
      </c>
      <c r="B92">
        <f>COUNTIF(Calc!$E$2:$E$1081,A92)</f>
        <v>0</v>
      </c>
      <c r="C92">
        <f>SUMIF(Calc!$E$2:$E$1081,A92,Calc!$G$2:$G$1081)</f>
        <v>0</v>
      </c>
      <c r="D92" t="str">
        <f>IF(B92=0,"",AVERAGEIF(Calc!$E$2:$E$1081,A92,Calc!$F$2:$F$1081))</f>
        <v/>
      </c>
      <c r="E92" t="str">
        <f>IF(B92=0,"",_xludf.minifs(Calc!$F$2:$F$1081,Calc!$E$2:$E$1081,A92))</f>
        <v/>
      </c>
    </row>
    <row r="93" spans="1:5" x14ac:dyDescent="0.3">
      <c r="A93">
        <v>92</v>
      </c>
      <c r="B93">
        <f>COUNTIF(Calc!$E$2:$E$1081,A93)</f>
        <v>0</v>
      </c>
      <c r="C93">
        <f>SUMIF(Calc!$E$2:$E$1081,A93,Calc!$G$2:$G$1081)</f>
        <v>0</v>
      </c>
      <c r="D93" t="str">
        <f>IF(B93=0,"",AVERAGEIF(Calc!$E$2:$E$1081,A93,Calc!$F$2:$F$1081))</f>
        <v/>
      </c>
      <c r="E93" t="str">
        <f>IF(B93=0,"",_xludf.minifs(Calc!$F$2:$F$1081,Calc!$E$2:$E$1081,A93))</f>
        <v/>
      </c>
    </row>
    <row r="94" spans="1:5" x14ac:dyDescent="0.3">
      <c r="A94">
        <v>93</v>
      </c>
      <c r="B94">
        <f>COUNTIF(Calc!$E$2:$E$1081,A94)</f>
        <v>0</v>
      </c>
      <c r="C94">
        <f>SUMIF(Calc!$E$2:$E$1081,A94,Calc!$G$2:$G$1081)</f>
        <v>0</v>
      </c>
      <c r="D94" t="str">
        <f>IF(B94=0,"",AVERAGEIF(Calc!$E$2:$E$1081,A94,Calc!$F$2:$F$1081))</f>
        <v/>
      </c>
      <c r="E94" t="str">
        <f>IF(B94=0,"",_xludf.minifs(Calc!$F$2:$F$1081,Calc!$E$2:$E$1081,A94))</f>
        <v/>
      </c>
    </row>
    <row r="95" spans="1:5" x14ac:dyDescent="0.3">
      <c r="A95">
        <v>94</v>
      </c>
      <c r="B95">
        <f>COUNTIF(Calc!$E$2:$E$1081,A95)</f>
        <v>0</v>
      </c>
      <c r="C95">
        <f>SUMIF(Calc!$E$2:$E$1081,A95,Calc!$G$2:$G$1081)</f>
        <v>0</v>
      </c>
      <c r="D95" t="str">
        <f>IF(B95=0,"",AVERAGEIF(Calc!$E$2:$E$1081,A95,Calc!$F$2:$F$1081))</f>
        <v/>
      </c>
      <c r="E95" t="str">
        <f>IF(B95=0,"",_xludf.minifs(Calc!$F$2:$F$1081,Calc!$E$2:$E$1081,A95))</f>
        <v/>
      </c>
    </row>
    <row r="96" spans="1:5" x14ac:dyDescent="0.3">
      <c r="A96">
        <v>95</v>
      </c>
      <c r="B96">
        <f>COUNTIF(Calc!$E$2:$E$1081,A96)</f>
        <v>0</v>
      </c>
      <c r="C96">
        <f>SUMIF(Calc!$E$2:$E$1081,A96,Calc!$G$2:$G$1081)</f>
        <v>0</v>
      </c>
      <c r="D96" t="str">
        <f>IF(B96=0,"",AVERAGEIF(Calc!$E$2:$E$1081,A96,Calc!$F$2:$F$1081))</f>
        <v/>
      </c>
      <c r="E96" t="str">
        <f>IF(B96=0,"",_xludf.minifs(Calc!$F$2:$F$1081,Calc!$E$2:$E$1081,A96))</f>
        <v/>
      </c>
    </row>
    <row r="97" spans="1:5" x14ac:dyDescent="0.3">
      <c r="A97">
        <v>96</v>
      </c>
      <c r="B97">
        <f>COUNTIF(Calc!$E$2:$E$1081,A97)</f>
        <v>0</v>
      </c>
      <c r="C97">
        <f>SUMIF(Calc!$E$2:$E$1081,A97,Calc!$G$2:$G$1081)</f>
        <v>0</v>
      </c>
      <c r="D97" t="str">
        <f>IF(B97=0,"",AVERAGEIF(Calc!$E$2:$E$1081,A97,Calc!$F$2:$F$1081))</f>
        <v/>
      </c>
      <c r="E97" t="str">
        <f>IF(B97=0,"",_xludf.minifs(Calc!$F$2:$F$1081,Calc!$E$2:$E$1081,A97))</f>
        <v/>
      </c>
    </row>
    <row r="98" spans="1:5" x14ac:dyDescent="0.3">
      <c r="A98">
        <v>97</v>
      </c>
      <c r="B98">
        <f>COUNTIF(Calc!$E$2:$E$1081,A98)</f>
        <v>10</v>
      </c>
      <c r="C98">
        <f>SUMIF(Calc!$E$2:$E$1081,A98,Calc!$G$2:$G$1081)</f>
        <v>452</v>
      </c>
      <c r="D98">
        <f>IF(B98=0,"",AVERAGEIF(Calc!$E$2:$E$1081,A98,Calc!$F$2:$F$1081))</f>
        <v>3.2</v>
      </c>
      <c r="E98" t="e">
        <f ca="1">IF(B98=0,"",_xludf.minifs(Calc!$F$2:$F$1081,Calc!$E$2:$E$1081,A98))</f>
        <v>#NAME?</v>
      </c>
    </row>
    <row r="99" spans="1:5" x14ac:dyDescent="0.3">
      <c r="A99">
        <v>98</v>
      </c>
      <c r="B99">
        <f>COUNTIF(Calc!$E$2:$E$1081,A99)</f>
        <v>0</v>
      </c>
      <c r="C99">
        <f>SUMIF(Calc!$E$2:$E$1081,A99,Calc!$G$2:$G$1081)</f>
        <v>0</v>
      </c>
      <c r="D99" t="str">
        <f>IF(B99=0,"",AVERAGEIF(Calc!$E$2:$E$1081,A99,Calc!$F$2:$F$1081))</f>
        <v/>
      </c>
      <c r="E99" t="str">
        <f>IF(B99=0,"",_xludf.minifs(Calc!$F$2:$F$1081,Calc!$E$2:$E$1081,A99))</f>
        <v/>
      </c>
    </row>
    <row r="100" spans="1:5" x14ac:dyDescent="0.3">
      <c r="A100">
        <v>99</v>
      </c>
      <c r="B100">
        <f>COUNTIF(Calc!$E$2:$E$1081,A100)</f>
        <v>0</v>
      </c>
      <c r="C100">
        <f>SUMIF(Calc!$E$2:$E$1081,A100,Calc!$G$2:$G$1081)</f>
        <v>0</v>
      </c>
      <c r="D100" t="str">
        <f>IF(B100=0,"",AVERAGEIF(Calc!$E$2:$E$1081,A100,Calc!$F$2:$F$1081))</f>
        <v/>
      </c>
      <c r="E100" t="str">
        <f>IF(B100=0,"",_xludf.minifs(Calc!$F$2:$F$1081,Calc!$E$2:$E$1081,A100))</f>
        <v/>
      </c>
    </row>
  </sheetData>
  <sheetProtection password="888B" sheet="1" formatCells="0" insertRows="0" deleteRows="0" selectLockedCells="1" sort="0" autoFilter="0" selectUnlockedCells="1"/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L52"/>
  <sheetViews>
    <sheetView topLeftCell="A15" zoomScaleNormal="100" workbookViewId="0">
      <selection activeCell="F8" sqref="F8"/>
    </sheetView>
  </sheetViews>
  <sheetFormatPr defaultColWidth="8.6640625" defaultRowHeight="14.25" customHeight="1" x14ac:dyDescent="0.3"/>
  <cols>
    <col min="1" max="1" width="8" customWidth="1"/>
    <col min="2" max="2" width="24" customWidth="1"/>
    <col min="3" max="4" width="12" customWidth="1"/>
    <col min="5" max="5" width="12.33203125" customWidth="1"/>
    <col min="6" max="6" width="13.88671875" customWidth="1"/>
    <col min="7" max="7" width="14.33203125" customWidth="1"/>
    <col min="9" max="10" width="18" customWidth="1"/>
  </cols>
  <sheetData>
    <row r="1" spans="1:12" ht="21" customHeight="1" x14ac:dyDescent="0.4">
      <c r="A1" s="19" t="s">
        <v>142</v>
      </c>
      <c r="B1" s="19"/>
      <c r="C1" s="19"/>
      <c r="D1" s="19"/>
      <c r="E1" s="19"/>
      <c r="F1" s="19"/>
      <c r="G1" s="19"/>
      <c r="I1" s="20" t="s">
        <v>143</v>
      </c>
      <c r="J1" s="20"/>
      <c r="K1" s="20"/>
      <c r="L1" s="20"/>
    </row>
    <row r="3" spans="1:12" ht="14.4" x14ac:dyDescent="0.3">
      <c r="A3" s="6" t="s">
        <v>144</v>
      </c>
      <c r="B3" s="6" t="s">
        <v>117</v>
      </c>
      <c r="C3" s="6" t="s">
        <v>145</v>
      </c>
      <c r="D3" s="6" t="s">
        <v>146</v>
      </c>
      <c r="E3" s="6" t="s">
        <v>147</v>
      </c>
      <c r="F3" s="6" t="s">
        <v>148</v>
      </c>
      <c r="G3" s="6" t="s">
        <v>149</v>
      </c>
      <c r="I3" s="1" t="s">
        <v>16</v>
      </c>
      <c r="J3">
        <f>Setup!$B$2</f>
        <v>5</v>
      </c>
    </row>
    <row r="4" spans="1:12" ht="14.4" x14ac:dyDescent="0.3">
      <c r="A4">
        <f t="shared" ref="A4:A13" si="0">RANK(C4,$C$4:$C$13,0)</f>
        <v>1</v>
      </c>
      <c r="B4" t="s">
        <v>21</v>
      </c>
      <c r="C4">
        <f>SUMIF(WeeklyPicks!$C:$C,B4,WeeklyPicks!$M:$M)</f>
        <v>880</v>
      </c>
      <c r="D4">
        <f>COUNTIF(RaceSummary!$C:$C,B4)</f>
        <v>3</v>
      </c>
      <c r="E4">
        <f>IF(COUNTIF(WeeklyPicks!$C:$C,B4)=0,"",AVERAGEIF(WeeklyPicks!$C:$C,B4,WeeklyPicks!$M:$M))</f>
        <v>24.444444444444443</v>
      </c>
      <c r="F4" t="e">
        <f ca="1">_xludf.maxifs(WeeklyPicks!$M:$M,WeeklyPicks!$C:$C,B4)</f>
        <v>#NAME?</v>
      </c>
      <c r="G4">
        <f>SUMIFS(WeeklyPicks!$M:$M,WeeklyPicks!$A:$A,Setup!$B$2,WeeklyPicks!$C:$C,B4)</f>
        <v>82</v>
      </c>
      <c r="I4" s="1" t="s">
        <v>18</v>
      </c>
      <c r="J4" t="str">
        <f>Setup!$B$3</f>
        <v>LAS VEGAS</v>
      </c>
    </row>
    <row r="5" spans="1:12" ht="14.4" x14ac:dyDescent="0.3">
      <c r="A5">
        <f t="shared" si="0"/>
        <v>3</v>
      </c>
      <c r="B5" t="s">
        <v>22</v>
      </c>
      <c r="C5">
        <f>SUMIF(WeeklyPicks!$C:$C,B5,WeeklyPicks!$M:$M)</f>
        <v>875</v>
      </c>
      <c r="D5">
        <f>COUNTIF(RaceSummary!$C:$C,B5)</f>
        <v>3</v>
      </c>
      <c r="E5">
        <f>IF(COUNTIF(WeeklyPicks!$C:$C,B5)=0,"",AVERAGEIF(WeeklyPicks!$C:$C,B5,WeeklyPicks!$M:$M))</f>
        <v>24.305555555555557</v>
      </c>
      <c r="F5" t="e">
        <f ca="1">_xludf.maxifs(WeeklyPicks!$M:$M,WeeklyPicks!$C:$C,B5)</f>
        <v>#NAME?</v>
      </c>
      <c r="G5">
        <f>SUMIFS(WeeklyPicks!$M:$M,WeeklyPicks!$A:$A,Setup!$B$2,WeeklyPicks!$C:$C,B5)</f>
        <v>111</v>
      </c>
      <c r="I5" s="1" t="s">
        <v>150</v>
      </c>
      <c r="J5" t="str">
        <f>INDEX(RaceSummary!$C$2:$C$37,Setup!$B$2)</f>
        <v>Joe</v>
      </c>
    </row>
    <row r="6" spans="1:12" ht="14.4" x14ac:dyDescent="0.3">
      <c r="A6">
        <f t="shared" si="0"/>
        <v>4</v>
      </c>
      <c r="B6" t="s">
        <v>25</v>
      </c>
      <c r="C6">
        <f>SUMIF(WeeklyPicks!$C:$C,B6,WeeklyPicks!$M:$M)</f>
        <v>736</v>
      </c>
      <c r="D6">
        <f>COUNTIF(RaceSummary!$C:$C,B6)</f>
        <v>1</v>
      </c>
      <c r="E6">
        <f>IF(COUNTIF(WeeklyPicks!$C:$C,B6)=0,"",AVERAGEIF(WeeklyPicks!$C:$C,B6,WeeklyPicks!$M:$M))</f>
        <v>20.444444444444443</v>
      </c>
      <c r="F6" t="e">
        <f ca="1">_xludf.maxifs(WeeklyPicks!$M:$M,WeeklyPicks!$C:$C,B6)</f>
        <v>#NAME?</v>
      </c>
      <c r="G6">
        <f>SUMIFS(WeeklyPicks!$M:$M,WeeklyPicks!$A:$A,Setup!$B$2,WeeklyPicks!$C:$C,B6)</f>
        <v>95</v>
      </c>
      <c r="I6" s="1" t="s">
        <v>129</v>
      </c>
      <c r="J6">
        <f>INDEX(RaceSummary!$D$2:$D$37,Setup!$B$2)</f>
        <v>118</v>
      </c>
    </row>
    <row r="7" spans="1:12" ht="14.4" x14ac:dyDescent="0.3">
      <c r="A7">
        <f t="shared" si="0"/>
        <v>2</v>
      </c>
      <c r="B7" t="s">
        <v>26</v>
      </c>
      <c r="C7">
        <f>SUMIF(WeeklyPicks!$C:$C,B7,WeeklyPicks!$M:$M)</f>
        <v>876</v>
      </c>
      <c r="D7">
        <f>COUNTIF(RaceSummary!$C:$C,B7)</f>
        <v>1</v>
      </c>
      <c r="E7">
        <f>IF(COUNTIF(WeeklyPicks!$C:$C,B7)=0,"",AVERAGEIF(WeeklyPicks!$C:$C,B7,WeeklyPicks!$M:$M))</f>
        <v>24.333333333333332</v>
      </c>
      <c r="F7" t="e">
        <f ca="1">_xludf.maxifs(WeeklyPicks!$M:$M,WeeklyPicks!$C:$C,B7)</f>
        <v>#NAME?</v>
      </c>
      <c r="G7">
        <f>SUMIFS(WeeklyPicks!$M:$M,WeeklyPicks!$A:$A,Setup!$B$2,WeeklyPicks!$C:$C,B7)</f>
        <v>106</v>
      </c>
      <c r="I7" s="1" t="s">
        <v>130</v>
      </c>
      <c r="J7">
        <f>INDEX(RaceSummary!$E$2:$E$37,Setup!$B$2)</f>
        <v>5</v>
      </c>
    </row>
    <row r="8" spans="1:12" ht="14.4" x14ac:dyDescent="0.3">
      <c r="A8">
        <f t="shared" si="0"/>
        <v>6</v>
      </c>
      <c r="B8" t="s">
        <v>27</v>
      </c>
      <c r="C8">
        <f>SUMIF(WeeklyPicks!$C:$C,B8,WeeklyPicks!$M:$M)</f>
        <v>620</v>
      </c>
      <c r="D8">
        <f>COUNTIF(RaceSummary!$C:$C,B8)</f>
        <v>1</v>
      </c>
      <c r="E8">
        <f>IF(COUNTIF(WeeklyPicks!$C:$C,B8)=0,"",AVERAGEIF(WeeklyPicks!$C:$C,B8,WeeklyPicks!$M:$M))</f>
        <v>17.222222222222221</v>
      </c>
      <c r="F8" t="e">
        <f ca="1">_xludf.maxifs(WeeklyPicks!$M:$M,WeeklyPicks!$C:$C,B8)</f>
        <v>#NAME?</v>
      </c>
      <c r="G8">
        <f>SUMIFS(WeeklyPicks!$M:$M,WeeklyPicks!$A:$A,Setup!$B$2,WeeklyPicks!$C:$C,B8)</f>
        <v>118</v>
      </c>
      <c r="I8" s="1" t="s">
        <v>151</v>
      </c>
      <c r="J8">
        <f>INDEX(RaceSummary!$G$2:$G$37,Setup!$B$2)</f>
        <v>12</v>
      </c>
    </row>
    <row r="9" spans="1:12" ht="14.4" x14ac:dyDescent="0.3">
      <c r="A9">
        <f t="shared" si="0"/>
        <v>5</v>
      </c>
      <c r="B9" t="s">
        <v>28</v>
      </c>
      <c r="C9">
        <f>SUMIF(WeeklyPicks!$C:$C,B9,WeeklyPicks!$M:$M)</f>
        <v>677</v>
      </c>
      <c r="D9">
        <f>COUNTIF(RaceSummary!$C:$C,B9)</f>
        <v>0</v>
      </c>
      <c r="E9">
        <f>IF(COUNTIF(WeeklyPicks!$C:$C,B9)=0,"",AVERAGEIF(WeeklyPicks!$C:$C,B9,WeeklyPicks!$M:$M))</f>
        <v>18.805555555555557</v>
      </c>
      <c r="F9" t="e">
        <f ca="1">_xludf.maxifs(WeeklyPicks!$M:$M,WeeklyPicks!$C:$C,B9)</f>
        <v>#NAME?</v>
      </c>
      <c r="G9">
        <f>SUMIFS(WeeklyPicks!$M:$M,WeeklyPicks!$A:$A,Setup!$B$2,WeeklyPicks!$C:$C,B9)</f>
        <v>112</v>
      </c>
    </row>
    <row r="10" spans="1:12" ht="14.4" x14ac:dyDescent="0.3">
      <c r="A10" s="21">
        <f t="shared" si="0"/>
        <v>9</v>
      </c>
      <c r="B10" s="21" t="s">
        <v>29</v>
      </c>
      <c r="C10" s="21">
        <f>SUMIF(WeeklyPicks!$C:$C,B10,WeeklyPicks!$M:$M)</f>
        <v>365</v>
      </c>
      <c r="D10" s="21">
        <f>COUNTIF(RaceSummary!$C:$C,B10)</f>
        <v>0</v>
      </c>
      <c r="E10" s="21">
        <f>IF(COUNTIF(WeeklyPicks!$C:$C,B10)=0,"",AVERAGEIF(WeeklyPicks!$C:$C,B10,WeeklyPicks!$M:$M))</f>
        <v>10.138888888888889</v>
      </c>
      <c r="F10" s="21" t="e">
        <f ca="1">_xludf.maxifs(WeeklyPicks!$M:$M,WeeklyPicks!$C:$C,B10)</f>
        <v>#NAME?</v>
      </c>
      <c r="G10">
        <f>SUMIFS(WeeklyPicks!$M:$M,WeeklyPicks!$A:$A,Setup!$B$2,WeeklyPicks!$C:$C,B10)</f>
        <v>0</v>
      </c>
    </row>
    <row r="11" spans="1:12" ht="14.4" x14ac:dyDescent="0.3">
      <c r="A11">
        <f t="shared" si="0"/>
        <v>10</v>
      </c>
      <c r="B11" t="s">
        <v>30</v>
      </c>
      <c r="C11">
        <f>SUMIF(WeeklyPicks!$C:$C,B11,WeeklyPicks!$M:$M)</f>
        <v>0</v>
      </c>
      <c r="D11">
        <f>COUNTIF(RaceSummary!$C:$C,B11)</f>
        <v>0</v>
      </c>
      <c r="E11">
        <f>IF(COUNTIF(WeeklyPicks!$C:$C,B11)=0,"",AVERAGEIF(WeeklyPicks!$C:$C,B11,WeeklyPicks!$M:$M))</f>
        <v>0</v>
      </c>
      <c r="F11" t="e">
        <f ca="1">_xludf.maxifs(WeeklyPicks!$M:$M,WeeklyPicks!$C:$C,B11)</f>
        <v>#NAME?</v>
      </c>
      <c r="G11">
        <f>SUMIFS(WeeklyPicks!$M:$M,WeeklyPicks!$A:$A,Setup!$B$2,WeeklyPicks!$C:$C,B11)</f>
        <v>0</v>
      </c>
    </row>
    <row r="12" spans="1:12" ht="14.4" x14ac:dyDescent="0.3">
      <c r="A12">
        <f t="shared" si="0"/>
        <v>8</v>
      </c>
      <c r="B12" t="s">
        <v>31</v>
      </c>
      <c r="C12">
        <f>SUMIF(WeeklyPicks!$C:$C,B12,WeeklyPicks!$M:$M)</f>
        <v>515</v>
      </c>
      <c r="D12">
        <f>COUNTIF(RaceSummary!$C:$C,B12)</f>
        <v>0</v>
      </c>
      <c r="E12">
        <f>IF(COUNTIF(WeeklyPicks!$C:$C,B12)=0,"",AVERAGEIF(WeeklyPicks!$C:$C,B12,WeeklyPicks!$M:$M))</f>
        <v>14.305555555555555</v>
      </c>
      <c r="F12" t="e">
        <f ca="1">_xludf.maxifs(WeeklyPicks!$M:$M,WeeklyPicks!$C:$C,B12)</f>
        <v>#NAME?</v>
      </c>
      <c r="G12">
        <f>SUMIFS(WeeklyPicks!$M:$M,WeeklyPicks!$A:$A,Setup!$B$2,WeeklyPicks!$C:$C,B12)</f>
        <v>0</v>
      </c>
    </row>
    <row r="13" spans="1:12" ht="14.4" x14ac:dyDescent="0.3">
      <c r="A13">
        <f t="shared" si="0"/>
        <v>7</v>
      </c>
      <c r="B13" t="s">
        <v>32</v>
      </c>
      <c r="C13">
        <f>SUMIF(WeeklyPicks!$C:$C,B13,WeeklyPicks!$M:$M)</f>
        <v>544</v>
      </c>
      <c r="D13">
        <f>COUNTIF(RaceSummary!$C:$C,B13)</f>
        <v>1</v>
      </c>
      <c r="E13">
        <f>IF(COUNTIF(WeeklyPicks!$C:$C,B13)=0,"",AVERAGEIF(WeeklyPicks!$C:$C,B13,WeeklyPicks!$M:$M))</f>
        <v>15.111111111111111</v>
      </c>
      <c r="F13" t="e">
        <f ca="1">_xludf.maxifs(WeeklyPicks!$M:$M,WeeklyPicks!$C:$C,B13)</f>
        <v>#NAME?</v>
      </c>
      <c r="G13">
        <f>SUMIFS(WeeklyPicks!$M:$M,WeeklyPicks!$A:$A,Setup!$B$2,WeeklyPicks!$C:$C,B13)</f>
        <v>82</v>
      </c>
    </row>
    <row r="15" spans="1:12" ht="17.399999999999999" x14ac:dyDescent="0.35">
      <c r="A15" s="12" t="s">
        <v>152</v>
      </c>
    </row>
    <row r="16" spans="1:12" ht="14.4" x14ac:dyDescent="0.3">
      <c r="A16" s="6" t="s">
        <v>39</v>
      </c>
      <c r="B16" s="6" t="s">
        <v>40</v>
      </c>
      <c r="C16" s="6" t="s">
        <v>21</v>
      </c>
      <c r="D16" s="6" t="s">
        <v>22</v>
      </c>
      <c r="E16" s="6" t="s">
        <v>25</v>
      </c>
      <c r="F16" s="6" t="s">
        <v>26</v>
      </c>
      <c r="G16" s="6" t="s">
        <v>27</v>
      </c>
      <c r="H16" s="6" t="s">
        <v>28</v>
      </c>
      <c r="I16" s="6" t="s">
        <v>29</v>
      </c>
      <c r="J16" s="6" t="s">
        <v>30</v>
      </c>
      <c r="K16" s="6" t="s">
        <v>31</v>
      </c>
      <c r="L16" s="6" t="s">
        <v>32</v>
      </c>
    </row>
    <row r="17" spans="1:12" ht="14.4" x14ac:dyDescent="0.3">
      <c r="A17">
        <v>1</v>
      </c>
      <c r="B17" t="s">
        <v>45</v>
      </c>
      <c r="C17">
        <f>SUMIFS(WeeklyPicks!$M:$M,WeeklyPicks!$A:$A,"&lt;="&amp;$A17,WeeklyPicks!$C:$C,C$16)</f>
        <v>0</v>
      </c>
      <c r="D17">
        <f>SUMIFS(WeeklyPicks!$M:$M,WeeklyPicks!$A:$A,"&lt;="&amp;$A17,WeeklyPicks!$C:$C,D$16)</f>
        <v>0</v>
      </c>
      <c r="E17">
        <f>SUMIFS(WeeklyPicks!$M:$M,WeeklyPicks!$A:$A,"&lt;="&amp;$A17,WeeklyPicks!$C:$C,E$16)</f>
        <v>0</v>
      </c>
      <c r="F17">
        <f>SUMIFS(WeeklyPicks!$M:$M,WeeklyPicks!$A:$A,"&lt;="&amp;$A17,WeeklyPicks!$C:$C,F$16)</f>
        <v>0</v>
      </c>
      <c r="G17">
        <f>SUMIFS(WeeklyPicks!$M:$M,WeeklyPicks!$A:$A,"&lt;="&amp;$A17,WeeklyPicks!$C:$C,G$16)</f>
        <v>0</v>
      </c>
      <c r="H17">
        <f>SUMIFS(WeeklyPicks!$M:$M,WeeklyPicks!$A:$A,"&lt;="&amp;$A17,WeeklyPicks!$C:$C,H$16)</f>
        <v>0</v>
      </c>
      <c r="I17">
        <f>SUMIFS(WeeklyPicks!$M:$M,WeeklyPicks!$A:$A,"&lt;="&amp;$A17,WeeklyPicks!$C:$C,I$16)</f>
        <v>0</v>
      </c>
      <c r="J17">
        <f>SUMIFS(WeeklyPicks!$M:$M,WeeklyPicks!$A:$A,"&lt;="&amp;$A17,WeeklyPicks!$C:$C,J$16)</f>
        <v>0</v>
      </c>
      <c r="K17">
        <f>SUMIFS(WeeklyPicks!$M:$M,WeeklyPicks!$A:$A,"&lt;="&amp;$A17,WeeklyPicks!$C:$C,K$16)</f>
        <v>0</v>
      </c>
      <c r="L17">
        <f>SUMIFS(WeeklyPicks!$M:$M,WeeklyPicks!$A:$A,"&lt;="&amp;$A17,WeeklyPicks!$C:$C,L$16)</f>
        <v>0</v>
      </c>
    </row>
    <row r="18" spans="1:12" ht="14.4" x14ac:dyDescent="0.3">
      <c r="A18">
        <v>2</v>
      </c>
      <c r="B18" t="s">
        <v>50</v>
      </c>
      <c r="C18">
        <f>SUMIFS(WeeklyPicks!$M:$M,WeeklyPicks!$A:$A,"&lt;="&amp;$A18,WeeklyPicks!$C:$C,C$16)</f>
        <v>0</v>
      </c>
      <c r="D18">
        <f>SUMIFS(WeeklyPicks!$M:$M,WeeklyPicks!$A:$A,"&lt;="&amp;$A18,WeeklyPicks!$C:$C,D$16)</f>
        <v>0</v>
      </c>
      <c r="E18">
        <f>SUMIFS(WeeklyPicks!$M:$M,WeeklyPicks!$A:$A,"&lt;="&amp;$A18,WeeklyPicks!$C:$C,E$16)</f>
        <v>0</v>
      </c>
      <c r="F18">
        <f>SUMIFS(WeeklyPicks!$M:$M,WeeklyPicks!$A:$A,"&lt;="&amp;$A18,WeeklyPicks!$C:$C,F$16)</f>
        <v>0</v>
      </c>
      <c r="G18">
        <f>SUMIFS(WeeklyPicks!$M:$M,WeeklyPicks!$A:$A,"&lt;="&amp;$A18,WeeklyPicks!$C:$C,G$16)</f>
        <v>0</v>
      </c>
      <c r="H18">
        <f>SUMIFS(WeeklyPicks!$M:$M,WeeklyPicks!$A:$A,"&lt;="&amp;$A18,WeeklyPicks!$C:$C,H$16)</f>
        <v>0</v>
      </c>
      <c r="I18">
        <f>SUMIFS(WeeklyPicks!$M:$M,WeeklyPicks!$A:$A,"&lt;="&amp;$A18,WeeklyPicks!$C:$C,I$16)</f>
        <v>0</v>
      </c>
      <c r="J18">
        <f>SUMIFS(WeeklyPicks!$M:$M,WeeklyPicks!$A:$A,"&lt;="&amp;$A18,WeeklyPicks!$C:$C,J$16)</f>
        <v>0</v>
      </c>
      <c r="K18">
        <f>SUMIFS(WeeklyPicks!$M:$M,WeeklyPicks!$A:$A,"&lt;="&amp;$A18,WeeklyPicks!$C:$C,K$16)</f>
        <v>0</v>
      </c>
      <c r="L18">
        <f>SUMIFS(WeeklyPicks!$M:$M,WeeklyPicks!$A:$A,"&lt;="&amp;$A18,WeeklyPicks!$C:$C,L$16)</f>
        <v>0</v>
      </c>
    </row>
    <row r="19" spans="1:12" ht="14.4" x14ac:dyDescent="0.3">
      <c r="A19">
        <v>3</v>
      </c>
      <c r="B19" t="s">
        <v>52</v>
      </c>
      <c r="C19">
        <f>SUMIFS(WeeklyPicks!$M:$M,WeeklyPicks!$A:$A,"&lt;="&amp;$A19,WeeklyPicks!$C:$C,C$16)</f>
        <v>99</v>
      </c>
      <c r="D19">
        <f>SUMIFS(WeeklyPicks!$M:$M,WeeklyPicks!$A:$A,"&lt;="&amp;$A19,WeeklyPicks!$C:$C,D$16)</f>
        <v>111</v>
      </c>
      <c r="E19">
        <f>SUMIFS(WeeklyPicks!$M:$M,WeeklyPicks!$A:$A,"&lt;="&amp;$A19,WeeklyPicks!$C:$C,E$16)</f>
        <v>59</v>
      </c>
      <c r="F19">
        <f>SUMIFS(WeeklyPicks!$M:$M,WeeklyPicks!$A:$A,"&lt;="&amp;$A19,WeeklyPicks!$C:$C,F$16)</f>
        <v>63</v>
      </c>
      <c r="G19">
        <f>SUMIFS(WeeklyPicks!$M:$M,WeeklyPicks!$A:$A,"&lt;="&amp;$A19,WeeklyPicks!$C:$C,G$16)</f>
        <v>0</v>
      </c>
      <c r="H19">
        <f>SUMIFS(WeeklyPicks!$M:$M,WeeklyPicks!$A:$A,"&lt;="&amp;$A19,WeeklyPicks!$C:$C,H$16)</f>
        <v>0</v>
      </c>
      <c r="I19">
        <f>SUMIFS(WeeklyPicks!$M:$M,WeeklyPicks!$A:$A,"&lt;="&amp;$A19,WeeklyPicks!$C:$C,I$16)</f>
        <v>0</v>
      </c>
      <c r="J19">
        <f>SUMIFS(WeeklyPicks!$M:$M,WeeklyPicks!$A:$A,"&lt;="&amp;$A19,WeeklyPicks!$C:$C,J$16)</f>
        <v>0</v>
      </c>
      <c r="K19">
        <f>SUMIFS(WeeklyPicks!$M:$M,WeeklyPicks!$A:$A,"&lt;="&amp;$A19,WeeklyPicks!$C:$C,K$16)</f>
        <v>0</v>
      </c>
      <c r="L19">
        <f>SUMIFS(WeeklyPicks!$M:$M,WeeklyPicks!$A:$A,"&lt;="&amp;$A19,WeeklyPicks!$C:$C,L$16)</f>
        <v>0</v>
      </c>
    </row>
    <row r="20" spans="1:12" ht="14.4" x14ac:dyDescent="0.3">
      <c r="A20">
        <v>4</v>
      </c>
      <c r="B20" t="s">
        <v>54</v>
      </c>
      <c r="C20">
        <f>SUMIFS(WeeklyPicks!$M:$M,WeeklyPicks!$A:$A,"&lt;="&amp;$A20,WeeklyPicks!$C:$C,C$16)</f>
        <v>194</v>
      </c>
      <c r="D20">
        <f>SUMIFS(WeeklyPicks!$M:$M,WeeklyPicks!$A:$A,"&lt;="&amp;$A20,WeeklyPicks!$C:$C,D$16)</f>
        <v>182</v>
      </c>
      <c r="E20">
        <f>SUMIFS(WeeklyPicks!$M:$M,WeeklyPicks!$A:$A,"&lt;="&amp;$A20,WeeklyPicks!$C:$C,E$16)</f>
        <v>100</v>
      </c>
      <c r="F20">
        <f>SUMIFS(WeeklyPicks!$M:$M,WeeklyPicks!$A:$A,"&lt;="&amp;$A20,WeeklyPicks!$C:$C,F$16)</f>
        <v>155</v>
      </c>
      <c r="G20">
        <f>SUMIFS(WeeklyPicks!$M:$M,WeeklyPicks!$A:$A,"&lt;="&amp;$A20,WeeklyPicks!$C:$C,G$16)</f>
        <v>85</v>
      </c>
      <c r="H20">
        <f>SUMIFS(WeeklyPicks!$M:$M,WeeklyPicks!$A:$A,"&lt;="&amp;$A20,WeeklyPicks!$C:$C,H$16)</f>
        <v>0</v>
      </c>
      <c r="I20">
        <f>SUMIFS(WeeklyPicks!$M:$M,WeeklyPicks!$A:$A,"&lt;="&amp;$A20,WeeklyPicks!$C:$C,I$16)</f>
        <v>0</v>
      </c>
      <c r="J20">
        <f>SUMIFS(WeeklyPicks!$M:$M,WeeklyPicks!$A:$A,"&lt;="&amp;$A20,WeeklyPicks!$C:$C,J$16)</f>
        <v>0</v>
      </c>
      <c r="K20">
        <f>SUMIFS(WeeklyPicks!$M:$M,WeeklyPicks!$A:$A,"&lt;="&amp;$A20,WeeklyPicks!$C:$C,K$16)</f>
        <v>0</v>
      </c>
      <c r="L20">
        <f>SUMIFS(WeeklyPicks!$M:$M,WeeklyPicks!$A:$A,"&lt;="&amp;$A20,WeeklyPicks!$C:$C,L$16)</f>
        <v>0</v>
      </c>
    </row>
    <row r="21" spans="1:12" ht="14.4" x14ac:dyDescent="0.3">
      <c r="A21">
        <v>5</v>
      </c>
      <c r="B21" t="s">
        <v>57</v>
      </c>
      <c r="C21">
        <f>SUMIFS(WeeklyPicks!$M:$M,WeeklyPicks!$A:$A,"&lt;="&amp;$A21,WeeklyPicks!$C:$C,C$16)</f>
        <v>276</v>
      </c>
      <c r="D21">
        <f>SUMIFS(WeeklyPicks!$M:$M,WeeklyPicks!$A:$A,"&lt;="&amp;$A21,WeeklyPicks!$C:$C,D$16)</f>
        <v>293</v>
      </c>
      <c r="E21">
        <f>SUMIFS(WeeklyPicks!$M:$M,WeeklyPicks!$A:$A,"&lt;="&amp;$A21,WeeklyPicks!$C:$C,E$16)</f>
        <v>195</v>
      </c>
      <c r="F21">
        <f>SUMIFS(WeeklyPicks!$M:$M,WeeklyPicks!$A:$A,"&lt;="&amp;$A21,WeeklyPicks!$C:$C,F$16)</f>
        <v>261</v>
      </c>
      <c r="G21">
        <f>SUMIFS(WeeklyPicks!$M:$M,WeeklyPicks!$A:$A,"&lt;="&amp;$A21,WeeklyPicks!$C:$C,G$16)</f>
        <v>203</v>
      </c>
      <c r="H21">
        <f>SUMIFS(WeeklyPicks!$M:$M,WeeklyPicks!$A:$A,"&lt;="&amp;$A21,WeeklyPicks!$C:$C,H$16)</f>
        <v>112</v>
      </c>
      <c r="I21">
        <f>SUMIFS(WeeklyPicks!$M:$M,WeeklyPicks!$A:$A,"&lt;="&amp;$A21,WeeklyPicks!$C:$C,I$16)</f>
        <v>0</v>
      </c>
      <c r="J21">
        <f>SUMIFS(WeeklyPicks!$M:$M,WeeklyPicks!$A:$A,"&lt;="&amp;$A21,WeeklyPicks!$C:$C,J$16)</f>
        <v>0</v>
      </c>
      <c r="K21">
        <f>SUMIFS(WeeklyPicks!$M:$M,WeeklyPicks!$A:$A,"&lt;="&amp;$A21,WeeklyPicks!$C:$C,K$16)</f>
        <v>0</v>
      </c>
      <c r="L21">
        <f>SUMIFS(WeeklyPicks!$M:$M,WeeklyPicks!$A:$A,"&lt;="&amp;$A21,WeeklyPicks!$C:$C,L$16)</f>
        <v>82</v>
      </c>
    </row>
    <row r="22" spans="1:12" ht="14.4" x14ac:dyDescent="0.3">
      <c r="A22">
        <v>6</v>
      </c>
      <c r="B22" t="s">
        <v>59</v>
      </c>
      <c r="C22">
        <f>SUMIFS(WeeklyPicks!$M:$M,WeeklyPicks!$A:$A,"&lt;="&amp;$A22,WeeklyPicks!$C:$C,C$16)</f>
        <v>370</v>
      </c>
      <c r="D22">
        <f>SUMIFS(WeeklyPicks!$M:$M,WeeklyPicks!$A:$A,"&lt;="&amp;$A22,WeeklyPicks!$C:$C,D$16)</f>
        <v>328</v>
      </c>
      <c r="E22">
        <f>SUMIFS(WeeklyPicks!$M:$M,WeeklyPicks!$A:$A,"&lt;="&amp;$A22,WeeklyPicks!$C:$C,E$16)</f>
        <v>277</v>
      </c>
      <c r="F22">
        <f>SUMIFS(WeeklyPicks!$M:$M,WeeklyPicks!$A:$A,"&lt;="&amp;$A22,WeeklyPicks!$C:$C,F$16)</f>
        <v>376</v>
      </c>
      <c r="G22">
        <f>SUMIFS(WeeklyPicks!$M:$M,WeeklyPicks!$A:$A,"&lt;="&amp;$A22,WeeklyPicks!$C:$C,G$16)</f>
        <v>263</v>
      </c>
      <c r="H22">
        <f>SUMIFS(WeeklyPicks!$M:$M,WeeklyPicks!$A:$A,"&lt;="&amp;$A22,WeeklyPicks!$C:$C,H$16)</f>
        <v>221</v>
      </c>
      <c r="I22">
        <f>SUMIFS(WeeklyPicks!$M:$M,WeeklyPicks!$A:$A,"&lt;="&amp;$A22,WeeklyPicks!$C:$C,I$16)</f>
        <v>0</v>
      </c>
      <c r="J22">
        <f>SUMIFS(WeeklyPicks!$M:$M,WeeklyPicks!$A:$A,"&lt;="&amp;$A22,WeeklyPicks!$C:$C,J$16)</f>
        <v>0</v>
      </c>
      <c r="K22">
        <f>SUMIFS(WeeklyPicks!$M:$M,WeeklyPicks!$A:$A,"&lt;="&amp;$A22,WeeklyPicks!$C:$C,K$16)</f>
        <v>86</v>
      </c>
      <c r="L22">
        <f>SUMIFS(WeeklyPicks!$M:$M,WeeklyPicks!$A:$A,"&lt;="&amp;$A22,WeeklyPicks!$C:$C,L$16)</f>
        <v>194</v>
      </c>
    </row>
    <row r="23" spans="1:12" ht="14.4" x14ac:dyDescent="0.3">
      <c r="A23">
        <v>7</v>
      </c>
      <c r="B23" t="s">
        <v>61</v>
      </c>
      <c r="C23">
        <f>SUMIFS(WeeklyPicks!$M:$M,WeeklyPicks!$A:$A,"&lt;="&amp;$A23,WeeklyPicks!$C:$C,C$16)</f>
        <v>453</v>
      </c>
      <c r="D23">
        <f>SUMIFS(WeeklyPicks!$M:$M,WeeklyPicks!$A:$A,"&lt;="&amp;$A23,WeeklyPicks!$C:$C,D$16)</f>
        <v>421</v>
      </c>
      <c r="E23">
        <f>SUMIFS(WeeklyPicks!$M:$M,WeeklyPicks!$A:$A,"&lt;="&amp;$A23,WeeklyPicks!$C:$C,E$16)</f>
        <v>399</v>
      </c>
      <c r="F23">
        <f>SUMIFS(WeeklyPicks!$M:$M,WeeklyPicks!$A:$A,"&lt;="&amp;$A23,WeeklyPicks!$C:$C,F$16)</f>
        <v>468</v>
      </c>
      <c r="G23">
        <f>SUMIFS(WeeklyPicks!$M:$M,WeeklyPicks!$A:$A,"&lt;="&amp;$A23,WeeklyPicks!$C:$C,G$16)</f>
        <v>375</v>
      </c>
      <c r="H23">
        <f>SUMIFS(WeeklyPicks!$M:$M,WeeklyPicks!$A:$A,"&lt;="&amp;$A23,WeeklyPicks!$C:$C,H$16)</f>
        <v>317</v>
      </c>
      <c r="I23">
        <f>SUMIFS(WeeklyPicks!$M:$M,WeeklyPicks!$A:$A,"&lt;="&amp;$A23,WeeklyPicks!$C:$C,I$16)</f>
        <v>115</v>
      </c>
      <c r="J23">
        <f>SUMIFS(WeeklyPicks!$M:$M,WeeklyPicks!$A:$A,"&lt;="&amp;$A23,WeeklyPicks!$C:$C,J$16)</f>
        <v>0</v>
      </c>
      <c r="K23">
        <f>SUMIFS(WeeklyPicks!$M:$M,WeeklyPicks!$A:$A,"&lt;="&amp;$A23,WeeklyPicks!$C:$C,K$16)</f>
        <v>184</v>
      </c>
      <c r="L23">
        <f>SUMIFS(WeeklyPicks!$M:$M,WeeklyPicks!$A:$A,"&lt;="&amp;$A23,WeeklyPicks!$C:$C,L$16)</f>
        <v>262</v>
      </c>
    </row>
    <row r="24" spans="1:12" ht="14.4" x14ac:dyDescent="0.3">
      <c r="A24">
        <v>8</v>
      </c>
      <c r="B24" t="s">
        <v>63</v>
      </c>
      <c r="C24">
        <f>SUMIFS(WeeklyPicks!$M:$M,WeeklyPicks!$A:$A,"&lt;="&amp;$A24,WeeklyPicks!$C:$C,C$16)</f>
        <v>555</v>
      </c>
      <c r="D24">
        <f>SUMIFS(WeeklyPicks!$M:$M,WeeklyPicks!$A:$A,"&lt;="&amp;$A24,WeeklyPicks!$C:$C,D$16)</f>
        <v>516</v>
      </c>
      <c r="E24">
        <f>SUMIFS(WeeklyPicks!$M:$M,WeeklyPicks!$A:$A,"&lt;="&amp;$A24,WeeklyPicks!$C:$C,E$16)</f>
        <v>513</v>
      </c>
      <c r="F24">
        <f>SUMIFS(WeeklyPicks!$M:$M,WeeklyPicks!$A:$A,"&lt;="&amp;$A24,WeeklyPicks!$C:$C,F$16)</f>
        <v>586</v>
      </c>
      <c r="G24">
        <f>SUMIFS(WeeklyPicks!$M:$M,WeeklyPicks!$A:$A,"&lt;="&amp;$A24,WeeklyPicks!$C:$C,G$16)</f>
        <v>449</v>
      </c>
      <c r="H24">
        <f>SUMIFS(WeeklyPicks!$M:$M,WeeklyPicks!$A:$A,"&lt;="&amp;$A24,WeeklyPicks!$C:$C,H$16)</f>
        <v>395</v>
      </c>
      <c r="I24">
        <f>SUMIFS(WeeklyPicks!$M:$M,WeeklyPicks!$A:$A,"&lt;="&amp;$A24,WeeklyPicks!$C:$C,I$16)</f>
        <v>115</v>
      </c>
      <c r="J24">
        <f>SUMIFS(WeeklyPicks!$M:$M,WeeklyPicks!$A:$A,"&lt;="&amp;$A24,WeeklyPicks!$C:$C,J$16)</f>
        <v>0</v>
      </c>
      <c r="K24">
        <f>SUMIFS(WeeklyPicks!$M:$M,WeeklyPicks!$A:$A,"&lt;="&amp;$A24,WeeklyPicks!$C:$C,K$16)</f>
        <v>281</v>
      </c>
      <c r="L24">
        <f>SUMIFS(WeeklyPicks!$M:$M,WeeklyPicks!$A:$A,"&lt;="&amp;$A24,WeeklyPicks!$C:$C,L$16)</f>
        <v>385</v>
      </c>
    </row>
    <row r="25" spans="1:12" ht="14.4" x14ac:dyDescent="0.3">
      <c r="A25">
        <v>9</v>
      </c>
      <c r="B25" t="s">
        <v>65</v>
      </c>
      <c r="C25">
        <f>SUMIFS(WeeklyPicks!$M:$M,WeeklyPicks!$A:$A,"&lt;="&amp;$A25,WeeklyPicks!$C:$C,C$16)</f>
        <v>678</v>
      </c>
      <c r="D25">
        <f>SUMIFS(WeeklyPicks!$M:$M,WeeklyPicks!$A:$A,"&lt;="&amp;$A25,WeeklyPicks!$C:$C,D$16)</f>
        <v>639</v>
      </c>
      <c r="E25">
        <f>SUMIFS(WeeklyPicks!$M:$M,WeeklyPicks!$A:$A,"&lt;="&amp;$A25,WeeklyPicks!$C:$C,E$16)</f>
        <v>589</v>
      </c>
      <c r="F25">
        <f>SUMIFS(WeeklyPicks!$M:$M,WeeklyPicks!$A:$A,"&lt;="&amp;$A25,WeeklyPicks!$C:$C,F$16)</f>
        <v>662</v>
      </c>
      <c r="G25">
        <f>SUMIFS(WeeklyPicks!$M:$M,WeeklyPicks!$A:$A,"&lt;="&amp;$A25,WeeklyPicks!$C:$C,G$16)</f>
        <v>534</v>
      </c>
      <c r="H25">
        <f>SUMIFS(WeeklyPicks!$M:$M,WeeklyPicks!$A:$A,"&lt;="&amp;$A25,WeeklyPicks!$C:$C,H$16)</f>
        <v>471</v>
      </c>
      <c r="I25">
        <f>SUMIFS(WeeklyPicks!$M:$M,WeeklyPicks!$A:$A,"&lt;="&amp;$A25,WeeklyPicks!$C:$C,I$16)</f>
        <v>209</v>
      </c>
      <c r="J25">
        <f>SUMIFS(WeeklyPicks!$M:$M,WeeklyPicks!$A:$A,"&lt;="&amp;$A25,WeeklyPicks!$C:$C,J$16)</f>
        <v>0</v>
      </c>
      <c r="K25">
        <f>SUMIFS(WeeklyPicks!$M:$M,WeeklyPicks!$A:$A,"&lt;="&amp;$A25,WeeklyPicks!$C:$C,K$16)</f>
        <v>357</v>
      </c>
      <c r="L25">
        <f>SUMIFS(WeeklyPicks!$M:$M,WeeklyPicks!$A:$A,"&lt;="&amp;$A25,WeeklyPicks!$C:$C,L$16)</f>
        <v>459</v>
      </c>
    </row>
    <row r="26" spans="1:12" ht="14.4" x14ac:dyDescent="0.3">
      <c r="A26">
        <v>10</v>
      </c>
      <c r="B26" t="s">
        <v>67</v>
      </c>
      <c r="C26">
        <f>SUMIFS(WeeklyPicks!$M:$M,WeeklyPicks!$A:$A,"&lt;="&amp;$A26,WeeklyPicks!$C:$C,C$16)</f>
        <v>703</v>
      </c>
      <c r="D26">
        <f>SUMIFS(WeeklyPicks!$M:$M,WeeklyPicks!$A:$A,"&lt;="&amp;$A26,WeeklyPicks!$C:$C,D$16)</f>
        <v>685</v>
      </c>
      <c r="E26">
        <f>SUMIFS(WeeklyPicks!$M:$M,WeeklyPicks!$A:$A,"&lt;="&amp;$A26,WeeklyPicks!$C:$C,E$16)</f>
        <v>593</v>
      </c>
      <c r="F26">
        <f>SUMIFS(WeeklyPicks!$M:$M,WeeklyPicks!$A:$A,"&lt;="&amp;$A26,WeeklyPicks!$C:$C,F$16)</f>
        <v>687</v>
      </c>
      <c r="G26">
        <f>SUMIFS(WeeklyPicks!$M:$M,WeeklyPicks!$A:$A,"&lt;="&amp;$A26,WeeklyPicks!$C:$C,G$16)</f>
        <v>538</v>
      </c>
      <c r="H26">
        <f>SUMIFS(WeeklyPicks!$M:$M,WeeklyPicks!$A:$A,"&lt;="&amp;$A26,WeeklyPicks!$C:$C,H$16)</f>
        <v>497</v>
      </c>
      <c r="I26">
        <f>SUMIFS(WeeklyPicks!$M:$M,WeeklyPicks!$A:$A,"&lt;="&amp;$A26,WeeklyPicks!$C:$C,I$16)</f>
        <v>245</v>
      </c>
      <c r="J26">
        <f>SUMIFS(WeeklyPicks!$M:$M,WeeklyPicks!$A:$A,"&lt;="&amp;$A26,WeeklyPicks!$C:$C,J$16)</f>
        <v>0</v>
      </c>
      <c r="K26">
        <f>SUMIFS(WeeklyPicks!$M:$M,WeeklyPicks!$A:$A,"&lt;="&amp;$A26,WeeklyPicks!$C:$C,K$16)</f>
        <v>365</v>
      </c>
      <c r="L26">
        <f>SUMIFS(WeeklyPicks!$M:$M,WeeklyPicks!$A:$A,"&lt;="&amp;$A26,WeeklyPicks!$C:$C,L$16)</f>
        <v>464</v>
      </c>
    </row>
    <row r="27" spans="1:12" ht="14.4" x14ac:dyDescent="0.3">
      <c r="A27">
        <v>11</v>
      </c>
      <c r="B27" t="s">
        <v>69</v>
      </c>
      <c r="C27">
        <f>SUMIFS(WeeklyPicks!$M:$M,WeeklyPicks!$A:$A,"&lt;="&amp;$A27,WeeklyPicks!$C:$C,C$16)</f>
        <v>771</v>
      </c>
      <c r="D27">
        <f>SUMIFS(WeeklyPicks!$M:$M,WeeklyPicks!$A:$A,"&lt;="&amp;$A27,WeeklyPicks!$C:$C,D$16)</f>
        <v>784</v>
      </c>
      <c r="E27">
        <f>SUMIFS(WeeklyPicks!$M:$M,WeeklyPicks!$A:$A,"&lt;="&amp;$A27,WeeklyPicks!$C:$C,E$16)</f>
        <v>640</v>
      </c>
      <c r="F27">
        <f>SUMIFS(WeeklyPicks!$M:$M,WeeklyPicks!$A:$A,"&lt;="&amp;$A27,WeeklyPicks!$C:$C,F$16)</f>
        <v>779</v>
      </c>
      <c r="G27">
        <f>SUMIFS(WeeklyPicks!$M:$M,WeeklyPicks!$A:$A,"&lt;="&amp;$A27,WeeklyPicks!$C:$C,G$16)</f>
        <v>575</v>
      </c>
      <c r="H27">
        <f>SUMIFS(WeeklyPicks!$M:$M,WeeklyPicks!$A:$A,"&lt;="&amp;$A27,WeeklyPicks!$C:$C,H$16)</f>
        <v>574</v>
      </c>
      <c r="I27">
        <f>SUMIFS(WeeklyPicks!$M:$M,WeeklyPicks!$A:$A,"&lt;="&amp;$A27,WeeklyPicks!$C:$C,I$16)</f>
        <v>337</v>
      </c>
      <c r="J27">
        <f>SUMIFS(WeeklyPicks!$M:$M,WeeklyPicks!$A:$A,"&lt;="&amp;$A27,WeeklyPicks!$C:$C,J$16)</f>
        <v>0</v>
      </c>
      <c r="K27">
        <f>SUMIFS(WeeklyPicks!$M:$M,WeeklyPicks!$A:$A,"&lt;="&amp;$A27,WeeklyPicks!$C:$C,K$16)</f>
        <v>433</v>
      </c>
      <c r="L27">
        <f>SUMIFS(WeeklyPicks!$M:$M,WeeklyPicks!$A:$A,"&lt;="&amp;$A27,WeeklyPicks!$C:$C,L$16)</f>
        <v>517</v>
      </c>
    </row>
    <row r="28" spans="1:12" ht="14.4" x14ac:dyDescent="0.3">
      <c r="A28">
        <v>12</v>
      </c>
      <c r="B28" t="s">
        <v>71</v>
      </c>
      <c r="C28">
        <f>SUMIFS(WeeklyPicks!$M:$M,WeeklyPicks!$A:$A,"&lt;="&amp;$A28,WeeklyPicks!$C:$C,C$16)</f>
        <v>880</v>
      </c>
      <c r="D28">
        <f>SUMIFS(WeeklyPicks!$M:$M,WeeklyPicks!$A:$A,"&lt;="&amp;$A28,WeeklyPicks!$C:$C,D$16)</f>
        <v>875</v>
      </c>
      <c r="E28">
        <f>SUMIFS(WeeklyPicks!$M:$M,WeeklyPicks!$A:$A,"&lt;="&amp;$A28,WeeklyPicks!$C:$C,E$16)</f>
        <v>736</v>
      </c>
      <c r="F28">
        <f>SUMIFS(WeeklyPicks!$M:$M,WeeklyPicks!$A:$A,"&lt;="&amp;$A28,WeeklyPicks!$C:$C,F$16)</f>
        <v>876</v>
      </c>
      <c r="G28">
        <f>SUMIFS(WeeklyPicks!$M:$M,WeeklyPicks!$A:$A,"&lt;="&amp;$A28,WeeklyPicks!$C:$C,G$16)</f>
        <v>620</v>
      </c>
      <c r="H28">
        <f>SUMIFS(WeeklyPicks!$M:$M,WeeklyPicks!$A:$A,"&lt;="&amp;$A28,WeeklyPicks!$C:$C,H$16)</f>
        <v>677</v>
      </c>
      <c r="I28">
        <f>SUMIFS(WeeklyPicks!$M:$M,WeeklyPicks!$A:$A,"&lt;="&amp;$A28,WeeklyPicks!$C:$C,I$16)</f>
        <v>365</v>
      </c>
      <c r="J28">
        <f>SUMIFS(WeeklyPicks!$M:$M,WeeklyPicks!$A:$A,"&lt;="&amp;$A28,WeeklyPicks!$C:$C,J$16)</f>
        <v>0</v>
      </c>
      <c r="K28">
        <f>SUMIFS(WeeklyPicks!$M:$M,WeeklyPicks!$A:$A,"&lt;="&amp;$A28,WeeklyPicks!$C:$C,K$16)</f>
        <v>515</v>
      </c>
      <c r="L28">
        <f>SUMIFS(WeeklyPicks!$M:$M,WeeklyPicks!$A:$A,"&lt;="&amp;$A28,WeeklyPicks!$C:$C,L$16)</f>
        <v>544</v>
      </c>
    </row>
    <row r="29" spans="1:12" ht="14.4" x14ac:dyDescent="0.3">
      <c r="A29">
        <v>13</v>
      </c>
      <c r="B29" t="s">
        <v>73</v>
      </c>
      <c r="C29">
        <f>SUMIFS(WeeklyPicks!$M:$M,WeeklyPicks!$A:$A,"&lt;="&amp;$A29,WeeklyPicks!$C:$C,C$16)</f>
        <v>880</v>
      </c>
      <c r="D29">
        <f>SUMIFS(WeeklyPicks!$M:$M,WeeklyPicks!$A:$A,"&lt;="&amp;$A29,WeeklyPicks!$C:$C,D$16)</f>
        <v>875</v>
      </c>
      <c r="E29">
        <f>SUMIFS(WeeklyPicks!$M:$M,WeeklyPicks!$A:$A,"&lt;="&amp;$A29,WeeklyPicks!$C:$C,E$16)</f>
        <v>736</v>
      </c>
      <c r="F29">
        <f>SUMIFS(WeeklyPicks!$M:$M,WeeklyPicks!$A:$A,"&lt;="&amp;$A29,WeeklyPicks!$C:$C,F$16)</f>
        <v>876</v>
      </c>
      <c r="G29">
        <f>SUMIFS(WeeklyPicks!$M:$M,WeeklyPicks!$A:$A,"&lt;="&amp;$A29,WeeklyPicks!$C:$C,G$16)</f>
        <v>620</v>
      </c>
      <c r="H29">
        <f>SUMIFS(WeeklyPicks!$M:$M,WeeklyPicks!$A:$A,"&lt;="&amp;$A29,WeeklyPicks!$C:$C,H$16)</f>
        <v>677</v>
      </c>
      <c r="I29">
        <f>SUMIFS(WeeklyPicks!$M:$M,WeeklyPicks!$A:$A,"&lt;="&amp;$A29,WeeklyPicks!$C:$C,I$16)</f>
        <v>365</v>
      </c>
      <c r="J29">
        <f>SUMIFS(WeeklyPicks!$M:$M,WeeklyPicks!$A:$A,"&lt;="&amp;$A29,WeeklyPicks!$C:$C,J$16)</f>
        <v>0</v>
      </c>
      <c r="K29">
        <f>SUMIFS(WeeklyPicks!$M:$M,WeeklyPicks!$A:$A,"&lt;="&amp;$A29,WeeklyPicks!$C:$C,K$16)</f>
        <v>515</v>
      </c>
      <c r="L29">
        <f>SUMIFS(WeeklyPicks!$M:$M,WeeklyPicks!$A:$A,"&lt;="&amp;$A29,WeeklyPicks!$C:$C,L$16)</f>
        <v>544</v>
      </c>
    </row>
    <row r="30" spans="1:12" ht="14.4" x14ac:dyDescent="0.3">
      <c r="A30">
        <v>14</v>
      </c>
      <c r="B30" t="s">
        <v>76</v>
      </c>
      <c r="C30">
        <f>SUMIFS(WeeklyPicks!$M:$M,WeeklyPicks!$A:$A,"&lt;="&amp;$A30,WeeklyPicks!$C:$C,C$16)</f>
        <v>880</v>
      </c>
      <c r="D30">
        <f>SUMIFS(WeeklyPicks!$M:$M,WeeklyPicks!$A:$A,"&lt;="&amp;$A30,WeeklyPicks!$C:$C,D$16)</f>
        <v>875</v>
      </c>
      <c r="E30">
        <f>SUMIFS(WeeklyPicks!$M:$M,WeeklyPicks!$A:$A,"&lt;="&amp;$A30,WeeklyPicks!$C:$C,E$16)</f>
        <v>736</v>
      </c>
      <c r="F30">
        <f>SUMIFS(WeeklyPicks!$M:$M,WeeklyPicks!$A:$A,"&lt;="&amp;$A30,WeeklyPicks!$C:$C,F$16)</f>
        <v>876</v>
      </c>
      <c r="G30">
        <f>SUMIFS(WeeklyPicks!$M:$M,WeeklyPicks!$A:$A,"&lt;="&amp;$A30,WeeklyPicks!$C:$C,G$16)</f>
        <v>620</v>
      </c>
      <c r="H30">
        <f>SUMIFS(WeeklyPicks!$M:$M,WeeklyPicks!$A:$A,"&lt;="&amp;$A30,WeeklyPicks!$C:$C,H$16)</f>
        <v>677</v>
      </c>
      <c r="I30">
        <f>SUMIFS(WeeklyPicks!$M:$M,WeeklyPicks!$A:$A,"&lt;="&amp;$A30,WeeklyPicks!$C:$C,I$16)</f>
        <v>365</v>
      </c>
      <c r="J30">
        <f>SUMIFS(WeeklyPicks!$M:$M,WeeklyPicks!$A:$A,"&lt;="&amp;$A30,WeeklyPicks!$C:$C,J$16)</f>
        <v>0</v>
      </c>
      <c r="K30">
        <f>SUMIFS(WeeklyPicks!$M:$M,WeeklyPicks!$A:$A,"&lt;="&amp;$A30,WeeklyPicks!$C:$C,K$16)</f>
        <v>515</v>
      </c>
      <c r="L30">
        <f>SUMIFS(WeeklyPicks!$M:$M,WeeklyPicks!$A:$A,"&lt;="&amp;$A30,WeeklyPicks!$C:$C,L$16)</f>
        <v>544</v>
      </c>
    </row>
    <row r="31" spans="1:12" ht="14.4" x14ac:dyDescent="0.3">
      <c r="A31">
        <v>15</v>
      </c>
      <c r="B31" t="s">
        <v>78</v>
      </c>
      <c r="C31">
        <f>SUMIFS(WeeklyPicks!$M:$M,WeeklyPicks!$A:$A,"&lt;="&amp;$A31,WeeklyPicks!$C:$C,C$16)</f>
        <v>880</v>
      </c>
      <c r="D31">
        <f>SUMIFS(WeeklyPicks!$M:$M,WeeklyPicks!$A:$A,"&lt;="&amp;$A31,WeeklyPicks!$C:$C,D$16)</f>
        <v>875</v>
      </c>
      <c r="E31">
        <f>SUMIFS(WeeklyPicks!$M:$M,WeeklyPicks!$A:$A,"&lt;="&amp;$A31,WeeklyPicks!$C:$C,E$16)</f>
        <v>736</v>
      </c>
      <c r="F31">
        <f>SUMIFS(WeeklyPicks!$M:$M,WeeklyPicks!$A:$A,"&lt;="&amp;$A31,WeeklyPicks!$C:$C,F$16)</f>
        <v>876</v>
      </c>
      <c r="G31">
        <f>SUMIFS(WeeklyPicks!$M:$M,WeeklyPicks!$A:$A,"&lt;="&amp;$A31,WeeklyPicks!$C:$C,G$16)</f>
        <v>620</v>
      </c>
      <c r="H31">
        <f>SUMIFS(WeeklyPicks!$M:$M,WeeklyPicks!$A:$A,"&lt;="&amp;$A31,WeeklyPicks!$C:$C,H$16)</f>
        <v>677</v>
      </c>
      <c r="I31">
        <f>SUMIFS(WeeklyPicks!$M:$M,WeeklyPicks!$A:$A,"&lt;="&amp;$A31,WeeklyPicks!$C:$C,I$16)</f>
        <v>365</v>
      </c>
      <c r="J31">
        <f>SUMIFS(WeeklyPicks!$M:$M,WeeklyPicks!$A:$A,"&lt;="&amp;$A31,WeeklyPicks!$C:$C,J$16)</f>
        <v>0</v>
      </c>
      <c r="K31">
        <f>SUMIFS(WeeklyPicks!$M:$M,WeeklyPicks!$A:$A,"&lt;="&amp;$A31,WeeklyPicks!$C:$C,K$16)</f>
        <v>515</v>
      </c>
      <c r="L31">
        <f>SUMIFS(WeeklyPicks!$M:$M,WeeklyPicks!$A:$A,"&lt;="&amp;$A31,WeeklyPicks!$C:$C,L$16)</f>
        <v>544</v>
      </c>
    </row>
    <row r="32" spans="1:12" ht="14.4" x14ac:dyDescent="0.3">
      <c r="A32">
        <v>16</v>
      </c>
      <c r="B32" t="s">
        <v>80</v>
      </c>
      <c r="C32">
        <f>SUMIFS(WeeklyPicks!$M:$M,WeeklyPicks!$A:$A,"&lt;="&amp;$A32,WeeklyPicks!$C:$C,C$16)</f>
        <v>880</v>
      </c>
      <c r="D32">
        <f>SUMIFS(WeeklyPicks!$M:$M,WeeklyPicks!$A:$A,"&lt;="&amp;$A32,WeeklyPicks!$C:$C,D$16)</f>
        <v>875</v>
      </c>
      <c r="E32">
        <f>SUMIFS(WeeklyPicks!$M:$M,WeeklyPicks!$A:$A,"&lt;="&amp;$A32,WeeklyPicks!$C:$C,E$16)</f>
        <v>736</v>
      </c>
      <c r="F32">
        <f>SUMIFS(WeeklyPicks!$M:$M,WeeklyPicks!$A:$A,"&lt;="&amp;$A32,WeeklyPicks!$C:$C,F$16)</f>
        <v>876</v>
      </c>
      <c r="G32">
        <f>SUMIFS(WeeklyPicks!$M:$M,WeeklyPicks!$A:$A,"&lt;="&amp;$A32,WeeklyPicks!$C:$C,G$16)</f>
        <v>620</v>
      </c>
      <c r="H32">
        <f>SUMIFS(WeeklyPicks!$M:$M,WeeklyPicks!$A:$A,"&lt;="&amp;$A32,WeeklyPicks!$C:$C,H$16)</f>
        <v>677</v>
      </c>
      <c r="I32">
        <f>SUMIFS(WeeklyPicks!$M:$M,WeeklyPicks!$A:$A,"&lt;="&amp;$A32,WeeklyPicks!$C:$C,I$16)</f>
        <v>365</v>
      </c>
      <c r="J32">
        <f>SUMIFS(WeeklyPicks!$M:$M,WeeklyPicks!$A:$A,"&lt;="&amp;$A32,WeeklyPicks!$C:$C,J$16)</f>
        <v>0</v>
      </c>
      <c r="K32">
        <f>SUMIFS(WeeklyPicks!$M:$M,WeeklyPicks!$A:$A,"&lt;="&amp;$A32,WeeklyPicks!$C:$C,K$16)</f>
        <v>515</v>
      </c>
      <c r="L32">
        <f>SUMIFS(WeeklyPicks!$M:$M,WeeklyPicks!$A:$A,"&lt;="&amp;$A32,WeeklyPicks!$C:$C,L$16)</f>
        <v>544</v>
      </c>
    </row>
    <row r="33" spans="1:12" ht="14.4" x14ac:dyDescent="0.3">
      <c r="A33">
        <v>17</v>
      </c>
      <c r="B33" t="s">
        <v>82</v>
      </c>
      <c r="C33">
        <f>SUMIFS(WeeklyPicks!$M:$M,WeeklyPicks!$A:$A,"&lt;="&amp;$A33,WeeklyPicks!$C:$C,C$16)</f>
        <v>880</v>
      </c>
      <c r="D33">
        <f>SUMIFS(WeeklyPicks!$M:$M,WeeklyPicks!$A:$A,"&lt;="&amp;$A33,WeeklyPicks!$C:$C,D$16)</f>
        <v>875</v>
      </c>
      <c r="E33">
        <f>SUMIFS(WeeklyPicks!$M:$M,WeeklyPicks!$A:$A,"&lt;="&amp;$A33,WeeklyPicks!$C:$C,E$16)</f>
        <v>736</v>
      </c>
      <c r="F33">
        <f>SUMIFS(WeeklyPicks!$M:$M,WeeklyPicks!$A:$A,"&lt;="&amp;$A33,WeeklyPicks!$C:$C,F$16)</f>
        <v>876</v>
      </c>
      <c r="G33">
        <f>SUMIFS(WeeklyPicks!$M:$M,WeeklyPicks!$A:$A,"&lt;="&amp;$A33,WeeklyPicks!$C:$C,G$16)</f>
        <v>620</v>
      </c>
      <c r="H33">
        <f>SUMIFS(WeeklyPicks!$M:$M,WeeklyPicks!$A:$A,"&lt;="&amp;$A33,WeeklyPicks!$C:$C,H$16)</f>
        <v>677</v>
      </c>
      <c r="I33">
        <f>SUMIFS(WeeklyPicks!$M:$M,WeeklyPicks!$A:$A,"&lt;="&amp;$A33,WeeklyPicks!$C:$C,I$16)</f>
        <v>365</v>
      </c>
      <c r="J33">
        <f>SUMIFS(WeeklyPicks!$M:$M,WeeklyPicks!$A:$A,"&lt;="&amp;$A33,WeeklyPicks!$C:$C,J$16)</f>
        <v>0</v>
      </c>
      <c r="K33">
        <f>SUMIFS(WeeklyPicks!$M:$M,WeeklyPicks!$A:$A,"&lt;="&amp;$A33,WeeklyPicks!$C:$C,K$16)</f>
        <v>515</v>
      </c>
      <c r="L33">
        <f>SUMIFS(WeeklyPicks!$M:$M,WeeklyPicks!$A:$A,"&lt;="&amp;$A33,WeeklyPicks!$C:$C,L$16)</f>
        <v>544</v>
      </c>
    </row>
    <row r="34" spans="1:12" ht="14.4" x14ac:dyDescent="0.3">
      <c r="A34">
        <v>18</v>
      </c>
      <c r="B34" t="s">
        <v>84</v>
      </c>
      <c r="C34">
        <f>SUMIFS(WeeklyPicks!$M:$M,WeeklyPicks!$A:$A,"&lt;="&amp;$A34,WeeklyPicks!$C:$C,C$16)</f>
        <v>880</v>
      </c>
      <c r="D34">
        <f>SUMIFS(WeeklyPicks!$M:$M,WeeklyPicks!$A:$A,"&lt;="&amp;$A34,WeeklyPicks!$C:$C,D$16)</f>
        <v>875</v>
      </c>
      <c r="E34">
        <f>SUMIFS(WeeklyPicks!$M:$M,WeeklyPicks!$A:$A,"&lt;="&amp;$A34,WeeklyPicks!$C:$C,E$16)</f>
        <v>736</v>
      </c>
      <c r="F34">
        <f>SUMIFS(WeeklyPicks!$M:$M,WeeklyPicks!$A:$A,"&lt;="&amp;$A34,WeeklyPicks!$C:$C,F$16)</f>
        <v>876</v>
      </c>
      <c r="G34">
        <f>SUMIFS(WeeklyPicks!$M:$M,WeeklyPicks!$A:$A,"&lt;="&amp;$A34,WeeklyPicks!$C:$C,G$16)</f>
        <v>620</v>
      </c>
      <c r="H34">
        <f>SUMIFS(WeeklyPicks!$M:$M,WeeklyPicks!$A:$A,"&lt;="&amp;$A34,WeeklyPicks!$C:$C,H$16)</f>
        <v>677</v>
      </c>
      <c r="I34">
        <f>SUMIFS(WeeklyPicks!$M:$M,WeeklyPicks!$A:$A,"&lt;="&amp;$A34,WeeklyPicks!$C:$C,I$16)</f>
        <v>365</v>
      </c>
      <c r="J34">
        <f>SUMIFS(WeeklyPicks!$M:$M,WeeklyPicks!$A:$A,"&lt;="&amp;$A34,WeeklyPicks!$C:$C,J$16)</f>
        <v>0</v>
      </c>
      <c r="K34">
        <f>SUMIFS(WeeklyPicks!$M:$M,WeeklyPicks!$A:$A,"&lt;="&amp;$A34,WeeklyPicks!$C:$C,K$16)</f>
        <v>515</v>
      </c>
      <c r="L34">
        <f>SUMIFS(WeeklyPicks!$M:$M,WeeklyPicks!$A:$A,"&lt;="&amp;$A34,WeeklyPicks!$C:$C,L$16)</f>
        <v>544</v>
      </c>
    </row>
    <row r="35" spans="1:12" ht="14.4" x14ac:dyDescent="0.3">
      <c r="A35">
        <v>19</v>
      </c>
      <c r="B35" t="s">
        <v>87</v>
      </c>
      <c r="C35">
        <f>SUMIFS(WeeklyPicks!$M:$M,WeeklyPicks!$A:$A,"&lt;="&amp;$A35,WeeklyPicks!$C:$C,C$16)</f>
        <v>880</v>
      </c>
      <c r="D35">
        <f>SUMIFS(WeeklyPicks!$M:$M,WeeklyPicks!$A:$A,"&lt;="&amp;$A35,WeeklyPicks!$C:$C,D$16)</f>
        <v>875</v>
      </c>
      <c r="E35">
        <f>SUMIFS(WeeklyPicks!$M:$M,WeeklyPicks!$A:$A,"&lt;="&amp;$A35,WeeklyPicks!$C:$C,E$16)</f>
        <v>736</v>
      </c>
      <c r="F35">
        <f>SUMIFS(WeeklyPicks!$M:$M,WeeklyPicks!$A:$A,"&lt;="&amp;$A35,WeeklyPicks!$C:$C,F$16)</f>
        <v>876</v>
      </c>
      <c r="G35">
        <f>SUMIFS(WeeklyPicks!$M:$M,WeeklyPicks!$A:$A,"&lt;="&amp;$A35,WeeklyPicks!$C:$C,G$16)</f>
        <v>620</v>
      </c>
      <c r="H35">
        <f>SUMIFS(WeeklyPicks!$M:$M,WeeklyPicks!$A:$A,"&lt;="&amp;$A35,WeeklyPicks!$C:$C,H$16)</f>
        <v>677</v>
      </c>
      <c r="I35">
        <f>SUMIFS(WeeklyPicks!$M:$M,WeeklyPicks!$A:$A,"&lt;="&amp;$A35,WeeklyPicks!$C:$C,I$16)</f>
        <v>365</v>
      </c>
      <c r="J35">
        <f>SUMIFS(WeeklyPicks!$M:$M,WeeklyPicks!$A:$A,"&lt;="&amp;$A35,WeeklyPicks!$C:$C,J$16)</f>
        <v>0</v>
      </c>
      <c r="K35">
        <f>SUMIFS(WeeklyPicks!$M:$M,WeeklyPicks!$A:$A,"&lt;="&amp;$A35,WeeklyPicks!$C:$C,K$16)</f>
        <v>515</v>
      </c>
      <c r="L35">
        <f>SUMIFS(WeeklyPicks!$M:$M,WeeklyPicks!$A:$A,"&lt;="&amp;$A35,WeeklyPicks!$C:$C,L$16)</f>
        <v>544</v>
      </c>
    </row>
    <row r="36" spans="1:12" ht="14.4" x14ac:dyDescent="0.3">
      <c r="A36">
        <v>20</v>
      </c>
      <c r="B36" t="s">
        <v>50</v>
      </c>
      <c r="C36">
        <f>SUMIFS(WeeklyPicks!$M:$M,WeeklyPicks!$A:$A,"&lt;="&amp;$A36,WeeklyPicks!$C:$C,C$16)</f>
        <v>880</v>
      </c>
      <c r="D36">
        <f>SUMIFS(WeeklyPicks!$M:$M,WeeklyPicks!$A:$A,"&lt;="&amp;$A36,WeeklyPicks!$C:$C,D$16)</f>
        <v>875</v>
      </c>
      <c r="E36">
        <f>SUMIFS(WeeklyPicks!$M:$M,WeeklyPicks!$A:$A,"&lt;="&amp;$A36,WeeklyPicks!$C:$C,E$16)</f>
        <v>736</v>
      </c>
      <c r="F36">
        <f>SUMIFS(WeeklyPicks!$M:$M,WeeklyPicks!$A:$A,"&lt;="&amp;$A36,WeeklyPicks!$C:$C,F$16)</f>
        <v>876</v>
      </c>
      <c r="G36">
        <f>SUMIFS(WeeklyPicks!$M:$M,WeeklyPicks!$A:$A,"&lt;="&amp;$A36,WeeklyPicks!$C:$C,G$16)</f>
        <v>620</v>
      </c>
      <c r="H36">
        <f>SUMIFS(WeeklyPicks!$M:$M,WeeklyPicks!$A:$A,"&lt;="&amp;$A36,WeeklyPicks!$C:$C,H$16)</f>
        <v>677</v>
      </c>
      <c r="I36">
        <f>SUMIFS(WeeklyPicks!$M:$M,WeeklyPicks!$A:$A,"&lt;="&amp;$A36,WeeklyPicks!$C:$C,I$16)</f>
        <v>365</v>
      </c>
      <c r="J36">
        <f>SUMIFS(WeeklyPicks!$M:$M,WeeklyPicks!$A:$A,"&lt;="&amp;$A36,WeeklyPicks!$C:$C,J$16)</f>
        <v>0</v>
      </c>
      <c r="K36">
        <f>SUMIFS(WeeklyPicks!$M:$M,WeeklyPicks!$A:$A,"&lt;="&amp;$A36,WeeklyPicks!$C:$C,K$16)</f>
        <v>515</v>
      </c>
      <c r="L36">
        <f>SUMIFS(WeeklyPicks!$M:$M,WeeklyPicks!$A:$A,"&lt;="&amp;$A36,WeeklyPicks!$C:$C,L$16)</f>
        <v>544</v>
      </c>
    </row>
    <row r="37" spans="1:12" ht="14.4" x14ac:dyDescent="0.3">
      <c r="A37">
        <v>21</v>
      </c>
      <c r="B37" t="s">
        <v>90</v>
      </c>
      <c r="C37">
        <f>SUMIFS(WeeklyPicks!$M:$M,WeeklyPicks!$A:$A,"&lt;="&amp;$A37,WeeklyPicks!$C:$C,C$16)</f>
        <v>880</v>
      </c>
      <c r="D37">
        <f>SUMIFS(WeeklyPicks!$M:$M,WeeklyPicks!$A:$A,"&lt;="&amp;$A37,WeeklyPicks!$C:$C,D$16)</f>
        <v>875</v>
      </c>
      <c r="E37">
        <f>SUMIFS(WeeklyPicks!$M:$M,WeeklyPicks!$A:$A,"&lt;="&amp;$A37,WeeklyPicks!$C:$C,E$16)</f>
        <v>736</v>
      </c>
      <c r="F37">
        <f>SUMIFS(WeeklyPicks!$M:$M,WeeklyPicks!$A:$A,"&lt;="&amp;$A37,WeeklyPicks!$C:$C,F$16)</f>
        <v>876</v>
      </c>
      <c r="G37">
        <f>SUMIFS(WeeklyPicks!$M:$M,WeeklyPicks!$A:$A,"&lt;="&amp;$A37,WeeklyPicks!$C:$C,G$16)</f>
        <v>620</v>
      </c>
      <c r="H37">
        <f>SUMIFS(WeeklyPicks!$M:$M,WeeklyPicks!$A:$A,"&lt;="&amp;$A37,WeeklyPicks!$C:$C,H$16)</f>
        <v>677</v>
      </c>
      <c r="I37">
        <f>SUMIFS(WeeklyPicks!$M:$M,WeeklyPicks!$A:$A,"&lt;="&amp;$A37,WeeklyPicks!$C:$C,I$16)</f>
        <v>365</v>
      </c>
      <c r="J37">
        <f>SUMIFS(WeeklyPicks!$M:$M,WeeklyPicks!$A:$A,"&lt;="&amp;$A37,WeeklyPicks!$C:$C,J$16)</f>
        <v>0</v>
      </c>
      <c r="K37">
        <f>SUMIFS(WeeklyPicks!$M:$M,WeeklyPicks!$A:$A,"&lt;="&amp;$A37,WeeklyPicks!$C:$C,K$16)</f>
        <v>515</v>
      </c>
      <c r="L37">
        <f>SUMIFS(WeeklyPicks!$M:$M,WeeklyPicks!$A:$A,"&lt;="&amp;$A37,WeeklyPicks!$C:$C,L$16)</f>
        <v>544</v>
      </c>
    </row>
    <row r="38" spans="1:12" ht="14.4" x14ac:dyDescent="0.3">
      <c r="A38">
        <v>22</v>
      </c>
      <c r="B38" t="s">
        <v>92</v>
      </c>
      <c r="C38">
        <f>SUMIFS(WeeklyPicks!$M:$M,WeeklyPicks!$A:$A,"&lt;="&amp;$A38,WeeklyPicks!$C:$C,C$16)</f>
        <v>880</v>
      </c>
      <c r="D38">
        <f>SUMIFS(WeeklyPicks!$M:$M,WeeklyPicks!$A:$A,"&lt;="&amp;$A38,WeeklyPicks!$C:$C,D$16)</f>
        <v>875</v>
      </c>
      <c r="E38">
        <f>SUMIFS(WeeklyPicks!$M:$M,WeeklyPicks!$A:$A,"&lt;="&amp;$A38,WeeklyPicks!$C:$C,E$16)</f>
        <v>736</v>
      </c>
      <c r="F38">
        <f>SUMIFS(WeeklyPicks!$M:$M,WeeklyPicks!$A:$A,"&lt;="&amp;$A38,WeeklyPicks!$C:$C,F$16)</f>
        <v>876</v>
      </c>
      <c r="G38">
        <f>SUMIFS(WeeklyPicks!$M:$M,WeeklyPicks!$A:$A,"&lt;="&amp;$A38,WeeklyPicks!$C:$C,G$16)</f>
        <v>620</v>
      </c>
      <c r="H38">
        <f>SUMIFS(WeeklyPicks!$M:$M,WeeklyPicks!$A:$A,"&lt;="&amp;$A38,WeeklyPicks!$C:$C,H$16)</f>
        <v>677</v>
      </c>
      <c r="I38">
        <f>SUMIFS(WeeklyPicks!$M:$M,WeeklyPicks!$A:$A,"&lt;="&amp;$A38,WeeklyPicks!$C:$C,I$16)</f>
        <v>365</v>
      </c>
      <c r="J38">
        <f>SUMIFS(WeeklyPicks!$M:$M,WeeklyPicks!$A:$A,"&lt;="&amp;$A38,WeeklyPicks!$C:$C,J$16)</f>
        <v>0</v>
      </c>
      <c r="K38">
        <f>SUMIFS(WeeklyPicks!$M:$M,WeeklyPicks!$A:$A,"&lt;="&amp;$A38,WeeklyPicks!$C:$C,K$16)</f>
        <v>515</v>
      </c>
      <c r="L38">
        <f>SUMIFS(WeeklyPicks!$M:$M,WeeklyPicks!$A:$A,"&lt;="&amp;$A38,WeeklyPicks!$C:$C,L$16)</f>
        <v>544</v>
      </c>
    </row>
    <row r="39" spans="1:12" ht="14.4" x14ac:dyDescent="0.3">
      <c r="A39">
        <v>23</v>
      </c>
      <c r="B39" t="s">
        <v>94</v>
      </c>
      <c r="C39">
        <f>SUMIFS(WeeklyPicks!$M:$M,WeeklyPicks!$A:$A,"&lt;="&amp;$A39,WeeklyPicks!$C:$C,C$16)</f>
        <v>880</v>
      </c>
      <c r="D39">
        <f>SUMIFS(WeeklyPicks!$M:$M,WeeklyPicks!$A:$A,"&lt;="&amp;$A39,WeeklyPicks!$C:$C,D$16)</f>
        <v>875</v>
      </c>
      <c r="E39">
        <f>SUMIFS(WeeklyPicks!$M:$M,WeeklyPicks!$A:$A,"&lt;="&amp;$A39,WeeklyPicks!$C:$C,E$16)</f>
        <v>736</v>
      </c>
      <c r="F39">
        <f>SUMIFS(WeeklyPicks!$M:$M,WeeklyPicks!$A:$A,"&lt;="&amp;$A39,WeeklyPicks!$C:$C,F$16)</f>
        <v>876</v>
      </c>
      <c r="G39">
        <f>SUMIFS(WeeklyPicks!$M:$M,WeeklyPicks!$A:$A,"&lt;="&amp;$A39,WeeklyPicks!$C:$C,G$16)</f>
        <v>620</v>
      </c>
      <c r="H39">
        <f>SUMIFS(WeeklyPicks!$M:$M,WeeklyPicks!$A:$A,"&lt;="&amp;$A39,WeeklyPicks!$C:$C,H$16)</f>
        <v>677</v>
      </c>
      <c r="I39">
        <f>SUMIFS(WeeklyPicks!$M:$M,WeeklyPicks!$A:$A,"&lt;="&amp;$A39,WeeklyPicks!$C:$C,I$16)</f>
        <v>365</v>
      </c>
      <c r="J39">
        <f>SUMIFS(WeeklyPicks!$M:$M,WeeklyPicks!$A:$A,"&lt;="&amp;$A39,WeeklyPicks!$C:$C,J$16)</f>
        <v>0</v>
      </c>
      <c r="K39">
        <f>SUMIFS(WeeklyPicks!$M:$M,WeeklyPicks!$A:$A,"&lt;="&amp;$A39,WeeklyPicks!$C:$C,K$16)</f>
        <v>515</v>
      </c>
      <c r="L39">
        <f>SUMIFS(WeeklyPicks!$M:$M,WeeklyPicks!$A:$A,"&lt;="&amp;$A39,WeeklyPicks!$C:$C,L$16)</f>
        <v>544</v>
      </c>
    </row>
    <row r="40" spans="1:12" ht="14.4" x14ac:dyDescent="0.3">
      <c r="A40">
        <v>24</v>
      </c>
      <c r="B40" t="s">
        <v>97</v>
      </c>
      <c r="C40">
        <f>SUMIFS(WeeklyPicks!$M:$M,WeeklyPicks!$A:$A,"&lt;="&amp;$A40,WeeklyPicks!$C:$C,C$16)</f>
        <v>880</v>
      </c>
      <c r="D40">
        <f>SUMIFS(WeeklyPicks!$M:$M,WeeklyPicks!$A:$A,"&lt;="&amp;$A40,WeeklyPicks!$C:$C,D$16)</f>
        <v>875</v>
      </c>
      <c r="E40">
        <f>SUMIFS(WeeklyPicks!$M:$M,WeeklyPicks!$A:$A,"&lt;="&amp;$A40,WeeklyPicks!$C:$C,E$16)</f>
        <v>736</v>
      </c>
      <c r="F40">
        <f>SUMIFS(WeeklyPicks!$M:$M,WeeklyPicks!$A:$A,"&lt;="&amp;$A40,WeeklyPicks!$C:$C,F$16)</f>
        <v>876</v>
      </c>
      <c r="G40">
        <f>SUMIFS(WeeklyPicks!$M:$M,WeeklyPicks!$A:$A,"&lt;="&amp;$A40,WeeklyPicks!$C:$C,G$16)</f>
        <v>620</v>
      </c>
      <c r="H40">
        <f>SUMIFS(WeeklyPicks!$M:$M,WeeklyPicks!$A:$A,"&lt;="&amp;$A40,WeeklyPicks!$C:$C,H$16)</f>
        <v>677</v>
      </c>
      <c r="I40">
        <f>SUMIFS(WeeklyPicks!$M:$M,WeeklyPicks!$A:$A,"&lt;="&amp;$A40,WeeklyPicks!$C:$C,I$16)</f>
        <v>365</v>
      </c>
      <c r="J40">
        <f>SUMIFS(WeeklyPicks!$M:$M,WeeklyPicks!$A:$A,"&lt;="&amp;$A40,WeeklyPicks!$C:$C,J$16)</f>
        <v>0</v>
      </c>
      <c r="K40">
        <f>SUMIFS(WeeklyPicks!$M:$M,WeeklyPicks!$A:$A,"&lt;="&amp;$A40,WeeklyPicks!$C:$C,K$16)</f>
        <v>515</v>
      </c>
      <c r="L40">
        <f>SUMIFS(WeeklyPicks!$M:$M,WeeklyPicks!$A:$A,"&lt;="&amp;$A40,WeeklyPicks!$C:$C,L$16)</f>
        <v>544</v>
      </c>
    </row>
    <row r="41" spans="1:12" ht="14.4" x14ac:dyDescent="0.3">
      <c r="A41">
        <v>25</v>
      </c>
      <c r="B41" t="s">
        <v>99</v>
      </c>
      <c r="C41">
        <f>SUMIFS(WeeklyPicks!$M:$M,WeeklyPicks!$A:$A,"&lt;="&amp;$A41,WeeklyPicks!$C:$C,C$16)</f>
        <v>880</v>
      </c>
      <c r="D41">
        <f>SUMIFS(WeeklyPicks!$M:$M,WeeklyPicks!$A:$A,"&lt;="&amp;$A41,WeeklyPicks!$C:$C,D$16)</f>
        <v>875</v>
      </c>
      <c r="E41">
        <f>SUMIFS(WeeklyPicks!$M:$M,WeeklyPicks!$A:$A,"&lt;="&amp;$A41,WeeklyPicks!$C:$C,E$16)</f>
        <v>736</v>
      </c>
      <c r="F41">
        <f>SUMIFS(WeeklyPicks!$M:$M,WeeklyPicks!$A:$A,"&lt;="&amp;$A41,WeeklyPicks!$C:$C,F$16)</f>
        <v>876</v>
      </c>
      <c r="G41">
        <f>SUMIFS(WeeklyPicks!$M:$M,WeeklyPicks!$A:$A,"&lt;="&amp;$A41,WeeklyPicks!$C:$C,G$16)</f>
        <v>620</v>
      </c>
      <c r="H41">
        <f>SUMIFS(WeeklyPicks!$M:$M,WeeklyPicks!$A:$A,"&lt;="&amp;$A41,WeeklyPicks!$C:$C,H$16)</f>
        <v>677</v>
      </c>
      <c r="I41">
        <f>SUMIFS(WeeklyPicks!$M:$M,WeeklyPicks!$A:$A,"&lt;="&amp;$A41,WeeklyPicks!$C:$C,I$16)</f>
        <v>365</v>
      </c>
      <c r="J41">
        <f>SUMIFS(WeeklyPicks!$M:$M,WeeklyPicks!$A:$A,"&lt;="&amp;$A41,WeeklyPicks!$C:$C,J$16)</f>
        <v>0</v>
      </c>
      <c r="K41">
        <f>SUMIFS(WeeklyPicks!$M:$M,WeeklyPicks!$A:$A,"&lt;="&amp;$A41,WeeklyPicks!$C:$C,K$16)</f>
        <v>515</v>
      </c>
      <c r="L41">
        <f>SUMIFS(WeeklyPicks!$M:$M,WeeklyPicks!$A:$A,"&lt;="&amp;$A41,WeeklyPicks!$C:$C,L$16)</f>
        <v>544</v>
      </c>
    </row>
    <row r="42" spans="1:12" ht="14.4" x14ac:dyDescent="0.3">
      <c r="A42">
        <v>26</v>
      </c>
      <c r="B42" t="s">
        <v>101</v>
      </c>
      <c r="C42">
        <f>SUMIFS(WeeklyPicks!$M:$M,WeeklyPicks!$A:$A,"&lt;="&amp;$A42,WeeklyPicks!$C:$C,C$16)</f>
        <v>880</v>
      </c>
      <c r="D42">
        <f>SUMIFS(WeeklyPicks!$M:$M,WeeklyPicks!$A:$A,"&lt;="&amp;$A42,WeeklyPicks!$C:$C,D$16)</f>
        <v>875</v>
      </c>
      <c r="E42">
        <f>SUMIFS(WeeklyPicks!$M:$M,WeeklyPicks!$A:$A,"&lt;="&amp;$A42,WeeklyPicks!$C:$C,E$16)</f>
        <v>736</v>
      </c>
      <c r="F42">
        <f>SUMIFS(WeeklyPicks!$M:$M,WeeklyPicks!$A:$A,"&lt;="&amp;$A42,WeeklyPicks!$C:$C,F$16)</f>
        <v>876</v>
      </c>
      <c r="G42">
        <f>SUMIFS(WeeklyPicks!$M:$M,WeeklyPicks!$A:$A,"&lt;="&amp;$A42,WeeklyPicks!$C:$C,G$16)</f>
        <v>620</v>
      </c>
      <c r="H42">
        <f>SUMIFS(WeeklyPicks!$M:$M,WeeklyPicks!$A:$A,"&lt;="&amp;$A42,WeeklyPicks!$C:$C,H$16)</f>
        <v>677</v>
      </c>
      <c r="I42">
        <f>SUMIFS(WeeklyPicks!$M:$M,WeeklyPicks!$A:$A,"&lt;="&amp;$A42,WeeklyPicks!$C:$C,I$16)</f>
        <v>365</v>
      </c>
      <c r="J42">
        <f>SUMIFS(WeeklyPicks!$M:$M,WeeklyPicks!$A:$A,"&lt;="&amp;$A42,WeeklyPicks!$C:$C,J$16)</f>
        <v>0</v>
      </c>
      <c r="K42">
        <f>SUMIFS(WeeklyPicks!$M:$M,WeeklyPicks!$A:$A,"&lt;="&amp;$A42,WeeklyPicks!$C:$C,K$16)</f>
        <v>515</v>
      </c>
      <c r="L42">
        <f>SUMIFS(WeeklyPicks!$M:$M,WeeklyPicks!$A:$A,"&lt;="&amp;$A42,WeeklyPicks!$C:$C,L$16)</f>
        <v>544</v>
      </c>
    </row>
    <row r="43" spans="1:12" ht="14.4" x14ac:dyDescent="0.3">
      <c r="A43">
        <v>27</v>
      </c>
      <c r="B43" t="s">
        <v>59</v>
      </c>
      <c r="C43">
        <f>SUMIFS(WeeklyPicks!$M:$M,WeeklyPicks!$A:$A,"&lt;="&amp;$A43,WeeklyPicks!$C:$C,C$16)</f>
        <v>880</v>
      </c>
      <c r="D43">
        <f>SUMIFS(WeeklyPicks!$M:$M,WeeklyPicks!$A:$A,"&lt;="&amp;$A43,WeeklyPicks!$C:$C,D$16)</f>
        <v>875</v>
      </c>
      <c r="E43">
        <f>SUMIFS(WeeklyPicks!$M:$M,WeeklyPicks!$A:$A,"&lt;="&amp;$A43,WeeklyPicks!$C:$C,E$16)</f>
        <v>736</v>
      </c>
      <c r="F43">
        <f>SUMIFS(WeeklyPicks!$M:$M,WeeklyPicks!$A:$A,"&lt;="&amp;$A43,WeeklyPicks!$C:$C,F$16)</f>
        <v>876</v>
      </c>
      <c r="G43">
        <f>SUMIFS(WeeklyPicks!$M:$M,WeeklyPicks!$A:$A,"&lt;="&amp;$A43,WeeklyPicks!$C:$C,G$16)</f>
        <v>620</v>
      </c>
      <c r="H43">
        <f>SUMIFS(WeeklyPicks!$M:$M,WeeklyPicks!$A:$A,"&lt;="&amp;$A43,WeeklyPicks!$C:$C,H$16)</f>
        <v>677</v>
      </c>
      <c r="I43">
        <f>SUMIFS(WeeklyPicks!$M:$M,WeeklyPicks!$A:$A,"&lt;="&amp;$A43,WeeklyPicks!$C:$C,I$16)</f>
        <v>365</v>
      </c>
      <c r="J43">
        <f>SUMIFS(WeeklyPicks!$M:$M,WeeklyPicks!$A:$A,"&lt;="&amp;$A43,WeeklyPicks!$C:$C,J$16)</f>
        <v>0</v>
      </c>
      <c r="K43">
        <f>SUMIFS(WeeklyPicks!$M:$M,WeeklyPicks!$A:$A,"&lt;="&amp;$A43,WeeklyPicks!$C:$C,K$16)</f>
        <v>515</v>
      </c>
      <c r="L43">
        <f>SUMIFS(WeeklyPicks!$M:$M,WeeklyPicks!$A:$A,"&lt;="&amp;$A43,WeeklyPicks!$C:$C,L$16)</f>
        <v>544</v>
      </c>
    </row>
    <row r="44" spans="1:12" ht="14.4" x14ac:dyDescent="0.3">
      <c r="A44">
        <v>28</v>
      </c>
      <c r="B44" t="s">
        <v>106</v>
      </c>
      <c r="C44">
        <f>SUMIFS(WeeklyPicks!$M:$M,WeeklyPicks!$A:$A,"&lt;="&amp;$A44,WeeklyPicks!$C:$C,C$16)</f>
        <v>880</v>
      </c>
      <c r="D44">
        <f>SUMIFS(WeeklyPicks!$M:$M,WeeklyPicks!$A:$A,"&lt;="&amp;$A44,WeeklyPicks!$C:$C,D$16)</f>
        <v>875</v>
      </c>
      <c r="E44">
        <f>SUMIFS(WeeklyPicks!$M:$M,WeeklyPicks!$A:$A,"&lt;="&amp;$A44,WeeklyPicks!$C:$C,E$16)</f>
        <v>736</v>
      </c>
      <c r="F44">
        <f>SUMIFS(WeeklyPicks!$M:$M,WeeklyPicks!$A:$A,"&lt;="&amp;$A44,WeeklyPicks!$C:$C,F$16)</f>
        <v>876</v>
      </c>
      <c r="G44">
        <f>SUMIFS(WeeklyPicks!$M:$M,WeeklyPicks!$A:$A,"&lt;="&amp;$A44,WeeklyPicks!$C:$C,G$16)</f>
        <v>620</v>
      </c>
      <c r="H44">
        <f>SUMIFS(WeeklyPicks!$M:$M,WeeklyPicks!$A:$A,"&lt;="&amp;$A44,WeeklyPicks!$C:$C,H$16)</f>
        <v>677</v>
      </c>
      <c r="I44">
        <f>SUMIFS(WeeklyPicks!$M:$M,WeeklyPicks!$A:$A,"&lt;="&amp;$A44,WeeklyPicks!$C:$C,I$16)</f>
        <v>365</v>
      </c>
      <c r="J44">
        <f>SUMIFS(WeeklyPicks!$M:$M,WeeklyPicks!$A:$A,"&lt;="&amp;$A44,WeeklyPicks!$C:$C,J$16)</f>
        <v>0</v>
      </c>
      <c r="K44">
        <f>SUMIFS(WeeklyPicks!$M:$M,WeeklyPicks!$A:$A,"&lt;="&amp;$A44,WeeklyPicks!$C:$C,K$16)</f>
        <v>515</v>
      </c>
      <c r="L44">
        <f>SUMIFS(WeeklyPicks!$M:$M,WeeklyPicks!$A:$A,"&lt;="&amp;$A44,WeeklyPicks!$C:$C,L$16)</f>
        <v>544</v>
      </c>
    </row>
    <row r="45" spans="1:12" ht="14.4" x14ac:dyDescent="0.3">
      <c r="A45">
        <v>29</v>
      </c>
      <c r="B45" t="s">
        <v>63</v>
      </c>
      <c r="C45">
        <f>SUMIFS(WeeklyPicks!$M:$M,WeeklyPicks!$A:$A,"&lt;="&amp;$A45,WeeklyPicks!$C:$C,C$16)</f>
        <v>880</v>
      </c>
      <c r="D45">
        <f>SUMIFS(WeeklyPicks!$M:$M,WeeklyPicks!$A:$A,"&lt;="&amp;$A45,WeeklyPicks!$C:$C,D$16)</f>
        <v>875</v>
      </c>
      <c r="E45">
        <f>SUMIFS(WeeklyPicks!$M:$M,WeeklyPicks!$A:$A,"&lt;="&amp;$A45,WeeklyPicks!$C:$C,E$16)</f>
        <v>736</v>
      </c>
      <c r="F45">
        <f>SUMIFS(WeeklyPicks!$M:$M,WeeklyPicks!$A:$A,"&lt;="&amp;$A45,WeeklyPicks!$C:$C,F$16)</f>
        <v>876</v>
      </c>
      <c r="G45">
        <f>SUMIFS(WeeklyPicks!$M:$M,WeeklyPicks!$A:$A,"&lt;="&amp;$A45,WeeklyPicks!$C:$C,G$16)</f>
        <v>620</v>
      </c>
      <c r="H45">
        <f>SUMIFS(WeeklyPicks!$M:$M,WeeklyPicks!$A:$A,"&lt;="&amp;$A45,WeeklyPicks!$C:$C,H$16)</f>
        <v>677</v>
      </c>
      <c r="I45">
        <f>SUMIFS(WeeklyPicks!$M:$M,WeeklyPicks!$A:$A,"&lt;="&amp;$A45,WeeklyPicks!$C:$C,I$16)</f>
        <v>365</v>
      </c>
      <c r="J45">
        <f>SUMIFS(WeeklyPicks!$M:$M,WeeklyPicks!$A:$A,"&lt;="&amp;$A45,WeeklyPicks!$C:$C,J$16)</f>
        <v>0</v>
      </c>
      <c r="K45">
        <f>SUMIFS(WeeklyPicks!$M:$M,WeeklyPicks!$A:$A,"&lt;="&amp;$A45,WeeklyPicks!$C:$C,K$16)</f>
        <v>515</v>
      </c>
      <c r="L45">
        <f>SUMIFS(WeeklyPicks!$M:$M,WeeklyPicks!$A:$A,"&lt;="&amp;$A45,WeeklyPicks!$C:$C,L$16)</f>
        <v>544</v>
      </c>
    </row>
    <row r="46" spans="1:12" ht="14.4" x14ac:dyDescent="0.3">
      <c r="A46">
        <v>30</v>
      </c>
      <c r="B46" t="s">
        <v>65</v>
      </c>
      <c r="C46">
        <f>SUMIFS(WeeklyPicks!$M:$M,WeeklyPicks!$A:$A,"&lt;="&amp;$A46,WeeklyPicks!$C:$C,C$16)</f>
        <v>880</v>
      </c>
      <c r="D46">
        <f>SUMIFS(WeeklyPicks!$M:$M,WeeklyPicks!$A:$A,"&lt;="&amp;$A46,WeeklyPicks!$C:$C,D$16)</f>
        <v>875</v>
      </c>
      <c r="E46">
        <f>SUMIFS(WeeklyPicks!$M:$M,WeeklyPicks!$A:$A,"&lt;="&amp;$A46,WeeklyPicks!$C:$C,E$16)</f>
        <v>736</v>
      </c>
      <c r="F46">
        <f>SUMIFS(WeeklyPicks!$M:$M,WeeklyPicks!$A:$A,"&lt;="&amp;$A46,WeeklyPicks!$C:$C,F$16)</f>
        <v>876</v>
      </c>
      <c r="G46">
        <f>SUMIFS(WeeklyPicks!$M:$M,WeeklyPicks!$A:$A,"&lt;="&amp;$A46,WeeklyPicks!$C:$C,G$16)</f>
        <v>620</v>
      </c>
      <c r="H46">
        <f>SUMIFS(WeeklyPicks!$M:$M,WeeklyPicks!$A:$A,"&lt;="&amp;$A46,WeeklyPicks!$C:$C,H$16)</f>
        <v>677</v>
      </c>
      <c r="I46">
        <f>SUMIFS(WeeklyPicks!$M:$M,WeeklyPicks!$A:$A,"&lt;="&amp;$A46,WeeklyPicks!$C:$C,I$16)</f>
        <v>365</v>
      </c>
      <c r="J46">
        <f>SUMIFS(WeeklyPicks!$M:$M,WeeklyPicks!$A:$A,"&lt;="&amp;$A46,WeeklyPicks!$C:$C,J$16)</f>
        <v>0</v>
      </c>
      <c r="K46">
        <f>SUMIFS(WeeklyPicks!$M:$M,WeeklyPicks!$A:$A,"&lt;="&amp;$A46,WeeklyPicks!$C:$C,K$16)</f>
        <v>515</v>
      </c>
      <c r="L46">
        <f>SUMIFS(WeeklyPicks!$M:$M,WeeklyPicks!$A:$A,"&lt;="&amp;$A46,WeeklyPicks!$C:$C,L$16)</f>
        <v>544</v>
      </c>
    </row>
    <row r="47" spans="1:12" ht="14.4" x14ac:dyDescent="0.3">
      <c r="A47">
        <v>31</v>
      </c>
      <c r="B47" t="s">
        <v>57</v>
      </c>
      <c r="C47">
        <f>SUMIFS(WeeklyPicks!$M:$M,WeeklyPicks!$A:$A,"&lt;="&amp;$A47,WeeklyPicks!$C:$C,C$16)</f>
        <v>880</v>
      </c>
      <c r="D47">
        <f>SUMIFS(WeeklyPicks!$M:$M,WeeklyPicks!$A:$A,"&lt;="&amp;$A47,WeeklyPicks!$C:$C,D$16)</f>
        <v>875</v>
      </c>
      <c r="E47">
        <f>SUMIFS(WeeklyPicks!$M:$M,WeeklyPicks!$A:$A,"&lt;="&amp;$A47,WeeklyPicks!$C:$C,E$16)</f>
        <v>736</v>
      </c>
      <c r="F47">
        <f>SUMIFS(WeeklyPicks!$M:$M,WeeklyPicks!$A:$A,"&lt;="&amp;$A47,WeeklyPicks!$C:$C,F$16)</f>
        <v>876</v>
      </c>
      <c r="G47">
        <f>SUMIFS(WeeklyPicks!$M:$M,WeeklyPicks!$A:$A,"&lt;="&amp;$A47,WeeklyPicks!$C:$C,G$16)</f>
        <v>620</v>
      </c>
      <c r="H47">
        <f>SUMIFS(WeeklyPicks!$M:$M,WeeklyPicks!$A:$A,"&lt;="&amp;$A47,WeeklyPicks!$C:$C,H$16)</f>
        <v>677</v>
      </c>
      <c r="I47">
        <f>SUMIFS(WeeklyPicks!$M:$M,WeeklyPicks!$A:$A,"&lt;="&amp;$A47,WeeklyPicks!$C:$C,I$16)</f>
        <v>365</v>
      </c>
      <c r="J47">
        <f>SUMIFS(WeeklyPicks!$M:$M,WeeklyPicks!$A:$A,"&lt;="&amp;$A47,WeeklyPicks!$C:$C,J$16)</f>
        <v>0</v>
      </c>
      <c r="K47">
        <f>SUMIFS(WeeklyPicks!$M:$M,WeeklyPicks!$A:$A,"&lt;="&amp;$A47,WeeklyPicks!$C:$C,K$16)</f>
        <v>515</v>
      </c>
      <c r="L47">
        <f>SUMIFS(WeeklyPicks!$M:$M,WeeklyPicks!$A:$A,"&lt;="&amp;$A47,WeeklyPicks!$C:$C,L$16)</f>
        <v>544</v>
      </c>
    </row>
    <row r="48" spans="1:12" ht="14.4" x14ac:dyDescent="0.3">
      <c r="A48">
        <v>32</v>
      </c>
      <c r="B48" t="s">
        <v>73</v>
      </c>
      <c r="C48">
        <f>SUMIFS(WeeklyPicks!$M:$M,WeeklyPicks!$A:$A,"&lt;="&amp;$A48,WeeklyPicks!$C:$C,C$16)</f>
        <v>880</v>
      </c>
      <c r="D48">
        <f>SUMIFS(WeeklyPicks!$M:$M,WeeklyPicks!$A:$A,"&lt;="&amp;$A48,WeeklyPicks!$C:$C,D$16)</f>
        <v>875</v>
      </c>
      <c r="E48">
        <f>SUMIFS(WeeklyPicks!$M:$M,WeeklyPicks!$A:$A,"&lt;="&amp;$A48,WeeklyPicks!$C:$C,E$16)</f>
        <v>736</v>
      </c>
      <c r="F48">
        <f>SUMIFS(WeeklyPicks!$M:$M,WeeklyPicks!$A:$A,"&lt;="&amp;$A48,WeeklyPicks!$C:$C,F$16)</f>
        <v>876</v>
      </c>
      <c r="G48">
        <f>SUMIFS(WeeklyPicks!$M:$M,WeeklyPicks!$A:$A,"&lt;="&amp;$A48,WeeklyPicks!$C:$C,G$16)</f>
        <v>620</v>
      </c>
      <c r="H48">
        <f>SUMIFS(WeeklyPicks!$M:$M,WeeklyPicks!$A:$A,"&lt;="&amp;$A48,WeeklyPicks!$C:$C,H$16)</f>
        <v>677</v>
      </c>
      <c r="I48">
        <f>SUMIFS(WeeklyPicks!$M:$M,WeeklyPicks!$A:$A,"&lt;="&amp;$A48,WeeklyPicks!$C:$C,I$16)</f>
        <v>365</v>
      </c>
      <c r="J48">
        <f>SUMIFS(WeeklyPicks!$M:$M,WeeklyPicks!$A:$A,"&lt;="&amp;$A48,WeeklyPicks!$C:$C,J$16)</f>
        <v>0</v>
      </c>
      <c r="K48">
        <f>SUMIFS(WeeklyPicks!$M:$M,WeeklyPicks!$A:$A,"&lt;="&amp;$A48,WeeklyPicks!$C:$C,K$16)</f>
        <v>515</v>
      </c>
      <c r="L48">
        <f>SUMIFS(WeeklyPicks!$M:$M,WeeklyPicks!$A:$A,"&lt;="&amp;$A48,WeeklyPicks!$C:$C,L$16)</f>
        <v>544</v>
      </c>
    </row>
    <row r="49" spans="1:12" ht="14.4" x14ac:dyDescent="0.3">
      <c r="A49">
        <v>33</v>
      </c>
      <c r="B49" t="s">
        <v>54</v>
      </c>
      <c r="C49">
        <f>SUMIFS(WeeklyPicks!$M:$M,WeeklyPicks!$A:$A,"&lt;="&amp;$A49,WeeklyPicks!$C:$C,C$16)</f>
        <v>880</v>
      </c>
      <c r="D49">
        <f>SUMIFS(WeeklyPicks!$M:$M,WeeklyPicks!$A:$A,"&lt;="&amp;$A49,WeeklyPicks!$C:$C,D$16)</f>
        <v>875</v>
      </c>
      <c r="E49">
        <f>SUMIFS(WeeklyPicks!$M:$M,WeeklyPicks!$A:$A,"&lt;="&amp;$A49,WeeklyPicks!$C:$C,E$16)</f>
        <v>736</v>
      </c>
      <c r="F49">
        <f>SUMIFS(WeeklyPicks!$M:$M,WeeklyPicks!$A:$A,"&lt;="&amp;$A49,WeeklyPicks!$C:$C,F$16)</f>
        <v>876</v>
      </c>
      <c r="G49">
        <f>SUMIFS(WeeklyPicks!$M:$M,WeeklyPicks!$A:$A,"&lt;="&amp;$A49,WeeklyPicks!$C:$C,G$16)</f>
        <v>620</v>
      </c>
      <c r="H49">
        <f>SUMIFS(WeeklyPicks!$M:$M,WeeklyPicks!$A:$A,"&lt;="&amp;$A49,WeeklyPicks!$C:$C,H$16)</f>
        <v>677</v>
      </c>
      <c r="I49">
        <f>SUMIFS(WeeklyPicks!$M:$M,WeeklyPicks!$A:$A,"&lt;="&amp;$A49,WeeklyPicks!$C:$C,I$16)</f>
        <v>365</v>
      </c>
      <c r="J49">
        <f>SUMIFS(WeeklyPicks!$M:$M,WeeklyPicks!$A:$A,"&lt;="&amp;$A49,WeeklyPicks!$C:$C,J$16)</f>
        <v>0</v>
      </c>
      <c r="K49">
        <f>SUMIFS(WeeklyPicks!$M:$M,WeeklyPicks!$A:$A,"&lt;="&amp;$A49,WeeklyPicks!$C:$C,K$16)</f>
        <v>515</v>
      </c>
      <c r="L49">
        <f>SUMIFS(WeeklyPicks!$M:$M,WeeklyPicks!$A:$A,"&lt;="&amp;$A49,WeeklyPicks!$C:$C,L$16)</f>
        <v>544</v>
      </c>
    </row>
    <row r="50" spans="1:12" ht="14.4" x14ac:dyDescent="0.3">
      <c r="A50">
        <v>34</v>
      </c>
      <c r="B50" t="s">
        <v>67</v>
      </c>
      <c r="C50">
        <f>SUMIFS(WeeklyPicks!$M:$M,WeeklyPicks!$A:$A,"&lt;="&amp;$A50,WeeklyPicks!$C:$C,C$16)</f>
        <v>880</v>
      </c>
      <c r="D50">
        <f>SUMIFS(WeeklyPicks!$M:$M,WeeklyPicks!$A:$A,"&lt;="&amp;$A50,WeeklyPicks!$C:$C,D$16)</f>
        <v>875</v>
      </c>
      <c r="E50">
        <f>SUMIFS(WeeklyPicks!$M:$M,WeeklyPicks!$A:$A,"&lt;="&amp;$A50,WeeklyPicks!$C:$C,E$16)</f>
        <v>736</v>
      </c>
      <c r="F50">
        <f>SUMIFS(WeeklyPicks!$M:$M,WeeklyPicks!$A:$A,"&lt;="&amp;$A50,WeeklyPicks!$C:$C,F$16)</f>
        <v>876</v>
      </c>
      <c r="G50">
        <f>SUMIFS(WeeklyPicks!$M:$M,WeeklyPicks!$A:$A,"&lt;="&amp;$A50,WeeklyPicks!$C:$C,G$16)</f>
        <v>620</v>
      </c>
      <c r="H50">
        <f>SUMIFS(WeeklyPicks!$M:$M,WeeklyPicks!$A:$A,"&lt;="&amp;$A50,WeeklyPicks!$C:$C,H$16)</f>
        <v>677</v>
      </c>
      <c r="I50">
        <f>SUMIFS(WeeklyPicks!$M:$M,WeeklyPicks!$A:$A,"&lt;="&amp;$A50,WeeklyPicks!$C:$C,I$16)</f>
        <v>365</v>
      </c>
      <c r="J50">
        <f>SUMIFS(WeeklyPicks!$M:$M,WeeklyPicks!$A:$A,"&lt;="&amp;$A50,WeeklyPicks!$C:$C,J$16)</f>
        <v>0</v>
      </c>
      <c r="K50">
        <f>SUMIFS(WeeklyPicks!$M:$M,WeeklyPicks!$A:$A,"&lt;="&amp;$A50,WeeklyPicks!$C:$C,K$16)</f>
        <v>515</v>
      </c>
      <c r="L50">
        <f>SUMIFS(WeeklyPicks!$M:$M,WeeklyPicks!$A:$A,"&lt;="&amp;$A50,WeeklyPicks!$C:$C,L$16)</f>
        <v>544</v>
      </c>
    </row>
    <row r="51" spans="1:12" ht="14.4" x14ac:dyDescent="0.3">
      <c r="A51">
        <v>35</v>
      </c>
      <c r="B51" t="s">
        <v>61</v>
      </c>
      <c r="C51">
        <f>SUMIFS(WeeklyPicks!$M:$M,WeeklyPicks!$A:$A,"&lt;="&amp;$A51,WeeklyPicks!$C:$C,C$16)</f>
        <v>880</v>
      </c>
      <c r="D51">
        <f>SUMIFS(WeeklyPicks!$M:$M,WeeklyPicks!$A:$A,"&lt;="&amp;$A51,WeeklyPicks!$C:$C,D$16)</f>
        <v>875</v>
      </c>
      <c r="E51">
        <f>SUMIFS(WeeklyPicks!$M:$M,WeeklyPicks!$A:$A,"&lt;="&amp;$A51,WeeklyPicks!$C:$C,E$16)</f>
        <v>736</v>
      </c>
      <c r="F51">
        <f>SUMIFS(WeeklyPicks!$M:$M,WeeklyPicks!$A:$A,"&lt;="&amp;$A51,WeeklyPicks!$C:$C,F$16)</f>
        <v>876</v>
      </c>
      <c r="G51">
        <f>SUMIFS(WeeklyPicks!$M:$M,WeeklyPicks!$A:$A,"&lt;="&amp;$A51,WeeklyPicks!$C:$C,G$16)</f>
        <v>620</v>
      </c>
      <c r="H51">
        <f>SUMIFS(WeeklyPicks!$M:$M,WeeklyPicks!$A:$A,"&lt;="&amp;$A51,WeeklyPicks!$C:$C,H$16)</f>
        <v>677</v>
      </c>
      <c r="I51">
        <f>SUMIFS(WeeklyPicks!$M:$M,WeeklyPicks!$A:$A,"&lt;="&amp;$A51,WeeklyPicks!$C:$C,I$16)</f>
        <v>365</v>
      </c>
      <c r="J51">
        <f>SUMIFS(WeeklyPicks!$M:$M,WeeklyPicks!$A:$A,"&lt;="&amp;$A51,WeeklyPicks!$C:$C,J$16)</f>
        <v>0</v>
      </c>
      <c r="K51">
        <f>SUMIFS(WeeklyPicks!$M:$M,WeeklyPicks!$A:$A,"&lt;="&amp;$A51,WeeklyPicks!$C:$C,K$16)</f>
        <v>515</v>
      </c>
      <c r="L51">
        <f>SUMIFS(WeeklyPicks!$M:$M,WeeklyPicks!$A:$A,"&lt;="&amp;$A51,WeeklyPicks!$C:$C,L$16)</f>
        <v>544</v>
      </c>
    </row>
    <row r="52" spans="1:12" ht="14.4" x14ac:dyDescent="0.3">
      <c r="A52">
        <v>36</v>
      </c>
      <c r="B52" t="s">
        <v>115</v>
      </c>
      <c r="C52">
        <f>SUMIFS(WeeklyPicks!$M:$M,WeeklyPicks!$A:$A,"&lt;="&amp;$A52,WeeklyPicks!$C:$C,C$16)</f>
        <v>880</v>
      </c>
      <c r="D52">
        <f>SUMIFS(WeeklyPicks!$M:$M,WeeklyPicks!$A:$A,"&lt;="&amp;$A52,WeeklyPicks!$C:$C,D$16)</f>
        <v>875</v>
      </c>
      <c r="E52">
        <f>SUMIFS(WeeklyPicks!$M:$M,WeeklyPicks!$A:$A,"&lt;="&amp;$A52,WeeklyPicks!$C:$C,E$16)</f>
        <v>736</v>
      </c>
      <c r="F52">
        <f>SUMIFS(WeeklyPicks!$M:$M,WeeklyPicks!$A:$A,"&lt;="&amp;$A52,WeeklyPicks!$C:$C,F$16)</f>
        <v>876</v>
      </c>
      <c r="G52">
        <f>SUMIFS(WeeklyPicks!$M:$M,WeeklyPicks!$A:$A,"&lt;="&amp;$A52,WeeklyPicks!$C:$C,G$16)</f>
        <v>620</v>
      </c>
      <c r="H52">
        <f>SUMIFS(WeeklyPicks!$M:$M,WeeklyPicks!$A:$A,"&lt;="&amp;$A52,WeeklyPicks!$C:$C,H$16)</f>
        <v>677</v>
      </c>
      <c r="I52">
        <f>SUMIFS(WeeklyPicks!$M:$M,WeeklyPicks!$A:$A,"&lt;="&amp;$A52,WeeklyPicks!$C:$C,I$16)</f>
        <v>365</v>
      </c>
      <c r="J52">
        <f>SUMIFS(WeeklyPicks!$M:$M,WeeklyPicks!$A:$A,"&lt;="&amp;$A52,WeeklyPicks!$C:$C,J$16)</f>
        <v>0</v>
      </c>
      <c r="K52">
        <f>SUMIFS(WeeklyPicks!$M:$M,WeeklyPicks!$A:$A,"&lt;="&amp;$A52,WeeklyPicks!$C:$C,K$16)</f>
        <v>515</v>
      </c>
      <c r="L52">
        <f>SUMIFS(WeeklyPicks!$M:$M,WeeklyPicks!$A:$A,"&lt;="&amp;$A52,WeeklyPicks!$C:$C,L$16)</f>
        <v>544</v>
      </c>
    </row>
  </sheetData>
  <mergeCells count="3">
    <mergeCell ref="A1:G1"/>
    <mergeCell ref="I1:L1"/>
    <mergeCell ref="A10:F10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"/>
  <sheetViews>
    <sheetView showGridLines="0" zoomScaleNormal="100" workbookViewId="0">
      <selection activeCell="B9" sqref="B9"/>
    </sheetView>
  </sheetViews>
  <sheetFormatPr defaultColWidth="8.6640625" defaultRowHeight="14.25" customHeight="1" x14ac:dyDescent="0.3"/>
  <cols>
    <col min="1" max="1" width="12" customWidth="1"/>
    <col min="2" max="2" width="18" customWidth="1"/>
    <col min="3" max="3" width="14" customWidth="1"/>
    <col min="4" max="4" width="12" customWidth="1"/>
    <col min="5" max="5" width="16" customWidth="1"/>
    <col min="6" max="6" width="6" customWidth="1"/>
  </cols>
  <sheetData>
    <row r="1" spans="1:6" ht="30.75" customHeight="1" x14ac:dyDescent="0.6">
      <c r="A1" s="22" t="s">
        <v>153</v>
      </c>
      <c r="B1" s="22"/>
      <c r="C1" s="22"/>
      <c r="D1" s="22"/>
      <c r="E1" s="22"/>
      <c r="F1" s="22"/>
    </row>
    <row r="2" spans="1:6" ht="15" customHeight="1" x14ac:dyDescent="0.3">
      <c r="A2" s="13" t="s">
        <v>18</v>
      </c>
      <c r="B2" s="14" t="str">
        <f>Setup!$B$3</f>
        <v>LAS VEGAS</v>
      </c>
      <c r="D2" s="13" t="s">
        <v>150</v>
      </c>
      <c r="E2" s="14" t="str">
        <f>INDEX(RaceSummary!$C$2:$C$37,Setup!$B$2)</f>
        <v>Joe</v>
      </c>
    </row>
    <row r="4" spans="1:6" ht="14.4" x14ac:dyDescent="0.3">
      <c r="A4" s="15" t="s">
        <v>154</v>
      </c>
      <c r="B4" s="15" t="s">
        <v>155</v>
      </c>
      <c r="C4" s="15" t="s">
        <v>156</v>
      </c>
      <c r="D4" s="15" t="s">
        <v>157</v>
      </c>
      <c r="E4" s="15" t="s">
        <v>158</v>
      </c>
    </row>
    <row r="5" spans="1:6" ht="18" customHeight="1" x14ac:dyDescent="0.3">
      <c r="A5" s="16">
        <f>Dashboard!A4</f>
        <v>1</v>
      </c>
      <c r="B5" s="16" t="str">
        <f>Dashboard!B4</f>
        <v>Pat</v>
      </c>
      <c r="C5" s="16">
        <f>Dashboard!C4</f>
        <v>880</v>
      </c>
      <c r="D5" s="16">
        <f>Dashboard!D4</f>
        <v>3</v>
      </c>
      <c r="E5" s="16">
        <f>Dashboard!G4</f>
        <v>82</v>
      </c>
    </row>
    <row r="6" spans="1:6" ht="18" customHeight="1" x14ac:dyDescent="0.3">
      <c r="A6" s="16">
        <f>Dashboard!A5</f>
        <v>3</v>
      </c>
      <c r="B6" s="16" t="str">
        <f>Dashboard!B5</f>
        <v>Meg</v>
      </c>
      <c r="C6" s="16">
        <f>Dashboard!C5</f>
        <v>875</v>
      </c>
      <c r="D6" s="16">
        <f>Dashboard!D5</f>
        <v>3</v>
      </c>
      <c r="E6" s="16">
        <f>Dashboard!G5</f>
        <v>111</v>
      </c>
    </row>
    <row r="7" spans="1:6" ht="18" customHeight="1" x14ac:dyDescent="0.3">
      <c r="A7" s="16">
        <f>Dashboard!A6</f>
        <v>4</v>
      </c>
      <c r="B7" s="16" t="str">
        <f>Dashboard!B6</f>
        <v>Darin</v>
      </c>
      <c r="C7" s="16">
        <f>Dashboard!C6</f>
        <v>736</v>
      </c>
      <c r="D7" s="16">
        <f>Dashboard!D6</f>
        <v>1</v>
      </c>
      <c r="E7" s="16">
        <f>Dashboard!G6</f>
        <v>95</v>
      </c>
    </row>
    <row r="8" spans="1:6" ht="18" customHeight="1" x14ac:dyDescent="0.3">
      <c r="A8" s="16">
        <f>Dashboard!A7</f>
        <v>2</v>
      </c>
      <c r="B8" s="16" t="str">
        <f>Dashboard!B7</f>
        <v>Alz</v>
      </c>
      <c r="C8" s="16">
        <f>Dashboard!C7</f>
        <v>876</v>
      </c>
      <c r="D8" s="16">
        <f>Dashboard!D7</f>
        <v>1</v>
      </c>
      <c r="E8" s="16">
        <f>Dashboard!G7</f>
        <v>106</v>
      </c>
    </row>
    <row r="9" spans="1:6" ht="18" customHeight="1" x14ac:dyDescent="0.3">
      <c r="A9" s="16">
        <f>Dashboard!A8</f>
        <v>6</v>
      </c>
      <c r="B9" s="16" t="str">
        <f>Dashboard!B8</f>
        <v>Joe</v>
      </c>
      <c r="C9" s="16">
        <f>Dashboard!C8</f>
        <v>620</v>
      </c>
      <c r="D9" s="16">
        <f>Dashboard!D8</f>
        <v>1</v>
      </c>
      <c r="E9" s="16">
        <f>Dashboard!G8</f>
        <v>118</v>
      </c>
    </row>
    <row r="10" spans="1:6" ht="18" customHeight="1" x14ac:dyDescent="0.3">
      <c r="A10" s="16">
        <f>Dashboard!A9</f>
        <v>5</v>
      </c>
      <c r="B10" s="16" t="str">
        <f>Dashboard!B9</f>
        <v>Evelyn</v>
      </c>
      <c r="C10" s="16">
        <f>Dashboard!C9</f>
        <v>677</v>
      </c>
      <c r="D10" s="16">
        <f>Dashboard!D9</f>
        <v>0</v>
      </c>
      <c r="E10" s="16">
        <f>Dashboard!G9</f>
        <v>112</v>
      </c>
    </row>
    <row r="11" spans="1:6" ht="18" customHeight="1" x14ac:dyDescent="0.3">
      <c r="A11" s="16">
        <f>Dashboard!A10</f>
        <v>9</v>
      </c>
      <c r="B11" s="16" t="str">
        <f>Dashboard!B10</f>
        <v>Deric</v>
      </c>
      <c r="C11" s="16">
        <f>Dashboard!C10</f>
        <v>365</v>
      </c>
      <c r="D11" s="16">
        <f>Dashboard!D10</f>
        <v>0</v>
      </c>
      <c r="E11" s="16">
        <f>Dashboard!G10</f>
        <v>0</v>
      </c>
    </row>
    <row r="12" spans="1:6" ht="18" customHeight="1" x14ac:dyDescent="0.3">
      <c r="A12" s="16">
        <f>Dashboard!A11</f>
        <v>10</v>
      </c>
      <c r="B12" s="16" t="str">
        <f>Dashboard!B11</f>
        <v>Josh</v>
      </c>
      <c r="C12" s="16">
        <f>Dashboard!C11</f>
        <v>0</v>
      </c>
      <c r="D12" s="16">
        <f>Dashboard!D11</f>
        <v>0</v>
      </c>
      <c r="E12" s="16">
        <f>Dashboard!G11</f>
        <v>0</v>
      </c>
    </row>
    <row r="13" spans="1:6" ht="18" customHeight="1" x14ac:dyDescent="0.3">
      <c r="A13" s="16">
        <f>Dashboard!A12</f>
        <v>8</v>
      </c>
      <c r="B13" s="16" t="str">
        <f>Dashboard!B12</f>
        <v>Jay</v>
      </c>
      <c r="C13" s="16">
        <f>Dashboard!C12</f>
        <v>515</v>
      </c>
      <c r="D13" s="16">
        <f>Dashboard!D12</f>
        <v>0</v>
      </c>
      <c r="E13" s="16">
        <f>Dashboard!G12</f>
        <v>0</v>
      </c>
    </row>
    <row r="14" spans="1:6" ht="18" customHeight="1" x14ac:dyDescent="0.3">
      <c r="A14" s="16">
        <f>Dashboard!A13</f>
        <v>7</v>
      </c>
      <c r="B14" s="16" t="str">
        <f>Dashboard!B13</f>
        <v>Ryan</v>
      </c>
      <c r="C14" s="16">
        <f>Dashboard!C13</f>
        <v>544</v>
      </c>
      <c r="D14" s="16">
        <f>Dashboard!D13</f>
        <v>1</v>
      </c>
      <c r="E14" s="16">
        <f>Dashboard!G13</f>
        <v>82</v>
      </c>
    </row>
    <row r="17" spans="1:5" ht="15.6" x14ac:dyDescent="0.3">
      <c r="A17" s="13" t="s">
        <v>130</v>
      </c>
      <c r="B17" s="17">
        <f>INDEX(RaceSummary!$E$2:$E$37,Setup!$B$2)</f>
        <v>5</v>
      </c>
      <c r="D17" s="13" t="s">
        <v>151</v>
      </c>
      <c r="E17" s="17">
        <f>INDEX(RaceSummary!$G$2:$G$37,Setup!$B$2)</f>
        <v>12</v>
      </c>
    </row>
    <row r="18" spans="1:5" ht="15.6" x14ac:dyDescent="0.3">
      <c r="A18" s="13" t="s">
        <v>134</v>
      </c>
      <c r="B18" s="17" t="str">
        <f>INDEX(RaceSummary!$I$2:$I$37,Setup!$B$2)</f>
        <v>Meg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11"/>
  <sheetViews>
    <sheetView zoomScaleNormal="100" workbookViewId="0"/>
  </sheetViews>
  <sheetFormatPr defaultColWidth="8.6640625" defaultRowHeight="15" customHeight="1" x14ac:dyDescent="0.3"/>
  <cols>
    <col min="1" max="1" width="18" customWidth="1"/>
  </cols>
  <sheetData>
    <row r="1" spans="1:1" x14ac:dyDescent="0.3">
      <c r="A1" t="s">
        <v>117</v>
      </c>
    </row>
    <row r="2" spans="1:1" x14ac:dyDescent="0.3">
      <c r="A2" t="s">
        <v>21</v>
      </c>
    </row>
    <row r="3" spans="1:1" x14ac:dyDescent="0.3">
      <c r="A3" t="s">
        <v>22</v>
      </c>
    </row>
    <row r="4" spans="1:1" x14ac:dyDescent="0.3">
      <c r="A4" t="s">
        <v>25</v>
      </c>
    </row>
    <row r="5" spans="1:1" x14ac:dyDescent="0.3">
      <c r="A5" t="s">
        <v>26</v>
      </c>
    </row>
    <row r="6" spans="1:1" x14ac:dyDescent="0.3">
      <c r="A6" t="s">
        <v>27</v>
      </c>
    </row>
    <row r="7" spans="1:1" x14ac:dyDescent="0.3">
      <c r="A7" t="s">
        <v>28</v>
      </c>
    </row>
    <row r="8" spans="1:1" x14ac:dyDescent="0.3">
      <c r="A8" t="s">
        <v>29</v>
      </c>
    </row>
    <row r="9" spans="1:1" x14ac:dyDescent="0.3">
      <c r="A9" t="s">
        <v>30</v>
      </c>
    </row>
    <row r="10" spans="1:1" x14ac:dyDescent="0.3">
      <c r="A10" t="s">
        <v>31</v>
      </c>
    </row>
    <row r="11" spans="1:1" x14ac:dyDescent="0.3">
      <c r="A11" t="s">
        <v>32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README</vt:lpstr>
      <vt:lpstr>Setup</vt:lpstr>
      <vt:lpstr>PointsSystem</vt:lpstr>
      <vt:lpstr>Schedule</vt:lpstr>
      <vt:lpstr>WeeklyPicks</vt:lpstr>
      <vt:lpstr>RaceSummary</vt:lpstr>
      <vt:lpstr>RaceResults</vt:lpstr>
      <vt:lpstr>Calc</vt:lpstr>
      <vt:lpstr>CountCalc</vt:lpstr>
      <vt:lpstr>DriverStats</vt:lpstr>
      <vt:lpstr>Dashboard</vt:lpstr>
      <vt:lpstr>TV_Leaderboard</vt:lpstr>
      <vt:lpstr>Players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Rosewell</cp:lastModifiedBy>
  <dcterms:created xsi:type="dcterms:W3CDTF">2026-03-15T15:36:06Z</dcterms:created>
  <dcterms:modified xsi:type="dcterms:W3CDTF">2026-05-24T21:42:08Z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2026-03-07T17:45:49Z</dcterms:created>
  <dc:creator>openpyxl</dc:creator>
  <dc:description/>
  <dc:language>en-US</dc:language>
  <cp:lastModifiedBy>Patrick Rosewell</cp:lastModifiedBy>
  <dcterms:modified xsi:type="dcterms:W3CDTF">2026-03-13T00:33:42Z</dcterms:modified>
  <cp:revision>0</cp:revision>
  <dc:subject/>
  <dc:title/>
</cp:coreProperties>
</file>